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FNAN\OneDrive\المستندات\GP-S1\bi\final\"/>
    </mc:Choice>
  </mc:AlternateContent>
  <xr:revisionPtr revIDLastSave="0" documentId="13_ncr:1_{4DD38CFE-EA9F-4705-8C8E-0503FDEF5311}" xr6:coauthVersionLast="47" xr6:coauthVersionMax="47" xr10:uidLastSave="{00000000-0000-0000-0000-000000000000}"/>
  <bookViews>
    <workbookView xWindow="-108" yWindow="-108" windowWidth="23256" windowHeight="13896" activeTab="3" xr2:uid="{A8349335-90A7-4035-B5E0-246CD7F78690}"/>
  </bookViews>
  <sheets>
    <sheet name="athlete_energy_expenditure" sheetId="1" r:id="rId1"/>
    <sheet name="HR_Long" sheetId="2" r:id="rId2"/>
    <sheet name="Athletes_Map" sheetId="3" r:id="rId3"/>
    <sheet name="Session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" i="2" l="1"/>
  <c r="C948" i="5"/>
  <c r="C947" i="5"/>
  <c r="C946" i="5"/>
  <c r="C945" i="5"/>
  <c r="C944" i="5"/>
  <c r="C943" i="5"/>
  <c r="C942" i="5"/>
  <c r="C941" i="5"/>
  <c r="C940" i="5"/>
  <c r="C939" i="5"/>
  <c r="C938" i="5"/>
  <c r="C937" i="5"/>
  <c r="C936" i="5"/>
  <c r="C935" i="5"/>
  <c r="C934" i="5"/>
  <c r="C933" i="5"/>
  <c r="C932" i="5"/>
  <c r="C931" i="5"/>
  <c r="C930" i="5"/>
  <c r="C929" i="5"/>
  <c r="C928" i="5"/>
  <c r="C927" i="5"/>
  <c r="C926" i="5"/>
  <c r="C925" i="5"/>
  <c r="C924" i="5"/>
  <c r="C923" i="5"/>
  <c r="C922" i="5"/>
  <c r="C921" i="5"/>
  <c r="C920" i="5"/>
  <c r="C919" i="5"/>
  <c r="C918" i="5"/>
  <c r="C917" i="5"/>
  <c r="C916" i="5"/>
  <c r="C915" i="5"/>
  <c r="C914" i="5"/>
  <c r="C913" i="5"/>
  <c r="C912" i="5"/>
  <c r="C911" i="5"/>
  <c r="C910" i="5"/>
  <c r="C909" i="5"/>
  <c r="C908" i="5"/>
  <c r="C907" i="5"/>
  <c r="C906" i="5"/>
  <c r="C905" i="5"/>
  <c r="C904" i="5"/>
  <c r="C903" i="5"/>
  <c r="C902" i="5"/>
  <c r="C901" i="5"/>
  <c r="C900" i="5"/>
  <c r="C899" i="5"/>
  <c r="C898" i="5"/>
  <c r="C897" i="5"/>
  <c r="C896" i="5"/>
  <c r="C895" i="5"/>
  <c r="C894" i="5"/>
  <c r="C893" i="5"/>
  <c r="C892" i="5"/>
  <c r="C891" i="5"/>
  <c r="C890" i="5"/>
  <c r="C889" i="5"/>
  <c r="C888" i="5"/>
  <c r="C887" i="5"/>
  <c r="C886" i="5"/>
  <c r="C885" i="5"/>
  <c r="C884" i="5"/>
  <c r="C883" i="5"/>
  <c r="C882" i="5"/>
  <c r="C881" i="5"/>
  <c r="C880" i="5"/>
  <c r="C879" i="5"/>
  <c r="C878" i="5"/>
  <c r="C877" i="5"/>
  <c r="C876" i="5"/>
  <c r="C875" i="5"/>
  <c r="C874" i="5"/>
  <c r="C873" i="5"/>
  <c r="C872" i="5"/>
  <c r="C871" i="5"/>
  <c r="C870" i="5"/>
  <c r="C869" i="5"/>
  <c r="C868" i="5"/>
  <c r="C867" i="5"/>
  <c r="C866" i="5"/>
  <c r="C865" i="5"/>
  <c r="C864" i="5"/>
  <c r="C863" i="5"/>
  <c r="C862" i="5"/>
  <c r="C861" i="5"/>
  <c r="C860" i="5"/>
  <c r="C859" i="5"/>
  <c r="C858" i="5"/>
  <c r="C857" i="5"/>
  <c r="C856" i="5"/>
  <c r="C855" i="5"/>
  <c r="C854" i="5"/>
  <c r="C853" i="5"/>
  <c r="C852" i="5"/>
  <c r="C851" i="5"/>
  <c r="C850" i="5"/>
  <c r="C849" i="5"/>
  <c r="C848" i="5"/>
  <c r="C847" i="5"/>
  <c r="C846" i="5"/>
  <c r="C845" i="5"/>
  <c r="C844" i="5"/>
  <c r="C843" i="5"/>
  <c r="C842" i="5"/>
  <c r="C841" i="5"/>
  <c r="C840" i="5"/>
  <c r="C839" i="5"/>
  <c r="C838" i="5"/>
  <c r="C837" i="5"/>
  <c r="C836" i="5"/>
  <c r="C835" i="5"/>
  <c r="C834" i="5"/>
  <c r="C833" i="5"/>
  <c r="C832" i="5"/>
  <c r="C831" i="5"/>
  <c r="C830" i="5"/>
  <c r="C829" i="5"/>
  <c r="C828" i="5"/>
  <c r="C827" i="5"/>
  <c r="C826" i="5"/>
  <c r="C825" i="5"/>
  <c r="C824" i="5"/>
  <c r="C823" i="5"/>
  <c r="C822" i="5"/>
  <c r="C821" i="5"/>
  <c r="C820" i="5"/>
  <c r="C819" i="5"/>
  <c r="C818" i="5"/>
  <c r="C817" i="5"/>
  <c r="C816" i="5"/>
  <c r="C815" i="5"/>
  <c r="C814" i="5"/>
  <c r="C813" i="5"/>
  <c r="C812" i="5"/>
  <c r="C811" i="5"/>
  <c r="C810" i="5"/>
  <c r="C809" i="5"/>
  <c r="C808" i="5"/>
  <c r="C807" i="5"/>
  <c r="C806" i="5"/>
  <c r="C805" i="5"/>
  <c r="C804" i="5"/>
  <c r="C803" i="5"/>
  <c r="C802" i="5"/>
  <c r="C801" i="5"/>
  <c r="C800" i="5"/>
  <c r="C799" i="5"/>
  <c r="C798" i="5"/>
  <c r="C797" i="5"/>
  <c r="C796" i="5"/>
  <c r="C795" i="5"/>
  <c r="C794" i="5"/>
  <c r="C793" i="5"/>
  <c r="C792" i="5"/>
  <c r="C791" i="5"/>
  <c r="C790" i="5"/>
  <c r="C789" i="5"/>
  <c r="C788" i="5"/>
  <c r="C787" i="5"/>
  <c r="C786" i="5"/>
  <c r="C785" i="5"/>
  <c r="C784" i="5"/>
  <c r="C783" i="5"/>
  <c r="C782" i="5"/>
  <c r="C781" i="5"/>
  <c r="C780" i="5"/>
  <c r="C779" i="5"/>
  <c r="C778" i="5"/>
  <c r="C777" i="5"/>
  <c r="C776" i="5"/>
  <c r="C775" i="5"/>
  <c r="C774" i="5"/>
  <c r="C773" i="5"/>
  <c r="C772" i="5"/>
  <c r="C771" i="5"/>
  <c r="C770" i="5"/>
  <c r="C769" i="5"/>
  <c r="C768" i="5"/>
  <c r="C767" i="5"/>
  <c r="C766" i="5"/>
  <c r="C765" i="5"/>
  <c r="C764" i="5"/>
  <c r="C763" i="5"/>
  <c r="C762" i="5"/>
  <c r="C761" i="5"/>
  <c r="C760" i="5"/>
  <c r="C759" i="5"/>
  <c r="C758" i="5"/>
  <c r="C757" i="5"/>
  <c r="C756" i="5"/>
  <c r="C755" i="5"/>
  <c r="C754" i="5"/>
  <c r="C753" i="5"/>
  <c r="C752" i="5"/>
  <c r="C751" i="5"/>
  <c r="C750" i="5"/>
  <c r="C749" i="5"/>
  <c r="C748" i="5"/>
  <c r="C747" i="5"/>
  <c r="C746" i="5"/>
  <c r="C745" i="5"/>
  <c r="C744" i="5"/>
  <c r="C743" i="5"/>
  <c r="C742" i="5"/>
  <c r="C741" i="5"/>
  <c r="C740" i="5"/>
  <c r="C739" i="5"/>
  <c r="C738" i="5"/>
  <c r="C737" i="5"/>
  <c r="C736" i="5"/>
  <c r="C735" i="5"/>
  <c r="C734" i="5"/>
  <c r="C733" i="5"/>
  <c r="C732" i="5"/>
  <c r="C731" i="5"/>
  <c r="C730" i="5"/>
  <c r="C729" i="5"/>
  <c r="C728" i="5"/>
  <c r="C727" i="5"/>
  <c r="C726" i="5"/>
  <c r="C725" i="5"/>
  <c r="C724" i="5"/>
  <c r="C723" i="5"/>
  <c r="C722" i="5"/>
  <c r="C721" i="5"/>
  <c r="C720" i="5"/>
  <c r="C719" i="5"/>
  <c r="C718" i="5"/>
  <c r="C717" i="5"/>
  <c r="C716" i="5"/>
  <c r="C715" i="5"/>
  <c r="C714" i="5"/>
  <c r="C713" i="5"/>
  <c r="C712" i="5"/>
  <c r="C711" i="5"/>
  <c r="C710" i="5"/>
  <c r="C709" i="5"/>
  <c r="C708" i="5"/>
  <c r="C707" i="5"/>
  <c r="C706" i="5"/>
  <c r="C705" i="5"/>
  <c r="C704" i="5"/>
  <c r="C703" i="5"/>
  <c r="C702" i="5"/>
  <c r="C701" i="5"/>
  <c r="C700" i="5"/>
  <c r="C699" i="5"/>
  <c r="C698" i="5"/>
  <c r="C697" i="5"/>
  <c r="C696" i="5"/>
  <c r="C695" i="5"/>
  <c r="C694" i="5"/>
  <c r="C693" i="5"/>
  <c r="C692" i="5"/>
  <c r="C691" i="5"/>
  <c r="C690" i="5"/>
  <c r="C689" i="5"/>
  <c r="C688" i="5"/>
  <c r="C687" i="5"/>
  <c r="C686" i="5"/>
  <c r="C685" i="5"/>
  <c r="C684" i="5"/>
  <c r="C683" i="5"/>
  <c r="C682" i="5"/>
  <c r="C681" i="5"/>
  <c r="C680" i="5"/>
  <c r="C679" i="5"/>
  <c r="C678" i="5"/>
  <c r="C677" i="5"/>
  <c r="C676" i="5"/>
  <c r="C675" i="5"/>
  <c r="C674" i="5"/>
  <c r="C673" i="5"/>
  <c r="C672" i="5"/>
  <c r="C671" i="5"/>
  <c r="C670" i="5"/>
  <c r="C669" i="5"/>
  <c r="C668" i="5"/>
  <c r="C667" i="5"/>
  <c r="C666" i="5"/>
  <c r="C665" i="5"/>
  <c r="C664" i="5"/>
  <c r="C663" i="5"/>
  <c r="C662" i="5"/>
  <c r="C661" i="5"/>
  <c r="C660" i="5"/>
  <c r="C659" i="5"/>
  <c r="C658" i="5"/>
  <c r="C657" i="5"/>
  <c r="C656" i="5"/>
  <c r="C655" i="5"/>
  <c r="C654" i="5"/>
  <c r="C653" i="5"/>
  <c r="C652" i="5"/>
  <c r="C651" i="5"/>
  <c r="C650" i="5"/>
  <c r="C649" i="5"/>
  <c r="C648" i="5"/>
  <c r="C647" i="5"/>
  <c r="C646" i="5"/>
  <c r="C645" i="5"/>
  <c r="C644" i="5"/>
  <c r="C643" i="5"/>
  <c r="C642" i="5"/>
  <c r="C641" i="5"/>
  <c r="C640" i="5"/>
  <c r="C639" i="5"/>
  <c r="C638" i="5"/>
  <c r="C637" i="5"/>
  <c r="C636" i="5"/>
  <c r="C635" i="5"/>
  <c r="C634" i="5"/>
  <c r="C633" i="5"/>
  <c r="C632" i="5"/>
  <c r="C631" i="5"/>
  <c r="C630" i="5"/>
  <c r="C629" i="5"/>
  <c r="C628" i="5"/>
  <c r="C627" i="5"/>
  <c r="C626" i="5"/>
  <c r="C625" i="5"/>
  <c r="C624" i="5"/>
  <c r="C623" i="5"/>
  <c r="C622" i="5"/>
  <c r="C621" i="5"/>
  <c r="C620" i="5"/>
  <c r="C619" i="5"/>
  <c r="C618" i="5"/>
  <c r="C617" i="5"/>
  <c r="C616" i="5"/>
  <c r="C615" i="5"/>
  <c r="C614" i="5"/>
  <c r="C613" i="5"/>
  <c r="C612" i="5"/>
  <c r="C611" i="5"/>
  <c r="C610" i="5"/>
  <c r="C609" i="5"/>
  <c r="C608" i="5"/>
  <c r="C607" i="5"/>
  <c r="C606" i="5"/>
  <c r="C605" i="5"/>
  <c r="C604" i="5"/>
  <c r="C603" i="5"/>
  <c r="C602" i="5"/>
  <c r="C601" i="5"/>
  <c r="C600" i="5"/>
  <c r="C599" i="5"/>
  <c r="C598" i="5"/>
  <c r="C597" i="5"/>
  <c r="C596" i="5"/>
  <c r="C595" i="5"/>
  <c r="C594" i="5"/>
  <c r="C593" i="5"/>
  <c r="C592" i="5"/>
  <c r="C591" i="5"/>
  <c r="C590" i="5"/>
  <c r="C589" i="5"/>
  <c r="C588" i="5"/>
  <c r="C587" i="5"/>
  <c r="C586" i="5"/>
  <c r="C585" i="5"/>
  <c r="C584" i="5"/>
  <c r="C583" i="5"/>
  <c r="C582" i="5"/>
  <c r="C581" i="5"/>
  <c r="C580" i="5"/>
  <c r="C579" i="5"/>
  <c r="C578" i="5"/>
  <c r="C577" i="5"/>
  <c r="C576" i="5"/>
  <c r="C575" i="5"/>
  <c r="C574" i="5"/>
  <c r="C573" i="5"/>
  <c r="C572" i="5"/>
  <c r="C571" i="5"/>
  <c r="C570" i="5"/>
  <c r="C569" i="5"/>
  <c r="C568" i="5"/>
  <c r="C567" i="5"/>
  <c r="C566" i="5"/>
  <c r="C565" i="5"/>
  <c r="C564" i="5"/>
  <c r="C563" i="5"/>
  <c r="C562" i="5"/>
  <c r="C561" i="5"/>
  <c r="C560" i="5"/>
  <c r="C559" i="5"/>
  <c r="C558" i="5"/>
  <c r="C557" i="5"/>
  <c r="C556" i="5"/>
  <c r="C555" i="5"/>
  <c r="C554" i="5"/>
  <c r="C553" i="5"/>
  <c r="C552" i="5"/>
  <c r="C551" i="5"/>
  <c r="C550" i="5"/>
  <c r="C549" i="5"/>
  <c r="C548" i="5"/>
  <c r="C547" i="5"/>
  <c r="C546" i="5"/>
  <c r="C545" i="5"/>
  <c r="C544" i="5"/>
  <c r="C543" i="5"/>
  <c r="C542" i="5"/>
  <c r="C541" i="5"/>
  <c r="C540" i="5"/>
  <c r="C539" i="5"/>
  <c r="C538" i="5"/>
  <c r="C537" i="5"/>
  <c r="C536" i="5"/>
  <c r="C535" i="5"/>
  <c r="C534" i="5"/>
  <c r="C533" i="5"/>
  <c r="C532" i="5"/>
  <c r="C531" i="5"/>
  <c r="C530" i="5"/>
  <c r="C529" i="5"/>
  <c r="C528" i="5"/>
  <c r="C527" i="5"/>
  <c r="C526" i="5"/>
  <c r="C525" i="5"/>
  <c r="C524" i="5"/>
  <c r="C523" i="5"/>
  <c r="C522" i="5"/>
  <c r="C521" i="5"/>
  <c r="C520" i="5"/>
  <c r="C519" i="5"/>
  <c r="C518" i="5"/>
  <c r="C517" i="5"/>
  <c r="C516" i="5"/>
  <c r="C515" i="5"/>
  <c r="C514" i="5"/>
  <c r="C513" i="5"/>
  <c r="C512" i="5"/>
  <c r="C511" i="5"/>
  <c r="C510" i="5"/>
  <c r="C509" i="5"/>
  <c r="C508" i="5"/>
  <c r="C507" i="5"/>
  <c r="C506" i="5"/>
  <c r="C505" i="5"/>
  <c r="C504" i="5"/>
  <c r="C503" i="5"/>
  <c r="C502" i="5"/>
  <c r="C501" i="5"/>
  <c r="C500" i="5"/>
  <c r="C499" i="5"/>
  <c r="C498" i="5"/>
  <c r="C497" i="5"/>
  <c r="C496" i="5"/>
  <c r="C495" i="5"/>
  <c r="C494" i="5"/>
  <c r="C493" i="5"/>
  <c r="C492" i="5"/>
  <c r="C491" i="5"/>
  <c r="C490" i="5"/>
  <c r="C489" i="5"/>
  <c r="C488" i="5"/>
  <c r="C487" i="5"/>
  <c r="C486" i="5"/>
  <c r="C485" i="5"/>
  <c r="C484" i="5"/>
  <c r="C483" i="5"/>
  <c r="C482" i="5"/>
  <c r="C481" i="5"/>
  <c r="C480" i="5"/>
  <c r="C479" i="5"/>
  <c r="C478" i="5"/>
  <c r="C477" i="5"/>
  <c r="C476" i="5"/>
  <c r="C475" i="5"/>
  <c r="C474" i="5"/>
  <c r="C473" i="5"/>
  <c r="C472" i="5"/>
  <c r="C471" i="5"/>
  <c r="C470" i="5"/>
  <c r="C469" i="5"/>
  <c r="C468" i="5"/>
  <c r="C467" i="5"/>
  <c r="C466" i="5"/>
  <c r="C465" i="5"/>
  <c r="C464" i="5"/>
  <c r="C463" i="5"/>
  <c r="C462" i="5"/>
  <c r="C461" i="5"/>
  <c r="C460" i="5"/>
  <c r="C459" i="5"/>
  <c r="C458" i="5"/>
  <c r="C457" i="5"/>
  <c r="C456" i="5"/>
  <c r="C455" i="5"/>
  <c r="C454" i="5"/>
  <c r="C453" i="5"/>
  <c r="C452" i="5"/>
  <c r="C451" i="5"/>
  <c r="C450" i="5"/>
  <c r="C449" i="5"/>
  <c r="C448" i="5"/>
  <c r="C447" i="5"/>
  <c r="C446" i="5"/>
  <c r="C445" i="5"/>
  <c r="C444" i="5"/>
  <c r="C443" i="5"/>
  <c r="C442" i="5"/>
  <c r="C441" i="5"/>
  <c r="C440" i="5"/>
  <c r="C439" i="5"/>
  <c r="C438" i="5"/>
  <c r="C437" i="5"/>
  <c r="C436" i="5"/>
  <c r="C435" i="5"/>
  <c r="C434" i="5"/>
  <c r="C433" i="5"/>
  <c r="C432" i="5"/>
  <c r="C431" i="5"/>
  <c r="C430" i="5"/>
  <c r="C429" i="5"/>
  <c r="C428" i="5"/>
  <c r="C427" i="5"/>
  <c r="C426" i="5"/>
  <c r="C425" i="5"/>
  <c r="C424" i="5"/>
  <c r="C423" i="5"/>
  <c r="C422" i="5"/>
  <c r="C421" i="5"/>
  <c r="C420" i="5"/>
  <c r="C419" i="5"/>
  <c r="C418" i="5"/>
  <c r="C417" i="5"/>
  <c r="C416" i="5"/>
  <c r="C415" i="5"/>
  <c r="C414" i="5"/>
  <c r="C413" i="5"/>
  <c r="C412" i="5"/>
  <c r="C411" i="5"/>
  <c r="C410" i="5"/>
  <c r="C409" i="5"/>
  <c r="C408" i="5"/>
  <c r="C407" i="5"/>
  <c r="C406" i="5"/>
  <c r="C405" i="5"/>
  <c r="C404" i="5"/>
  <c r="C403" i="5"/>
  <c r="C402" i="5"/>
  <c r="C401" i="5"/>
  <c r="C400" i="5"/>
  <c r="C399" i="5"/>
  <c r="C398" i="5"/>
  <c r="C397" i="5"/>
  <c r="C396" i="5"/>
  <c r="C395" i="5"/>
  <c r="C394" i="5"/>
  <c r="C393" i="5"/>
  <c r="C392" i="5"/>
  <c r="C391" i="5"/>
  <c r="C390" i="5"/>
  <c r="C389" i="5"/>
  <c r="C388" i="5"/>
  <c r="C387" i="5"/>
  <c r="C386" i="5"/>
  <c r="C385" i="5"/>
  <c r="C384" i="5"/>
  <c r="C383" i="5"/>
  <c r="C382" i="5"/>
  <c r="C381" i="5"/>
  <c r="C380" i="5"/>
  <c r="C379" i="5"/>
  <c r="C378" i="5"/>
  <c r="C377" i="5"/>
  <c r="C376" i="5"/>
  <c r="C375" i="5"/>
  <c r="C374" i="5"/>
  <c r="C373" i="5"/>
  <c r="C372" i="5"/>
  <c r="C371" i="5"/>
  <c r="C370" i="5"/>
  <c r="C369" i="5"/>
  <c r="C368" i="5"/>
  <c r="C367" i="5"/>
  <c r="C366" i="5"/>
  <c r="C365" i="5"/>
  <c r="C364" i="5"/>
  <c r="C363" i="5"/>
  <c r="C362" i="5"/>
  <c r="C361" i="5"/>
  <c r="C360" i="5"/>
  <c r="C359" i="5"/>
  <c r="C358" i="5"/>
  <c r="C357" i="5"/>
  <c r="C356" i="5"/>
  <c r="C355" i="5"/>
  <c r="C354" i="5"/>
  <c r="C353" i="5"/>
  <c r="C352" i="5"/>
  <c r="C351" i="5"/>
  <c r="C350" i="5"/>
  <c r="C349" i="5"/>
  <c r="C348" i="5"/>
  <c r="C347" i="5"/>
  <c r="C346" i="5"/>
  <c r="C345" i="5"/>
  <c r="C344" i="5"/>
  <c r="C343" i="5"/>
  <c r="C342" i="5"/>
  <c r="C341" i="5"/>
  <c r="C340" i="5"/>
  <c r="C339" i="5"/>
  <c r="C338" i="5"/>
  <c r="C337" i="5"/>
  <c r="C336" i="5"/>
  <c r="C335" i="5"/>
  <c r="C334" i="5"/>
  <c r="C333" i="5"/>
  <c r="C332" i="5"/>
  <c r="C331" i="5"/>
  <c r="C330" i="5"/>
  <c r="C329" i="5"/>
  <c r="C328" i="5"/>
  <c r="C327" i="5"/>
  <c r="C326" i="5"/>
  <c r="C325" i="5"/>
  <c r="C324" i="5"/>
  <c r="C323" i="5"/>
  <c r="C322" i="5"/>
  <c r="C321" i="5"/>
  <c r="C320" i="5"/>
  <c r="C319" i="5"/>
  <c r="C318" i="5"/>
  <c r="C317" i="5"/>
  <c r="C316" i="5"/>
  <c r="C315" i="5"/>
  <c r="C314" i="5"/>
  <c r="C313" i="5"/>
  <c r="C312" i="5"/>
  <c r="C311" i="5"/>
  <c r="C310" i="5"/>
  <c r="C309" i="5"/>
  <c r="C308" i="5"/>
  <c r="C307" i="5"/>
  <c r="C306" i="5"/>
  <c r="C305" i="5"/>
  <c r="C304" i="5"/>
  <c r="C303" i="5"/>
  <c r="C302" i="5"/>
  <c r="C301" i="5"/>
  <c r="C300" i="5"/>
  <c r="C299" i="5"/>
  <c r="C298" i="5"/>
  <c r="C297" i="5"/>
  <c r="C296" i="5"/>
  <c r="C295" i="5"/>
  <c r="C294" i="5"/>
  <c r="C293" i="5"/>
  <c r="C292" i="5"/>
  <c r="C291" i="5"/>
  <c r="C290" i="5"/>
  <c r="C289" i="5"/>
  <c r="C288" i="5"/>
  <c r="C287" i="5"/>
  <c r="C286" i="5"/>
  <c r="C285" i="5"/>
  <c r="C284" i="5"/>
  <c r="C283" i="5"/>
  <c r="C282" i="5"/>
  <c r="C281" i="5"/>
  <c r="C280" i="5"/>
  <c r="C279" i="5"/>
  <c r="C278" i="5"/>
  <c r="C277" i="5"/>
  <c r="C276" i="5"/>
  <c r="C275" i="5"/>
  <c r="C274" i="5"/>
  <c r="C273" i="5"/>
  <c r="C272" i="5"/>
  <c r="C271" i="5"/>
  <c r="C270" i="5"/>
  <c r="C269" i="5"/>
  <c r="C268" i="5"/>
  <c r="C267" i="5"/>
  <c r="C266" i="5"/>
  <c r="C265" i="5"/>
  <c r="C264" i="5"/>
  <c r="C263" i="5"/>
  <c r="C262" i="5"/>
  <c r="C261" i="5"/>
  <c r="C260" i="5"/>
  <c r="C259" i="5"/>
  <c r="C258" i="5"/>
  <c r="C257" i="5"/>
  <c r="C256" i="5"/>
  <c r="C255" i="5"/>
  <c r="C254" i="5"/>
  <c r="C253" i="5"/>
  <c r="C252" i="5"/>
  <c r="C251" i="5"/>
  <c r="C250" i="5"/>
  <c r="C249" i="5"/>
  <c r="C248" i="5"/>
  <c r="C247" i="5"/>
  <c r="C246" i="5"/>
  <c r="C245" i="5"/>
  <c r="C244" i="5"/>
  <c r="C243" i="5"/>
  <c r="C242" i="5"/>
  <c r="C241" i="5"/>
  <c r="C240" i="5"/>
  <c r="C239" i="5"/>
  <c r="C238" i="5"/>
  <c r="C237" i="5"/>
  <c r="C236" i="5"/>
  <c r="C235" i="5"/>
  <c r="C234" i="5"/>
  <c r="C233" i="5"/>
  <c r="C232" i="5"/>
  <c r="C231" i="5"/>
  <c r="C230" i="5"/>
  <c r="C229" i="5"/>
  <c r="C228" i="5"/>
  <c r="C227" i="5"/>
  <c r="C226" i="5"/>
  <c r="C225" i="5"/>
  <c r="C224" i="5"/>
  <c r="C223" i="5"/>
  <c r="C222" i="5"/>
  <c r="C221" i="5"/>
  <c r="C220" i="5"/>
  <c r="C219" i="5"/>
  <c r="C218" i="5"/>
  <c r="C217" i="5"/>
  <c r="C216" i="5"/>
  <c r="C215" i="5"/>
  <c r="C214" i="5"/>
  <c r="C213" i="5"/>
  <c r="C212" i="5"/>
  <c r="C211" i="5"/>
  <c r="C210" i="5"/>
  <c r="C209" i="5"/>
  <c r="C208" i="5"/>
  <c r="C207" i="5"/>
  <c r="C206" i="5"/>
  <c r="C205" i="5"/>
  <c r="C204" i="5"/>
  <c r="C203" i="5"/>
  <c r="C202" i="5"/>
  <c r="C201" i="5"/>
  <c r="C200" i="5"/>
  <c r="C199" i="5"/>
  <c r="C198" i="5"/>
  <c r="C197" i="5"/>
  <c r="C196" i="5"/>
  <c r="C195" i="5"/>
  <c r="C194" i="5"/>
  <c r="C193" i="5"/>
  <c r="C192" i="5"/>
  <c r="C191" i="5"/>
  <c r="C190" i="5"/>
  <c r="C189" i="5"/>
  <c r="C188" i="5"/>
  <c r="C187" i="5"/>
  <c r="C186" i="5"/>
  <c r="C185" i="5"/>
  <c r="C184" i="5"/>
  <c r="C183" i="5"/>
  <c r="C182" i="5"/>
  <c r="C181" i="5"/>
  <c r="C180" i="5"/>
  <c r="C179" i="5"/>
  <c r="C178" i="5"/>
  <c r="C177" i="5"/>
  <c r="C176" i="5"/>
  <c r="C175" i="5"/>
  <c r="C174" i="5"/>
  <c r="C173" i="5"/>
  <c r="C172" i="5"/>
  <c r="C171" i="5"/>
  <c r="C170" i="5"/>
  <c r="C169" i="5"/>
  <c r="C168" i="5"/>
  <c r="C167" i="5"/>
  <c r="C166" i="5"/>
  <c r="C165" i="5"/>
  <c r="C164" i="5"/>
  <c r="C163" i="5"/>
  <c r="C162" i="5"/>
  <c r="C161" i="5"/>
  <c r="C160" i="5"/>
  <c r="C159" i="5"/>
  <c r="C158" i="5"/>
  <c r="C157" i="5"/>
  <c r="C156" i="5"/>
  <c r="C155" i="5"/>
  <c r="C154" i="5"/>
  <c r="C153" i="5"/>
  <c r="C152" i="5"/>
  <c r="C151" i="5"/>
  <c r="C150" i="5"/>
  <c r="C149" i="5"/>
  <c r="C148" i="5"/>
  <c r="C147" i="5"/>
  <c r="C146" i="5"/>
  <c r="C145" i="5"/>
  <c r="C144" i="5"/>
  <c r="C143" i="5"/>
  <c r="C142" i="5"/>
  <c r="C141" i="5"/>
  <c r="C140" i="5"/>
  <c r="C139" i="5"/>
  <c r="C138" i="5"/>
  <c r="C137" i="5"/>
  <c r="C136" i="5"/>
  <c r="C135" i="5"/>
  <c r="C134" i="5"/>
  <c r="C133" i="5"/>
  <c r="C132" i="5"/>
  <c r="C131" i="5"/>
  <c r="C130" i="5"/>
  <c r="C129" i="5"/>
  <c r="C128" i="5"/>
  <c r="C127" i="5"/>
  <c r="C126" i="5"/>
  <c r="C125" i="5"/>
  <c r="C124" i="5"/>
  <c r="C123" i="5"/>
  <c r="C122" i="5"/>
  <c r="C121" i="5"/>
  <c r="C120" i="5"/>
  <c r="C119" i="5"/>
  <c r="C118" i="5"/>
  <c r="C117" i="5"/>
  <c r="C116" i="5"/>
  <c r="C115" i="5"/>
  <c r="C114" i="5"/>
  <c r="C113" i="5"/>
  <c r="C112" i="5"/>
  <c r="C111" i="5"/>
  <c r="C110" i="5"/>
  <c r="C109" i="5"/>
  <c r="C108" i="5"/>
  <c r="C107" i="5"/>
  <c r="C106" i="5"/>
  <c r="C105" i="5"/>
  <c r="C104" i="5"/>
  <c r="C103" i="5"/>
  <c r="C102" i="5"/>
  <c r="C101" i="5"/>
  <c r="C100" i="5"/>
  <c r="C99" i="5"/>
  <c r="C98" i="5"/>
  <c r="C97" i="5"/>
  <c r="C96" i="5"/>
  <c r="C95" i="5"/>
  <c r="C94" i="5"/>
  <c r="C93" i="5"/>
  <c r="C92" i="5"/>
  <c r="C91" i="5"/>
  <c r="C90" i="5"/>
  <c r="C89" i="5"/>
  <c r="C88" i="5"/>
  <c r="C87" i="5"/>
  <c r="C86" i="5"/>
  <c r="C85" i="5"/>
  <c r="C84" i="5"/>
  <c r="C83" i="5"/>
  <c r="C82" i="5"/>
  <c r="C81" i="5"/>
  <c r="C80" i="5"/>
  <c r="C79" i="5"/>
  <c r="C78" i="5"/>
  <c r="C77" i="5"/>
  <c r="C76" i="5"/>
  <c r="C75" i="5"/>
  <c r="C74" i="5"/>
  <c r="C73" i="5"/>
  <c r="C72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C4" i="5"/>
  <c r="C3" i="5"/>
  <c r="C2" i="5"/>
  <c r="J3" i="2"/>
  <c r="K3" i="2" s="1"/>
  <c r="J4" i="2"/>
  <c r="K4" i="2" s="1"/>
  <c r="J5" i="2"/>
  <c r="K5" i="2" s="1"/>
  <c r="J6" i="2"/>
  <c r="K6" i="2" s="1"/>
  <c r="J7" i="2"/>
  <c r="K7" i="2" s="1"/>
  <c r="J8" i="2"/>
  <c r="K8" i="2" s="1"/>
  <c r="J9" i="2"/>
  <c r="K9" i="2" s="1"/>
  <c r="J10" i="2"/>
  <c r="K10" i="2" s="1"/>
  <c r="J11" i="2"/>
  <c r="K11" i="2" s="1"/>
  <c r="J12" i="2"/>
  <c r="K12" i="2" s="1"/>
  <c r="J13" i="2"/>
  <c r="K13" i="2" s="1"/>
  <c r="J14" i="2"/>
  <c r="K14" i="2" s="1"/>
  <c r="J15" i="2"/>
  <c r="K15" i="2" s="1"/>
  <c r="J16" i="2"/>
  <c r="K16" i="2" s="1"/>
  <c r="J17" i="2"/>
  <c r="K17" i="2" s="1"/>
  <c r="J18" i="2"/>
  <c r="K18" i="2" s="1"/>
  <c r="J19" i="2"/>
  <c r="K19" i="2" s="1"/>
  <c r="J20" i="2"/>
  <c r="K20" i="2" s="1"/>
  <c r="J21" i="2"/>
  <c r="K21" i="2" s="1"/>
  <c r="J22" i="2"/>
  <c r="K22" i="2" s="1"/>
  <c r="J23" i="2"/>
  <c r="K23" i="2" s="1"/>
  <c r="J24" i="2"/>
  <c r="K24" i="2" s="1"/>
  <c r="J25" i="2"/>
  <c r="K25" i="2" s="1"/>
  <c r="J26" i="2"/>
  <c r="K26" i="2" s="1"/>
  <c r="J27" i="2"/>
  <c r="K27" i="2" s="1"/>
  <c r="J28" i="2"/>
  <c r="K28" i="2" s="1"/>
  <c r="J29" i="2"/>
  <c r="K29" i="2" s="1"/>
  <c r="J30" i="2"/>
  <c r="K30" i="2" s="1"/>
  <c r="J31" i="2"/>
  <c r="K31" i="2" s="1"/>
  <c r="J32" i="2"/>
  <c r="K32" i="2" s="1"/>
  <c r="J33" i="2"/>
  <c r="K33" i="2" s="1"/>
  <c r="J34" i="2"/>
  <c r="K34" i="2" s="1"/>
  <c r="J35" i="2"/>
  <c r="K35" i="2" s="1"/>
  <c r="J36" i="2"/>
  <c r="K36" i="2" s="1"/>
  <c r="J37" i="2"/>
  <c r="K37" i="2" s="1"/>
  <c r="J38" i="2"/>
  <c r="K38" i="2" s="1"/>
  <c r="J39" i="2"/>
  <c r="K39" i="2" s="1"/>
  <c r="J40" i="2"/>
  <c r="K40" i="2" s="1"/>
  <c r="J41" i="2"/>
  <c r="K41" i="2" s="1"/>
  <c r="J42" i="2"/>
  <c r="K42" i="2" s="1"/>
  <c r="J43" i="2"/>
  <c r="K43" i="2" s="1"/>
  <c r="J44" i="2"/>
  <c r="K44" i="2" s="1"/>
  <c r="J45" i="2"/>
  <c r="K45" i="2" s="1"/>
  <c r="J46" i="2"/>
  <c r="K46" i="2" s="1"/>
  <c r="J47" i="2"/>
  <c r="K47" i="2" s="1"/>
  <c r="J48" i="2"/>
  <c r="K48" i="2" s="1"/>
  <c r="J49" i="2"/>
  <c r="K49" i="2" s="1"/>
  <c r="J50" i="2"/>
  <c r="K50" i="2" s="1"/>
  <c r="J51" i="2"/>
  <c r="K51" i="2" s="1"/>
  <c r="J52" i="2"/>
  <c r="K52" i="2" s="1"/>
  <c r="J53" i="2"/>
  <c r="K53" i="2" s="1"/>
  <c r="J54" i="2"/>
  <c r="K54" i="2" s="1"/>
  <c r="J55" i="2"/>
  <c r="K55" i="2" s="1"/>
  <c r="J56" i="2"/>
  <c r="K56" i="2" s="1"/>
  <c r="J57" i="2"/>
  <c r="K57" i="2" s="1"/>
  <c r="J58" i="2"/>
  <c r="K58" i="2" s="1"/>
  <c r="J59" i="2"/>
  <c r="K59" i="2" s="1"/>
  <c r="J60" i="2"/>
  <c r="K60" i="2" s="1"/>
  <c r="J61" i="2"/>
  <c r="K61" i="2" s="1"/>
  <c r="J62" i="2"/>
  <c r="K62" i="2" s="1"/>
  <c r="J63" i="2"/>
  <c r="K63" i="2" s="1"/>
  <c r="J64" i="2"/>
  <c r="K64" i="2" s="1"/>
  <c r="J65" i="2"/>
  <c r="K65" i="2" s="1"/>
  <c r="J66" i="2"/>
  <c r="K66" i="2" s="1"/>
  <c r="J67" i="2"/>
  <c r="K67" i="2" s="1"/>
  <c r="J68" i="2"/>
  <c r="K68" i="2" s="1"/>
  <c r="J69" i="2"/>
  <c r="K69" i="2" s="1"/>
  <c r="J70" i="2"/>
  <c r="K70" i="2" s="1"/>
  <c r="J71" i="2"/>
  <c r="K71" i="2" s="1"/>
  <c r="J72" i="2"/>
  <c r="K72" i="2" s="1"/>
  <c r="J73" i="2"/>
  <c r="K73" i="2" s="1"/>
  <c r="J74" i="2"/>
  <c r="K74" i="2" s="1"/>
  <c r="J75" i="2"/>
  <c r="K75" i="2" s="1"/>
  <c r="J76" i="2"/>
  <c r="K76" i="2" s="1"/>
  <c r="J77" i="2"/>
  <c r="K77" i="2" s="1"/>
  <c r="J78" i="2"/>
  <c r="K78" i="2" s="1"/>
  <c r="J79" i="2"/>
  <c r="K79" i="2" s="1"/>
  <c r="J80" i="2"/>
  <c r="K80" i="2" s="1"/>
  <c r="J81" i="2"/>
  <c r="K81" i="2" s="1"/>
  <c r="J82" i="2"/>
  <c r="K82" i="2" s="1"/>
  <c r="J83" i="2"/>
  <c r="K83" i="2" s="1"/>
  <c r="J84" i="2"/>
  <c r="K84" i="2" s="1"/>
  <c r="J85" i="2"/>
  <c r="K85" i="2" s="1"/>
  <c r="J86" i="2"/>
  <c r="K86" i="2" s="1"/>
  <c r="J87" i="2"/>
  <c r="K87" i="2" s="1"/>
  <c r="J88" i="2"/>
  <c r="K88" i="2" s="1"/>
  <c r="J89" i="2"/>
  <c r="K89" i="2" s="1"/>
  <c r="J90" i="2"/>
  <c r="K90" i="2" s="1"/>
  <c r="J91" i="2"/>
  <c r="K91" i="2" s="1"/>
  <c r="J92" i="2"/>
  <c r="K92" i="2" s="1"/>
  <c r="J93" i="2"/>
  <c r="K93" i="2" s="1"/>
  <c r="J94" i="2"/>
  <c r="K94" i="2" s="1"/>
  <c r="J95" i="2"/>
  <c r="K95" i="2" s="1"/>
  <c r="J96" i="2"/>
  <c r="K96" i="2" s="1"/>
  <c r="J97" i="2"/>
  <c r="K97" i="2" s="1"/>
  <c r="J98" i="2"/>
  <c r="K98" i="2" s="1"/>
  <c r="J99" i="2"/>
  <c r="K99" i="2" s="1"/>
  <c r="J100" i="2"/>
  <c r="K100" i="2" s="1"/>
  <c r="J101" i="2"/>
  <c r="K101" i="2" s="1"/>
  <c r="J102" i="2"/>
  <c r="K102" i="2" s="1"/>
  <c r="J103" i="2"/>
  <c r="K103" i="2" s="1"/>
  <c r="J104" i="2"/>
  <c r="K104" i="2" s="1"/>
  <c r="J105" i="2"/>
  <c r="K105" i="2" s="1"/>
  <c r="J106" i="2"/>
  <c r="K106" i="2" s="1"/>
  <c r="J107" i="2"/>
  <c r="K107" i="2" s="1"/>
  <c r="J108" i="2"/>
  <c r="K108" i="2" s="1"/>
  <c r="J109" i="2"/>
  <c r="K109" i="2" s="1"/>
  <c r="J110" i="2"/>
  <c r="K110" i="2" s="1"/>
  <c r="J111" i="2"/>
  <c r="K111" i="2" s="1"/>
  <c r="J112" i="2"/>
  <c r="K112" i="2" s="1"/>
  <c r="J113" i="2"/>
  <c r="K113" i="2" s="1"/>
  <c r="J114" i="2"/>
  <c r="K114" i="2" s="1"/>
  <c r="J115" i="2"/>
  <c r="K115" i="2" s="1"/>
  <c r="J116" i="2"/>
  <c r="K116" i="2" s="1"/>
  <c r="J117" i="2"/>
  <c r="K117" i="2" s="1"/>
  <c r="J118" i="2"/>
  <c r="K118" i="2" s="1"/>
  <c r="J119" i="2"/>
  <c r="K119" i="2" s="1"/>
  <c r="J120" i="2"/>
  <c r="K120" i="2" s="1"/>
  <c r="J121" i="2"/>
  <c r="K121" i="2" s="1"/>
  <c r="J122" i="2"/>
  <c r="K122" i="2" s="1"/>
  <c r="J123" i="2"/>
  <c r="K123" i="2" s="1"/>
  <c r="J124" i="2"/>
  <c r="K124" i="2" s="1"/>
  <c r="J125" i="2"/>
  <c r="K125" i="2" s="1"/>
  <c r="J126" i="2"/>
  <c r="K126" i="2" s="1"/>
  <c r="J127" i="2"/>
  <c r="K127" i="2" s="1"/>
  <c r="J128" i="2"/>
  <c r="K128" i="2" s="1"/>
  <c r="J129" i="2"/>
  <c r="K129" i="2" s="1"/>
  <c r="J130" i="2"/>
  <c r="K130" i="2" s="1"/>
  <c r="J131" i="2"/>
  <c r="K131" i="2" s="1"/>
  <c r="J132" i="2"/>
  <c r="K132" i="2" s="1"/>
  <c r="J133" i="2"/>
  <c r="K133" i="2" s="1"/>
  <c r="J134" i="2"/>
  <c r="K134" i="2" s="1"/>
  <c r="J135" i="2"/>
  <c r="K135" i="2" s="1"/>
  <c r="J136" i="2"/>
  <c r="K136" i="2" s="1"/>
  <c r="J137" i="2"/>
  <c r="K137" i="2" s="1"/>
  <c r="J138" i="2"/>
  <c r="K138" i="2" s="1"/>
  <c r="J139" i="2"/>
  <c r="K139" i="2" s="1"/>
  <c r="J140" i="2"/>
  <c r="K140" i="2" s="1"/>
  <c r="J141" i="2"/>
  <c r="K141" i="2" s="1"/>
  <c r="J142" i="2"/>
  <c r="K142" i="2" s="1"/>
  <c r="J143" i="2"/>
  <c r="K143" i="2" s="1"/>
  <c r="J144" i="2"/>
  <c r="K144" i="2" s="1"/>
  <c r="J145" i="2"/>
  <c r="K145" i="2" s="1"/>
  <c r="J146" i="2"/>
  <c r="K146" i="2" s="1"/>
  <c r="J147" i="2"/>
  <c r="K147" i="2" s="1"/>
  <c r="J148" i="2"/>
  <c r="K148" i="2" s="1"/>
  <c r="J149" i="2"/>
  <c r="K149" i="2" s="1"/>
  <c r="J150" i="2"/>
  <c r="K150" i="2" s="1"/>
  <c r="J151" i="2"/>
  <c r="K151" i="2" s="1"/>
  <c r="J152" i="2"/>
  <c r="K152" i="2" s="1"/>
  <c r="J153" i="2"/>
  <c r="K153" i="2" s="1"/>
  <c r="J154" i="2"/>
  <c r="K154" i="2" s="1"/>
  <c r="J155" i="2"/>
  <c r="K155" i="2" s="1"/>
  <c r="J156" i="2"/>
  <c r="K156" i="2" s="1"/>
  <c r="J157" i="2"/>
  <c r="K157" i="2" s="1"/>
  <c r="J158" i="2"/>
  <c r="K158" i="2" s="1"/>
  <c r="J159" i="2"/>
  <c r="K159" i="2" s="1"/>
  <c r="J160" i="2"/>
  <c r="K160" i="2" s="1"/>
  <c r="J161" i="2"/>
  <c r="K161" i="2" s="1"/>
  <c r="J162" i="2"/>
  <c r="K162" i="2" s="1"/>
  <c r="J163" i="2"/>
  <c r="K163" i="2" s="1"/>
  <c r="J164" i="2"/>
  <c r="K164" i="2" s="1"/>
  <c r="J165" i="2"/>
  <c r="K165" i="2" s="1"/>
  <c r="J166" i="2"/>
  <c r="K166" i="2" s="1"/>
  <c r="J167" i="2"/>
  <c r="K167" i="2" s="1"/>
  <c r="J168" i="2"/>
  <c r="K168" i="2" s="1"/>
  <c r="J169" i="2"/>
  <c r="K169" i="2" s="1"/>
  <c r="J170" i="2"/>
  <c r="K170" i="2" s="1"/>
  <c r="J171" i="2"/>
  <c r="K171" i="2" s="1"/>
  <c r="J172" i="2"/>
  <c r="K172" i="2" s="1"/>
  <c r="J173" i="2"/>
  <c r="K173" i="2" s="1"/>
  <c r="J174" i="2"/>
  <c r="K174" i="2" s="1"/>
  <c r="J175" i="2"/>
  <c r="K175" i="2" s="1"/>
  <c r="J176" i="2"/>
  <c r="K176" i="2" s="1"/>
  <c r="J177" i="2"/>
  <c r="K177" i="2" s="1"/>
  <c r="J178" i="2"/>
  <c r="K178" i="2" s="1"/>
  <c r="J179" i="2"/>
  <c r="K179" i="2" s="1"/>
  <c r="J180" i="2"/>
  <c r="K180" i="2" s="1"/>
  <c r="J181" i="2"/>
  <c r="K181" i="2" s="1"/>
  <c r="J182" i="2"/>
  <c r="K182" i="2" s="1"/>
  <c r="J183" i="2"/>
  <c r="K183" i="2" s="1"/>
  <c r="J184" i="2"/>
  <c r="K184" i="2" s="1"/>
  <c r="J185" i="2"/>
  <c r="K185" i="2" s="1"/>
  <c r="J186" i="2"/>
  <c r="K186" i="2" s="1"/>
  <c r="J187" i="2"/>
  <c r="K187" i="2" s="1"/>
  <c r="J188" i="2"/>
  <c r="K188" i="2" s="1"/>
  <c r="J189" i="2"/>
  <c r="K189" i="2" s="1"/>
  <c r="J190" i="2"/>
  <c r="K190" i="2" s="1"/>
  <c r="J191" i="2"/>
  <c r="K191" i="2" s="1"/>
  <c r="J192" i="2"/>
  <c r="K192" i="2" s="1"/>
  <c r="J193" i="2"/>
  <c r="K193" i="2" s="1"/>
  <c r="J194" i="2"/>
  <c r="K194" i="2" s="1"/>
  <c r="J195" i="2"/>
  <c r="K195" i="2" s="1"/>
  <c r="J196" i="2"/>
  <c r="K196" i="2" s="1"/>
  <c r="J197" i="2"/>
  <c r="K197" i="2" s="1"/>
  <c r="J198" i="2"/>
  <c r="K198" i="2" s="1"/>
  <c r="J199" i="2"/>
  <c r="K199" i="2" s="1"/>
  <c r="J200" i="2"/>
  <c r="K200" i="2" s="1"/>
  <c r="J201" i="2"/>
  <c r="K201" i="2" s="1"/>
  <c r="J202" i="2"/>
  <c r="K202" i="2" s="1"/>
  <c r="J203" i="2"/>
  <c r="K203" i="2" s="1"/>
  <c r="J204" i="2"/>
  <c r="K204" i="2" s="1"/>
  <c r="J205" i="2"/>
  <c r="K205" i="2" s="1"/>
  <c r="J206" i="2"/>
  <c r="K206" i="2" s="1"/>
  <c r="J207" i="2"/>
  <c r="K207" i="2" s="1"/>
  <c r="J208" i="2"/>
  <c r="K208" i="2" s="1"/>
  <c r="J209" i="2"/>
  <c r="K209" i="2" s="1"/>
  <c r="J210" i="2"/>
  <c r="K210" i="2" s="1"/>
  <c r="J211" i="2"/>
  <c r="K211" i="2" s="1"/>
  <c r="J212" i="2"/>
  <c r="K212" i="2" s="1"/>
  <c r="J213" i="2"/>
  <c r="K213" i="2" s="1"/>
  <c r="J214" i="2"/>
  <c r="K214" i="2" s="1"/>
  <c r="J215" i="2"/>
  <c r="K215" i="2" s="1"/>
  <c r="J216" i="2"/>
  <c r="K216" i="2" s="1"/>
  <c r="J217" i="2"/>
  <c r="K217" i="2" s="1"/>
  <c r="J218" i="2"/>
  <c r="K218" i="2" s="1"/>
  <c r="J219" i="2"/>
  <c r="K219" i="2" s="1"/>
  <c r="J220" i="2"/>
  <c r="K220" i="2" s="1"/>
  <c r="J221" i="2"/>
  <c r="K221" i="2" s="1"/>
  <c r="J222" i="2"/>
  <c r="K222" i="2" s="1"/>
  <c r="J223" i="2"/>
  <c r="K223" i="2" s="1"/>
  <c r="J224" i="2"/>
  <c r="K224" i="2" s="1"/>
  <c r="J225" i="2"/>
  <c r="K225" i="2" s="1"/>
  <c r="J226" i="2"/>
  <c r="K226" i="2" s="1"/>
  <c r="J227" i="2"/>
  <c r="K227" i="2" s="1"/>
  <c r="J228" i="2"/>
  <c r="K228" i="2" s="1"/>
  <c r="J229" i="2"/>
  <c r="K229" i="2" s="1"/>
  <c r="J230" i="2"/>
  <c r="K230" i="2" s="1"/>
  <c r="J231" i="2"/>
  <c r="K231" i="2" s="1"/>
  <c r="J232" i="2"/>
  <c r="K232" i="2" s="1"/>
  <c r="J233" i="2"/>
  <c r="K233" i="2" s="1"/>
  <c r="J234" i="2"/>
  <c r="K234" i="2" s="1"/>
  <c r="J235" i="2"/>
  <c r="K235" i="2" s="1"/>
  <c r="J236" i="2"/>
  <c r="K236" i="2" s="1"/>
  <c r="J237" i="2"/>
  <c r="K237" i="2" s="1"/>
  <c r="J238" i="2"/>
  <c r="K238" i="2" s="1"/>
  <c r="J239" i="2"/>
  <c r="K239" i="2" s="1"/>
  <c r="J240" i="2"/>
  <c r="K240" i="2" s="1"/>
  <c r="J241" i="2"/>
  <c r="K241" i="2" s="1"/>
  <c r="J242" i="2"/>
  <c r="K242" i="2" s="1"/>
  <c r="J243" i="2"/>
  <c r="K243" i="2" s="1"/>
  <c r="J244" i="2"/>
  <c r="K244" i="2" s="1"/>
  <c r="J245" i="2"/>
  <c r="K245" i="2" s="1"/>
  <c r="J246" i="2"/>
  <c r="K246" i="2" s="1"/>
  <c r="J247" i="2"/>
  <c r="K247" i="2" s="1"/>
  <c r="J248" i="2"/>
  <c r="K248" i="2" s="1"/>
  <c r="J249" i="2"/>
  <c r="K249" i="2" s="1"/>
  <c r="J250" i="2"/>
  <c r="K250" i="2" s="1"/>
  <c r="J251" i="2"/>
  <c r="K251" i="2" s="1"/>
  <c r="J252" i="2"/>
  <c r="K252" i="2" s="1"/>
  <c r="J253" i="2"/>
  <c r="K253" i="2" s="1"/>
  <c r="J254" i="2"/>
  <c r="K254" i="2" s="1"/>
  <c r="J255" i="2"/>
  <c r="K255" i="2" s="1"/>
  <c r="J256" i="2"/>
  <c r="K256" i="2" s="1"/>
  <c r="J257" i="2"/>
  <c r="K257" i="2" s="1"/>
  <c r="J258" i="2"/>
  <c r="K258" i="2" s="1"/>
  <c r="J259" i="2"/>
  <c r="K259" i="2" s="1"/>
  <c r="J260" i="2"/>
  <c r="K260" i="2" s="1"/>
  <c r="J261" i="2"/>
  <c r="K261" i="2" s="1"/>
  <c r="J262" i="2"/>
  <c r="K262" i="2" s="1"/>
  <c r="J263" i="2"/>
  <c r="K263" i="2" s="1"/>
  <c r="J264" i="2"/>
  <c r="K264" i="2" s="1"/>
  <c r="J265" i="2"/>
  <c r="K265" i="2" s="1"/>
  <c r="J266" i="2"/>
  <c r="K266" i="2" s="1"/>
  <c r="J267" i="2"/>
  <c r="K267" i="2" s="1"/>
  <c r="J268" i="2"/>
  <c r="K268" i="2" s="1"/>
  <c r="J269" i="2"/>
  <c r="K269" i="2" s="1"/>
  <c r="J270" i="2"/>
  <c r="K270" i="2" s="1"/>
  <c r="J271" i="2"/>
  <c r="K271" i="2" s="1"/>
  <c r="J272" i="2"/>
  <c r="K272" i="2" s="1"/>
  <c r="J273" i="2"/>
  <c r="K273" i="2" s="1"/>
  <c r="J274" i="2"/>
  <c r="K274" i="2" s="1"/>
  <c r="J275" i="2"/>
  <c r="K275" i="2" s="1"/>
  <c r="J276" i="2"/>
  <c r="K276" i="2" s="1"/>
  <c r="J277" i="2"/>
  <c r="K277" i="2" s="1"/>
  <c r="J278" i="2"/>
  <c r="K278" i="2" s="1"/>
  <c r="J279" i="2"/>
  <c r="K279" i="2" s="1"/>
  <c r="J280" i="2"/>
  <c r="K280" i="2" s="1"/>
  <c r="J281" i="2"/>
  <c r="K281" i="2" s="1"/>
  <c r="J282" i="2"/>
  <c r="K282" i="2" s="1"/>
  <c r="J283" i="2"/>
  <c r="K283" i="2" s="1"/>
  <c r="J284" i="2"/>
  <c r="K284" i="2" s="1"/>
  <c r="J285" i="2"/>
  <c r="K285" i="2" s="1"/>
  <c r="J286" i="2"/>
  <c r="K286" i="2" s="1"/>
  <c r="J287" i="2"/>
  <c r="K287" i="2" s="1"/>
  <c r="J288" i="2"/>
  <c r="K288" i="2" s="1"/>
  <c r="J289" i="2"/>
  <c r="K289" i="2" s="1"/>
  <c r="J290" i="2"/>
  <c r="K290" i="2" s="1"/>
  <c r="J291" i="2"/>
  <c r="K291" i="2" s="1"/>
  <c r="J292" i="2"/>
  <c r="K292" i="2" s="1"/>
  <c r="J293" i="2"/>
  <c r="K293" i="2" s="1"/>
  <c r="J294" i="2"/>
  <c r="K294" i="2" s="1"/>
  <c r="J295" i="2"/>
  <c r="K295" i="2" s="1"/>
  <c r="J296" i="2"/>
  <c r="K296" i="2" s="1"/>
  <c r="J297" i="2"/>
  <c r="K297" i="2" s="1"/>
  <c r="J298" i="2"/>
  <c r="K298" i="2" s="1"/>
  <c r="J299" i="2"/>
  <c r="K299" i="2" s="1"/>
  <c r="J300" i="2"/>
  <c r="K300" i="2" s="1"/>
  <c r="J301" i="2"/>
  <c r="K301" i="2" s="1"/>
  <c r="J302" i="2"/>
  <c r="K302" i="2" s="1"/>
  <c r="J303" i="2"/>
  <c r="K303" i="2" s="1"/>
  <c r="J304" i="2"/>
  <c r="K304" i="2" s="1"/>
  <c r="J305" i="2"/>
  <c r="K305" i="2" s="1"/>
  <c r="J306" i="2"/>
  <c r="K306" i="2" s="1"/>
  <c r="J307" i="2"/>
  <c r="K307" i="2" s="1"/>
  <c r="J308" i="2"/>
  <c r="K308" i="2" s="1"/>
  <c r="J309" i="2"/>
  <c r="K309" i="2" s="1"/>
  <c r="J310" i="2"/>
  <c r="K310" i="2" s="1"/>
  <c r="J311" i="2"/>
  <c r="K311" i="2" s="1"/>
  <c r="J312" i="2"/>
  <c r="K312" i="2" s="1"/>
  <c r="J313" i="2"/>
  <c r="K313" i="2" s="1"/>
  <c r="J314" i="2"/>
  <c r="K314" i="2" s="1"/>
  <c r="J315" i="2"/>
  <c r="K315" i="2" s="1"/>
  <c r="J316" i="2"/>
  <c r="K316" i="2" s="1"/>
  <c r="J317" i="2"/>
  <c r="K317" i="2" s="1"/>
  <c r="J318" i="2"/>
  <c r="K318" i="2" s="1"/>
  <c r="J319" i="2"/>
  <c r="K319" i="2" s="1"/>
  <c r="J320" i="2"/>
  <c r="K320" i="2" s="1"/>
  <c r="J321" i="2"/>
  <c r="K321" i="2" s="1"/>
  <c r="J322" i="2"/>
  <c r="K322" i="2" s="1"/>
  <c r="J323" i="2"/>
  <c r="K323" i="2" s="1"/>
  <c r="J324" i="2"/>
  <c r="K324" i="2" s="1"/>
  <c r="J325" i="2"/>
  <c r="K325" i="2" s="1"/>
  <c r="J326" i="2"/>
  <c r="K326" i="2" s="1"/>
  <c r="J327" i="2"/>
  <c r="K327" i="2" s="1"/>
  <c r="J328" i="2"/>
  <c r="K328" i="2" s="1"/>
  <c r="J329" i="2"/>
  <c r="K329" i="2" s="1"/>
  <c r="J330" i="2"/>
  <c r="K330" i="2" s="1"/>
  <c r="J331" i="2"/>
  <c r="K331" i="2" s="1"/>
  <c r="J332" i="2"/>
  <c r="K332" i="2" s="1"/>
  <c r="J333" i="2"/>
  <c r="K333" i="2" s="1"/>
  <c r="J334" i="2"/>
  <c r="K334" i="2" s="1"/>
  <c r="J335" i="2"/>
  <c r="K335" i="2" s="1"/>
  <c r="J336" i="2"/>
  <c r="K336" i="2" s="1"/>
  <c r="J337" i="2"/>
  <c r="K337" i="2" s="1"/>
  <c r="J338" i="2"/>
  <c r="K338" i="2" s="1"/>
  <c r="J339" i="2"/>
  <c r="K339" i="2" s="1"/>
  <c r="J340" i="2"/>
  <c r="K340" i="2" s="1"/>
  <c r="J341" i="2"/>
  <c r="K341" i="2" s="1"/>
  <c r="J342" i="2"/>
  <c r="K342" i="2" s="1"/>
  <c r="J343" i="2"/>
  <c r="K343" i="2" s="1"/>
  <c r="J344" i="2"/>
  <c r="K344" i="2" s="1"/>
  <c r="J345" i="2"/>
  <c r="K345" i="2" s="1"/>
  <c r="J346" i="2"/>
  <c r="K346" i="2" s="1"/>
  <c r="J347" i="2"/>
  <c r="K347" i="2" s="1"/>
  <c r="J348" i="2"/>
  <c r="K348" i="2" s="1"/>
  <c r="J349" i="2"/>
  <c r="K349" i="2" s="1"/>
  <c r="J350" i="2"/>
  <c r="K350" i="2" s="1"/>
  <c r="J351" i="2"/>
  <c r="K351" i="2" s="1"/>
  <c r="J352" i="2"/>
  <c r="K352" i="2" s="1"/>
  <c r="J353" i="2"/>
  <c r="K353" i="2" s="1"/>
  <c r="J354" i="2"/>
  <c r="K354" i="2" s="1"/>
  <c r="J355" i="2"/>
  <c r="K355" i="2" s="1"/>
  <c r="J356" i="2"/>
  <c r="K356" i="2" s="1"/>
  <c r="J357" i="2"/>
  <c r="K357" i="2" s="1"/>
  <c r="J358" i="2"/>
  <c r="K358" i="2" s="1"/>
  <c r="J359" i="2"/>
  <c r="K359" i="2" s="1"/>
  <c r="J360" i="2"/>
  <c r="K360" i="2" s="1"/>
  <c r="J361" i="2"/>
  <c r="K361" i="2" s="1"/>
  <c r="J362" i="2"/>
  <c r="K362" i="2" s="1"/>
  <c r="J363" i="2"/>
  <c r="K363" i="2" s="1"/>
  <c r="J364" i="2"/>
  <c r="K364" i="2" s="1"/>
  <c r="J365" i="2"/>
  <c r="K365" i="2" s="1"/>
  <c r="J366" i="2"/>
  <c r="K366" i="2" s="1"/>
  <c r="J367" i="2"/>
  <c r="K367" i="2" s="1"/>
  <c r="J368" i="2"/>
  <c r="K368" i="2" s="1"/>
  <c r="J369" i="2"/>
  <c r="K369" i="2" s="1"/>
  <c r="J370" i="2"/>
  <c r="K370" i="2" s="1"/>
  <c r="J371" i="2"/>
  <c r="K371" i="2" s="1"/>
  <c r="J372" i="2"/>
  <c r="K372" i="2" s="1"/>
  <c r="J373" i="2"/>
  <c r="K373" i="2" s="1"/>
  <c r="J374" i="2"/>
  <c r="K374" i="2" s="1"/>
  <c r="J375" i="2"/>
  <c r="K375" i="2" s="1"/>
  <c r="J376" i="2"/>
  <c r="K376" i="2" s="1"/>
  <c r="J377" i="2"/>
  <c r="K377" i="2" s="1"/>
  <c r="J378" i="2"/>
  <c r="K378" i="2" s="1"/>
  <c r="J379" i="2"/>
  <c r="K379" i="2" s="1"/>
  <c r="J380" i="2"/>
  <c r="K380" i="2" s="1"/>
  <c r="J381" i="2"/>
  <c r="K381" i="2" s="1"/>
  <c r="J382" i="2"/>
  <c r="K382" i="2" s="1"/>
  <c r="J383" i="2"/>
  <c r="K383" i="2" s="1"/>
  <c r="J384" i="2"/>
  <c r="K384" i="2" s="1"/>
  <c r="J385" i="2"/>
  <c r="K385" i="2" s="1"/>
  <c r="J386" i="2"/>
  <c r="K386" i="2" s="1"/>
  <c r="J387" i="2"/>
  <c r="K387" i="2" s="1"/>
  <c r="J388" i="2"/>
  <c r="K388" i="2" s="1"/>
  <c r="J389" i="2"/>
  <c r="K389" i="2" s="1"/>
  <c r="J390" i="2"/>
  <c r="K390" i="2" s="1"/>
  <c r="J391" i="2"/>
  <c r="K391" i="2" s="1"/>
  <c r="J392" i="2"/>
  <c r="K392" i="2" s="1"/>
  <c r="J393" i="2"/>
  <c r="K393" i="2" s="1"/>
  <c r="J394" i="2"/>
  <c r="K394" i="2" s="1"/>
  <c r="J395" i="2"/>
  <c r="K395" i="2" s="1"/>
  <c r="J396" i="2"/>
  <c r="K396" i="2" s="1"/>
  <c r="J397" i="2"/>
  <c r="K397" i="2" s="1"/>
  <c r="J398" i="2"/>
  <c r="K398" i="2" s="1"/>
  <c r="J399" i="2"/>
  <c r="K399" i="2" s="1"/>
  <c r="J400" i="2"/>
  <c r="K400" i="2" s="1"/>
  <c r="J401" i="2"/>
  <c r="K401" i="2" s="1"/>
  <c r="J402" i="2"/>
  <c r="K402" i="2" s="1"/>
  <c r="J403" i="2"/>
  <c r="K403" i="2" s="1"/>
  <c r="J404" i="2"/>
  <c r="K404" i="2" s="1"/>
  <c r="J405" i="2"/>
  <c r="K405" i="2" s="1"/>
  <c r="J406" i="2"/>
  <c r="K406" i="2" s="1"/>
  <c r="J407" i="2"/>
  <c r="K407" i="2" s="1"/>
  <c r="J408" i="2"/>
  <c r="K408" i="2" s="1"/>
  <c r="J409" i="2"/>
  <c r="K409" i="2" s="1"/>
  <c r="J410" i="2"/>
  <c r="K410" i="2" s="1"/>
  <c r="J411" i="2"/>
  <c r="K411" i="2" s="1"/>
  <c r="J412" i="2"/>
  <c r="K412" i="2" s="1"/>
  <c r="J413" i="2"/>
  <c r="K413" i="2" s="1"/>
  <c r="J414" i="2"/>
  <c r="K414" i="2" s="1"/>
  <c r="J415" i="2"/>
  <c r="K415" i="2" s="1"/>
  <c r="J416" i="2"/>
  <c r="K416" i="2" s="1"/>
  <c r="J417" i="2"/>
  <c r="K417" i="2" s="1"/>
  <c r="J418" i="2"/>
  <c r="K418" i="2" s="1"/>
  <c r="J419" i="2"/>
  <c r="K419" i="2" s="1"/>
  <c r="J420" i="2"/>
  <c r="K420" i="2" s="1"/>
  <c r="J421" i="2"/>
  <c r="K421" i="2" s="1"/>
  <c r="J422" i="2"/>
  <c r="K422" i="2" s="1"/>
  <c r="J423" i="2"/>
  <c r="K423" i="2" s="1"/>
  <c r="J424" i="2"/>
  <c r="K424" i="2" s="1"/>
  <c r="J425" i="2"/>
  <c r="K425" i="2" s="1"/>
  <c r="J426" i="2"/>
  <c r="K426" i="2" s="1"/>
  <c r="J427" i="2"/>
  <c r="K427" i="2" s="1"/>
  <c r="J428" i="2"/>
  <c r="K428" i="2" s="1"/>
  <c r="J429" i="2"/>
  <c r="K429" i="2" s="1"/>
  <c r="J430" i="2"/>
  <c r="K430" i="2" s="1"/>
  <c r="J431" i="2"/>
  <c r="K431" i="2" s="1"/>
  <c r="J432" i="2"/>
  <c r="K432" i="2" s="1"/>
  <c r="J433" i="2"/>
  <c r="K433" i="2" s="1"/>
  <c r="J434" i="2"/>
  <c r="K434" i="2" s="1"/>
  <c r="J435" i="2"/>
  <c r="K435" i="2" s="1"/>
  <c r="J436" i="2"/>
  <c r="K436" i="2" s="1"/>
  <c r="J437" i="2"/>
  <c r="K437" i="2" s="1"/>
  <c r="J438" i="2"/>
  <c r="K438" i="2" s="1"/>
  <c r="J439" i="2"/>
  <c r="K439" i="2" s="1"/>
  <c r="J440" i="2"/>
  <c r="K440" i="2" s="1"/>
  <c r="J441" i="2"/>
  <c r="K441" i="2" s="1"/>
  <c r="J442" i="2"/>
  <c r="K442" i="2" s="1"/>
  <c r="J443" i="2"/>
  <c r="K443" i="2" s="1"/>
  <c r="J444" i="2"/>
  <c r="K444" i="2" s="1"/>
  <c r="J445" i="2"/>
  <c r="K445" i="2" s="1"/>
  <c r="J446" i="2"/>
  <c r="K446" i="2" s="1"/>
  <c r="J447" i="2"/>
  <c r="K447" i="2" s="1"/>
  <c r="J448" i="2"/>
  <c r="K448" i="2" s="1"/>
  <c r="J449" i="2"/>
  <c r="K449" i="2" s="1"/>
  <c r="J450" i="2"/>
  <c r="K450" i="2" s="1"/>
  <c r="J451" i="2"/>
  <c r="K451" i="2" s="1"/>
  <c r="J452" i="2"/>
  <c r="K452" i="2" s="1"/>
  <c r="J453" i="2"/>
  <c r="K453" i="2" s="1"/>
  <c r="J454" i="2"/>
  <c r="K454" i="2" s="1"/>
  <c r="J455" i="2"/>
  <c r="K455" i="2" s="1"/>
  <c r="J456" i="2"/>
  <c r="K456" i="2" s="1"/>
  <c r="J457" i="2"/>
  <c r="K457" i="2" s="1"/>
  <c r="J458" i="2"/>
  <c r="K458" i="2" s="1"/>
  <c r="J459" i="2"/>
  <c r="K459" i="2" s="1"/>
  <c r="J460" i="2"/>
  <c r="K460" i="2" s="1"/>
  <c r="J461" i="2"/>
  <c r="K461" i="2" s="1"/>
  <c r="J462" i="2"/>
  <c r="K462" i="2" s="1"/>
  <c r="J463" i="2"/>
  <c r="K463" i="2" s="1"/>
  <c r="J464" i="2"/>
  <c r="K464" i="2" s="1"/>
  <c r="J465" i="2"/>
  <c r="K465" i="2" s="1"/>
  <c r="J466" i="2"/>
  <c r="K466" i="2" s="1"/>
  <c r="J467" i="2"/>
  <c r="K467" i="2" s="1"/>
  <c r="J468" i="2"/>
  <c r="K468" i="2" s="1"/>
  <c r="J469" i="2"/>
  <c r="K469" i="2" s="1"/>
  <c r="J470" i="2"/>
  <c r="K470" i="2" s="1"/>
  <c r="J471" i="2"/>
  <c r="K471" i="2" s="1"/>
  <c r="J472" i="2"/>
  <c r="K472" i="2" s="1"/>
  <c r="J473" i="2"/>
  <c r="K473" i="2" s="1"/>
  <c r="J474" i="2"/>
  <c r="K474" i="2" s="1"/>
  <c r="J475" i="2"/>
  <c r="K475" i="2" s="1"/>
  <c r="J476" i="2"/>
  <c r="K476" i="2" s="1"/>
  <c r="J477" i="2"/>
  <c r="K477" i="2" s="1"/>
  <c r="J478" i="2"/>
  <c r="K478" i="2" s="1"/>
  <c r="J479" i="2"/>
  <c r="K479" i="2" s="1"/>
  <c r="J480" i="2"/>
  <c r="K480" i="2" s="1"/>
  <c r="J481" i="2"/>
  <c r="K481" i="2" s="1"/>
  <c r="J482" i="2"/>
  <c r="K482" i="2" s="1"/>
  <c r="J483" i="2"/>
  <c r="K483" i="2" s="1"/>
  <c r="J484" i="2"/>
  <c r="K484" i="2" s="1"/>
  <c r="J485" i="2"/>
  <c r="K485" i="2" s="1"/>
  <c r="J486" i="2"/>
  <c r="K486" i="2" s="1"/>
  <c r="J487" i="2"/>
  <c r="K487" i="2" s="1"/>
  <c r="J488" i="2"/>
  <c r="K488" i="2" s="1"/>
  <c r="J489" i="2"/>
  <c r="K489" i="2" s="1"/>
  <c r="J490" i="2"/>
  <c r="K490" i="2" s="1"/>
  <c r="J491" i="2"/>
  <c r="K491" i="2" s="1"/>
  <c r="J492" i="2"/>
  <c r="K492" i="2" s="1"/>
  <c r="J493" i="2"/>
  <c r="K493" i="2" s="1"/>
  <c r="J494" i="2"/>
  <c r="K494" i="2" s="1"/>
  <c r="J495" i="2"/>
  <c r="K495" i="2" s="1"/>
  <c r="J496" i="2"/>
  <c r="K496" i="2" s="1"/>
  <c r="J497" i="2"/>
  <c r="K497" i="2" s="1"/>
  <c r="J498" i="2"/>
  <c r="K498" i="2" s="1"/>
  <c r="J499" i="2"/>
  <c r="K499" i="2" s="1"/>
  <c r="J500" i="2"/>
  <c r="K500" i="2" s="1"/>
  <c r="J501" i="2"/>
  <c r="K501" i="2" s="1"/>
  <c r="J502" i="2"/>
  <c r="K502" i="2" s="1"/>
  <c r="J503" i="2"/>
  <c r="K503" i="2" s="1"/>
  <c r="J504" i="2"/>
  <c r="K504" i="2" s="1"/>
  <c r="J505" i="2"/>
  <c r="K505" i="2" s="1"/>
  <c r="J506" i="2"/>
  <c r="K506" i="2" s="1"/>
  <c r="J507" i="2"/>
  <c r="K507" i="2" s="1"/>
  <c r="J508" i="2"/>
  <c r="K508" i="2" s="1"/>
  <c r="J509" i="2"/>
  <c r="K509" i="2" s="1"/>
  <c r="J510" i="2"/>
  <c r="K510" i="2" s="1"/>
  <c r="J511" i="2"/>
  <c r="K511" i="2" s="1"/>
  <c r="J512" i="2"/>
  <c r="K512" i="2" s="1"/>
  <c r="J513" i="2"/>
  <c r="K513" i="2" s="1"/>
  <c r="J514" i="2"/>
  <c r="K514" i="2" s="1"/>
  <c r="J515" i="2"/>
  <c r="K515" i="2" s="1"/>
  <c r="J516" i="2"/>
  <c r="K516" i="2" s="1"/>
  <c r="J517" i="2"/>
  <c r="K517" i="2" s="1"/>
  <c r="J518" i="2"/>
  <c r="K518" i="2" s="1"/>
  <c r="J519" i="2"/>
  <c r="K519" i="2" s="1"/>
  <c r="J520" i="2"/>
  <c r="K520" i="2" s="1"/>
  <c r="J521" i="2"/>
  <c r="K521" i="2" s="1"/>
  <c r="J522" i="2"/>
  <c r="K522" i="2" s="1"/>
  <c r="J523" i="2"/>
  <c r="K523" i="2" s="1"/>
  <c r="J524" i="2"/>
  <c r="K524" i="2" s="1"/>
  <c r="J525" i="2"/>
  <c r="K525" i="2" s="1"/>
  <c r="J526" i="2"/>
  <c r="K526" i="2" s="1"/>
  <c r="J527" i="2"/>
  <c r="K527" i="2" s="1"/>
  <c r="J528" i="2"/>
  <c r="K528" i="2" s="1"/>
  <c r="J529" i="2"/>
  <c r="K529" i="2" s="1"/>
  <c r="J530" i="2"/>
  <c r="K530" i="2" s="1"/>
  <c r="J531" i="2"/>
  <c r="K531" i="2" s="1"/>
  <c r="J532" i="2"/>
  <c r="K532" i="2" s="1"/>
  <c r="J533" i="2"/>
  <c r="K533" i="2" s="1"/>
  <c r="J534" i="2"/>
  <c r="K534" i="2" s="1"/>
  <c r="J535" i="2"/>
  <c r="K535" i="2" s="1"/>
  <c r="J536" i="2"/>
  <c r="K536" i="2" s="1"/>
  <c r="J537" i="2"/>
  <c r="K537" i="2" s="1"/>
  <c r="J538" i="2"/>
  <c r="K538" i="2" s="1"/>
  <c r="J539" i="2"/>
  <c r="K539" i="2" s="1"/>
  <c r="J540" i="2"/>
  <c r="K540" i="2" s="1"/>
  <c r="J541" i="2"/>
  <c r="K541" i="2" s="1"/>
  <c r="J542" i="2"/>
  <c r="K542" i="2" s="1"/>
  <c r="J543" i="2"/>
  <c r="K543" i="2" s="1"/>
  <c r="J544" i="2"/>
  <c r="K544" i="2" s="1"/>
  <c r="J545" i="2"/>
  <c r="K545" i="2" s="1"/>
  <c r="J546" i="2"/>
  <c r="K546" i="2" s="1"/>
  <c r="J547" i="2"/>
  <c r="K547" i="2" s="1"/>
  <c r="J548" i="2"/>
  <c r="K548" i="2" s="1"/>
  <c r="J549" i="2"/>
  <c r="K549" i="2" s="1"/>
  <c r="J550" i="2"/>
  <c r="K550" i="2" s="1"/>
  <c r="J551" i="2"/>
  <c r="K551" i="2" s="1"/>
  <c r="J552" i="2"/>
  <c r="K552" i="2" s="1"/>
  <c r="J553" i="2"/>
  <c r="K553" i="2" s="1"/>
  <c r="J554" i="2"/>
  <c r="K554" i="2" s="1"/>
  <c r="J555" i="2"/>
  <c r="K555" i="2" s="1"/>
  <c r="J556" i="2"/>
  <c r="K556" i="2" s="1"/>
  <c r="J557" i="2"/>
  <c r="K557" i="2" s="1"/>
  <c r="J558" i="2"/>
  <c r="K558" i="2" s="1"/>
  <c r="J559" i="2"/>
  <c r="K559" i="2" s="1"/>
  <c r="J560" i="2"/>
  <c r="K560" i="2" s="1"/>
  <c r="J561" i="2"/>
  <c r="K561" i="2" s="1"/>
  <c r="J562" i="2"/>
  <c r="K562" i="2" s="1"/>
  <c r="J563" i="2"/>
  <c r="K563" i="2" s="1"/>
  <c r="J564" i="2"/>
  <c r="K564" i="2" s="1"/>
  <c r="J565" i="2"/>
  <c r="K565" i="2" s="1"/>
  <c r="J566" i="2"/>
  <c r="K566" i="2" s="1"/>
  <c r="J567" i="2"/>
  <c r="K567" i="2" s="1"/>
  <c r="J568" i="2"/>
  <c r="K568" i="2" s="1"/>
  <c r="J569" i="2"/>
  <c r="K569" i="2" s="1"/>
  <c r="J570" i="2"/>
  <c r="K570" i="2" s="1"/>
  <c r="J571" i="2"/>
  <c r="K571" i="2" s="1"/>
  <c r="J572" i="2"/>
  <c r="K572" i="2" s="1"/>
  <c r="J573" i="2"/>
  <c r="K573" i="2" s="1"/>
  <c r="J574" i="2"/>
  <c r="K574" i="2" s="1"/>
  <c r="J575" i="2"/>
  <c r="K575" i="2" s="1"/>
  <c r="J576" i="2"/>
  <c r="K576" i="2" s="1"/>
  <c r="J577" i="2"/>
  <c r="K577" i="2" s="1"/>
  <c r="J578" i="2"/>
  <c r="K578" i="2" s="1"/>
  <c r="J579" i="2"/>
  <c r="K579" i="2" s="1"/>
  <c r="J580" i="2"/>
  <c r="K580" i="2" s="1"/>
  <c r="J581" i="2"/>
  <c r="K581" i="2" s="1"/>
  <c r="J582" i="2"/>
  <c r="K582" i="2" s="1"/>
  <c r="J583" i="2"/>
  <c r="K583" i="2" s="1"/>
  <c r="J584" i="2"/>
  <c r="K584" i="2" s="1"/>
  <c r="J585" i="2"/>
  <c r="K585" i="2" s="1"/>
  <c r="J586" i="2"/>
  <c r="K586" i="2" s="1"/>
  <c r="J587" i="2"/>
  <c r="K587" i="2" s="1"/>
  <c r="J588" i="2"/>
  <c r="K588" i="2" s="1"/>
  <c r="J589" i="2"/>
  <c r="K589" i="2" s="1"/>
  <c r="J590" i="2"/>
  <c r="K590" i="2" s="1"/>
  <c r="J591" i="2"/>
  <c r="K591" i="2" s="1"/>
  <c r="J592" i="2"/>
  <c r="K592" i="2" s="1"/>
  <c r="J593" i="2"/>
  <c r="K593" i="2" s="1"/>
  <c r="J594" i="2"/>
  <c r="K594" i="2" s="1"/>
  <c r="J595" i="2"/>
  <c r="K595" i="2" s="1"/>
  <c r="J596" i="2"/>
  <c r="K596" i="2" s="1"/>
  <c r="J597" i="2"/>
  <c r="K597" i="2" s="1"/>
  <c r="J598" i="2"/>
  <c r="K598" i="2" s="1"/>
  <c r="J599" i="2"/>
  <c r="K599" i="2" s="1"/>
  <c r="J600" i="2"/>
  <c r="K600" i="2" s="1"/>
  <c r="J601" i="2"/>
  <c r="K601" i="2" s="1"/>
  <c r="J602" i="2"/>
  <c r="K602" i="2" s="1"/>
  <c r="J603" i="2"/>
  <c r="K603" i="2" s="1"/>
  <c r="J604" i="2"/>
  <c r="K604" i="2" s="1"/>
  <c r="J605" i="2"/>
  <c r="K605" i="2" s="1"/>
  <c r="J606" i="2"/>
  <c r="K606" i="2" s="1"/>
  <c r="J607" i="2"/>
  <c r="K607" i="2" s="1"/>
  <c r="J608" i="2"/>
  <c r="K608" i="2" s="1"/>
  <c r="J609" i="2"/>
  <c r="K609" i="2" s="1"/>
  <c r="J610" i="2"/>
  <c r="K610" i="2" s="1"/>
  <c r="J611" i="2"/>
  <c r="K611" i="2" s="1"/>
  <c r="J612" i="2"/>
  <c r="K612" i="2" s="1"/>
  <c r="J613" i="2"/>
  <c r="K613" i="2" s="1"/>
  <c r="J614" i="2"/>
  <c r="K614" i="2" s="1"/>
  <c r="J615" i="2"/>
  <c r="K615" i="2" s="1"/>
  <c r="J616" i="2"/>
  <c r="K616" i="2" s="1"/>
  <c r="J617" i="2"/>
  <c r="K617" i="2" s="1"/>
  <c r="J618" i="2"/>
  <c r="K618" i="2" s="1"/>
  <c r="J619" i="2"/>
  <c r="K619" i="2" s="1"/>
  <c r="J620" i="2"/>
  <c r="K620" i="2" s="1"/>
  <c r="J621" i="2"/>
  <c r="K621" i="2" s="1"/>
  <c r="J622" i="2"/>
  <c r="K622" i="2" s="1"/>
  <c r="J623" i="2"/>
  <c r="K623" i="2" s="1"/>
  <c r="J624" i="2"/>
  <c r="K624" i="2" s="1"/>
  <c r="J625" i="2"/>
  <c r="K625" i="2" s="1"/>
  <c r="J626" i="2"/>
  <c r="K626" i="2" s="1"/>
  <c r="J627" i="2"/>
  <c r="K627" i="2" s="1"/>
  <c r="J628" i="2"/>
  <c r="K628" i="2" s="1"/>
  <c r="J629" i="2"/>
  <c r="K629" i="2" s="1"/>
  <c r="J630" i="2"/>
  <c r="K630" i="2" s="1"/>
  <c r="J631" i="2"/>
  <c r="K631" i="2" s="1"/>
  <c r="J632" i="2"/>
  <c r="K632" i="2" s="1"/>
  <c r="J633" i="2"/>
  <c r="K633" i="2" s="1"/>
  <c r="J634" i="2"/>
  <c r="K634" i="2" s="1"/>
  <c r="J635" i="2"/>
  <c r="K635" i="2" s="1"/>
  <c r="J636" i="2"/>
  <c r="K636" i="2" s="1"/>
  <c r="J637" i="2"/>
  <c r="K637" i="2" s="1"/>
  <c r="J638" i="2"/>
  <c r="K638" i="2" s="1"/>
  <c r="J639" i="2"/>
  <c r="K639" i="2" s="1"/>
  <c r="J640" i="2"/>
  <c r="K640" i="2" s="1"/>
  <c r="J641" i="2"/>
  <c r="K641" i="2" s="1"/>
  <c r="J642" i="2"/>
  <c r="K642" i="2" s="1"/>
  <c r="J643" i="2"/>
  <c r="K643" i="2" s="1"/>
  <c r="J644" i="2"/>
  <c r="K644" i="2" s="1"/>
  <c r="J645" i="2"/>
  <c r="K645" i="2" s="1"/>
  <c r="J646" i="2"/>
  <c r="K646" i="2" s="1"/>
  <c r="J647" i="2"/>
  <c r="K647" i="2" s="1"/>
  <c r="J648" i="2"/>
  <c r="K648" i="2" s="1"/>
  <c r="J649" i="2"/>
  <c r="K649" i="2" s="1"/>
  <c r="J650" i="2"/>
  <c r="K650" i="2" s="1"/>
  <c r="J651" i="2"/>
  <c r="K651" i="2" s="1"/>
  <c r="J652" i="2"/>
  <c r="K652" i="2" s="1"/>
  <c r="J653" i="2"/>
  <c r="K653" i="2" s="1"/>
  <c r="J654" i="2"/>
  <c r="K654" i="2" s="1"/>
  <c r="J655" i="2"/>
  <c r="K655" i="2" s="1"/>
  <c r="J656" i="2"/>
  <c r="K656" i="2" s="1"/>
  <c r="J657" i="2"/>
  <c r="K657" i="2" s="1"/>
  <c r="J658" i="2"/>
  <c r="K658" i="2" s="1"/>
  <c r="J659" i="2"/>
  <c r="K659" i="2" s="1"/>
  <c r="J660" i="2"/>
  <c r="K660" i="2" s="1"/>
  <c r="J661" i="2"/>
  <c r="K661" i="2" s="1"/>
  <c r="J662" i="2"/>
  <c r="K662" i="2" s="1"/>
  <c r="J663" i="2"/>
  <c r="K663" i="2" s="1"/>
  <c r="J664" i="2"/>
  <c r="K664" i="2" s="1"/>
  <c r="J665" i="2"/>
  <c r="K665" i="2" s="1"/>
  <c r="J666" i="2"/>
  <c r="K666" i="2" s="1"/>
  <c r="J667" i="2"/>
  <c r="K667" i="2" s="1"/>
  <c r="J668" i="2"/>
  <c r="K668" i="2" s="1"/>
  <c r="J669" i="2"/>
  <c r="K669" i="2" s="1"/>
  <c r="J670" i="2"/>
  <c r="K670" i="2" s="1"/>
  <c r="J671" i="2"/>
  <c r="K671" i="2" s="1"/>
  <c r="J672" i="2"/>
  <c r="K672" i="2" s="1"/>
  <c r="J673" i="2"/>
  <c r="K673" i="2" s="1"/>
  <c r="J674" i="2"/>
  <c r="K674" i="2" s="1"/>
  <c r="J675" i="2"/>
  <c r="K675" i="2" s="1"/>
  <c r="J676" i="2"/>
  <c r="K676" i="2" s="1"/>
  <c r="J677" i="2"/>
  <c r="K677" i="2" s="1"/>
  <c r="J678" i="2"/>
  <c r="K678" i="2" s="1"/>
  <c r="J679" i="2"/>
  <c r="K679" i="2" s="1"/>
  <c r="J680" i="2"/>
  <c r="K680" i="2" s="1"/>
  <c r="J681" i="2"/>
  <c r="K681" i="2" s="1"/>
  <c r="J682" i="2"/>
  <c r="K682" i="2" s="1"/>
  <c r="J683" i="2"/>
  <c r="K683" i="2" s="1"/>
  <c r="J684" i="2"/>
  <c r="K684" i="2" s="1"/>
  <c r="J685" i="2"/>
  <c r="K685" i="2" s="1"/>
  <c r="J686" i="2"/>
  <c r="K686" i="2" s="1"/>
  <c r="J687" i="2"/>
  <c r="K687" i="2" s="1"/>
  <c r="J688" i="2"/>
  <c r="K688" i="2" s="1"/>
  <c r="J689" i="2"/>
  <c r="K689" i="2" s="1"/>
  <c r="J690" i="2"/>
  <c r="K690" i="2" s="1"/>
  <c r="J691" i="2"/>
  <c r="K691" i="2" s="1"/>
  <c r="J692" i="2"/>
  <c r="K692" i="2" s="1"/>
  <c r="J693" i="2"/>
  <c r="K693" i="2" s="1"/>
  <c r="J694" i="2"/>
  <c r="K694" i="2" s="1"/>
  <c r="J695" i="2"/>
  <c r="K695" i="2" s="1"/>
  <c r="J696" i="2"/>
  <c r="K696" i="2" s="1"/>
  <c r="J697" i="2"/>
  <c r="K697" i="2" s="1"/>
  <c r="J698" i="2"/>
  <c r="K698" i="2" s="1"/>
  <c r="J699" i="2"/>
  <c r="K699" i="2" s="1"/>
  <c r="J700" i="2"/>
  <c r="K700" i="2" s="1"/>
  <c r="J701" i="2"/>
  <c r="K701" i="2" s="1"/>
  <c r="J702" i="2"/>
  <c r="K702" i="2" s="1"/>
  <c r="J703" i="2"/>
  <c r="K703" i="2" s="1"/>
  <c r="J704" i="2"/>
  <c r="K704" i="2" s="1"/>
  <c r="J705" i="2"/>
  <c r="K705" i="2" s="1"/>
  <c r="J706" i="2"/>
  <c r="K706" i="2" s="1"/>
  <c r="J707" i="2"/>
  <c r="K707" i="2" s="1"/>
  <c r="J708" i="2"/>
  <c r="K708" i="2" s="1"/>
  <c r="J709" i="2"/>
  <c r="K709" i="2" s="1"/>
  <c r="J710" i="2"/>
  <c r="K710" i="2" s="1"/>
  <c r="J711" i="2"/>
  <c r="K711" i="2" s="1"/>
  <c r="J712" i="2"/>
  <c r="K712" i="2" s="1"/>
  <c r="J713" i="2"/>
  <c r="K713" i="2" s="1"/>
  <c r="J714" i="2"/>
  <c r="K714" i="2" s="1"/>
  <c r="J715" i="2"/>
  <c r="K715" i="2" s="1"/>
  <c r="J716" i="2"/>
  <c r="K716" i="2" s="1"/>
  <c r="J717" i="2"/>
  <c r="K717" i="2" s="1"/>
  <c r="J718" i="2"/>
  <c r="K718" i="2" s="1"/>
  <c r="J719" i="2"/>
  <c r="K719" i="2" s="1"/>
  <c r="J720" i="2"/>
  <c r="K720" i="2" s="1"/>
  <c r="J721" i="2"/>
  <c r="K721" i="2" s="1"/>
  <c r="J722" i="2"/>
  <c r="K722" i="2" s="1"/>
  <c r="J723" i="2"/>
  <c r="K723" i="2" s="1"/>
  <c r="J724" i="2"/>
  <c r="K724" i="2" s="1"/>
  <c r="J725" i="2"/>
  <c r="K725" i="2" s="1"/>
  <c r="J726" i="2"/>
  <c r="K726" i="2" s="1"/>
  <c r="J727" i="2"/>
  <c r="K727" i="2" s="1"/>
  <c r="J728" i="2"/>
  <c r="K728" i="2" s="1"/>
  <c r="J729" i="2"/>
  <c r="K729" i="2" s="1"/>
  <c r="J730" i="2"/>
  <c r="K730" i="2" s="1"/>
  <c r="J731" i="2"/>
  <c r="K731" i="2" s="1"/>
  <c r="J732" i="2"/>
  <c r="K732" i="2" s="1"/>
  <c r="J733" i="2"/>
  <c r="K733" i="2" s="1"/>
  <c r="J734" i="2"/>
  <c r="K734" i="2" s="1"/>
  <c r="J735" i="2"/>
  <c r="K735" i="2" s="1"/>
  <c r="J736" i="2"/>
  <c r="K736" i="2" s="1"/>
  <c r="J737" i="2"/>
  <c r="K737" i="2" s="1"/>
  <c r="J738" i="2"/>
  <c r="K738" i="2" s="1"/>
  <c r="J739" i="2"/>
  <c r="K739" i="2" s="1"/>
  <c r="J740" i="2"/>
  <c r="K740" i="2" s="1"/>
  <c r="J741" i="2"/>
  <c r="K741" i="2" s="1"/>
  <c r="J742" i="2"/>
  <c r="K742" i="2" s="1"/>
  <c r="J743" i="2"/>
  <c r="K743" i="2" s="1"/>
  <c r="J744" i="2"/>
  <c r="K744" i="2" s="1"/>
  <c r="J745" i="2"/>
  <c r="K745" i="2" s="1"/>
  <c r="J746" i="2"/>
  <c r="K746" i="2" s="1"/>
  <c r="J747" i="2"/>
  <c r="K747" i="2" s="1"/>
  <c r="J748" i="2"/>
  <c r="K748" i="2" s="1"/>
  <c r="J749" i="2"/>
  <c r="K749" i="2" s="1"/>
  <c r="J750" i="2"/>
  <c r="K750" i="2" s="1"/>
  <c r="J751" i="2"/>
  <c r="K751" i="2" s="1"/>
  <c r="J752" i="2"/>
  <c r="K752" i="2" s="1"/>
  <c r="J753" i="2"/>
  <c r="K753" i="2" s="1"/>
  <c r="J754" i="2"/>
  <c r="K754" i="2" s="1"/>
  <c r="J755" i="2"/>
  <c r="K755" i="2" s="1"/>
  <c r="J756" i="2"/>
  <c r="K756" i="2" s="1"/>
  <c r="J757" i="2"/>
  <c r="K757" i="2" s="1"/>
  <c r="J758" i="2"/>
  <c r="K758" i="2" s="1"/>
  <c r="J759" i="2"/>
  <c r="K759" i="2" s="1"/>
  <c r="J760" i="2"/>
  <c r="K760" i="2" s="1"/>
  <c r="J761" i="2"/>
  <c r="K761" i="2" s="1"/>
  <c r="J762" i="2"/>
  <c r="K762" i="2" s="1"/>
  <c r="J763" i="2"/>
  <c r="K763" i="2" s="1"/>
  <c r="J764" i="2"/>
  <c r="K764" i="2" s="1"/>
  <c r="J765" i="2"/>
  <c r="K765" i="2" s="1"/>
  <c r="J766" i="2"/>
  <c r="K766" i="2" s="1"/>
  <c r="J767" i="2"/>
  <c r="K767" i="2" s="1"/>
  <c r="J768" i="2"/>
  <c r="K768" i="2" s="1"/>
  <c r="J769" i="2"/>
  <c r="K769" i="2" s="1"/>
  <c r="J770" i="2"/>
  <c r="K770" i="2" s="1"/>
  <c r="J771" i="2"/>
  <c r="K771" i="2" s="1"/>
  <c r="J772" i="2"/>
  <c r="K772" i="2" s="1"/>
  <c r="J773" i="2"/>
  <c r="K773" i="2" s="1"/>
  <c r="J774" i="2"/>
  <c r="K774" i="2" s="1"/>
  <c r="J775" i="2"/>
  <c r="K775" i="2" s="1"/>
  <c r="J776" i="2"/>
  <c r="K776" i="2" s="1"/>
  <c r="J777" i="2"/>
  <c r="K777" i="2" s="1"/>
  <c r="J778" i="2"/>
  <c r="K778" i="2" s="1"/>
  <c r="J779" i="2"/>
  <c r="K779" i="2" s="1"/>
  <c r="J780" i="2"/>
  <c r="K780" i="2" s="1"/>
  <c r="J781" i="2"/>
  <c r="K781" i="2" s="1"/>
  <c r="J782" i="2"/>
  <c r="K782" i="2" s="1"/>
  <c r="J783" i="2"/>
  <c r="K783" i="2" s="1"/>
  <c r="J784" i="2"/>
  <c r="K784" i="2" s="1"/>
  <c r="J785" i="2"/>
  <c r="K785" i="2" s="1"/>
  <c r="J786" i="2"/>
  <c r="K786" i="2" s="1"/>
  <c r="J787" i="2"/>
  <c r="K787" i="2" s="1"/>
  <c r="J788" i="2"/>
  <c r="K788" i="2" s="1"/>
  <c r="J789" i="2"/>
  <c r="K789" i="2" s="1"/>
  <c r="J790" i="2"/>
  <c r="K790" i="2" s="1"/>
  <c r="J791" i="2"/>
  <c r="K791" i="2" s="1"/>
  <c r="J792" i="2"/>
  <c r="K792" i="2" s="1"/>
  <c r="J793" i="2"/>
  <c r="K793" i="2" s="1"/>
  <c r="J794" i="2"/>
  <c r="K794" i="2" s="1"/>
  <c r="J795" i="2"/>
  <c r="K795" i="2" s="1"/>
  <c r="J796" i="2"/>
  <c r="K796" i="2" s="1"/>
  <c r="J797" i="2"/>
  <c r="K797" i="2" s="1"/>
  <c r="J798" i="2"/>
  <c r="K798" i="2" s="1"/>
  <c r="J799" i="2"/>
  <c r="K799" i="2" s="1"/>
  <c r="J800" i="2"/>
  <c r="K800" i="2" s="1"/>
  <c r="J801" i="2"/>
  <c r="K801" i="2" s="1"/>
  <c r="J802" i="2"/>
  <c r="K802" i="2" s="1"/>
  <c r="J803" i="2"/>
  <c r="K803" i="2" s="1"/>
  <c r="J804" i="2"/>
  <c r="K804" i="2" s="1"/>
  <c r="J805" i="2"/>
  <c r="K805" i="2" s="1"/>
  <c r="J806" i="2"/>
  <c r="K806" i="2" s="1"/>
  <c r="J807" i="2"/>
  <c r="K807" i="2" s="1"/>
  <c r="J808" i="2"/>
  <c r="K808" i="2" s="1"/>
  <c r="J809" i="2"/>
  <c r="K809" i="2" s="1"/>
  <c r="J810" i="2"/>
  <c r="K810" i="2" s="1"/>
  <c r="J811" i="2"/>
  <c r="K811" i="2" s="1"/>
  <c r="J812" i="2"/>
  <c r="K812" i="2" s="1"/>
  <c r="J813" i="2"/>
  <c r="K813" i="2" s="1"/>
  <c r="J814" i="2"/>
  <c r="K814" i="2" s="1"/>
  <c r="J815" i="2"/>
  <c r="K815" i="2" s="1"/>
  <c r="J816" i="2"/>
  <c r="K816" i="2" s="1"/>
  <c r="J817" i="2"/>
  <c r="K817" i="2" s="1"/>
  <c r="J818" i="2"/>
  <c r="K818" i="2" s="1"/>
  <c r="J819" i="2"/>
  <c r="K819" i="2" s="1"/>
  <c r="J820" i="2"/>
  <c r="K820" i="2" s="1"/>
  <c r="J821" i="2"/>
  <c r="K821" i="2" s="1"/>
  <c r="J822" i="2"/>
  <c r="K822" i="2" s="1"/>
  <c r="J823" i="2"/>
  <c r="K823" i="2" s="1"/>
  <c r="J824" i="2"/>
  <c r="K824" i="2" s="1"/>
  <c r="J825" i="2"/>
  <c r="K825" i="2" s="1"/>
  <c r="J826" i="2"/>
  <c r="K826" i="2" s="1"/>
  <c r="J827" i="2"/>
  <c r="K827" i="2" s="1"/>
  <c r="J828" i="2"/>
  <c r="K828" i="2" s="1"/>
  <c r="J829" i="2"/>
  <c r="K829" i="2" s="1"/>
  <c r="J830" i="2"/>
  <c r="K830" i="2" s="1"/>
  <c r="J831" i="2"/>
  <c r="K831" i="2" s="1"/>
  <c r="J832" i="2"/>
  <c r="K832" i="2" s="1"/>
  <c r="J833" i="2"/>
  <c r="K833" i="2" s="1"/>
  <c r="J834" i="2"/>
  <c r="K834" i="2" s="1"/>
  <c r="J835" i="2"/>
  <c r="K835" i="2" s="1"/>
  <c r="J836" i="2"/>
  <c r="K836" i="2" s="1"/>
  <c r="J837" i="2"/>
  <c r="K837" i="2" s="1"/>
  <c r="J838" i="2"/>
  <c r="K838" i="2" s="1"/>
  <c r="J839" i="2"/>
  <c r="K839" i="2" s="1"/>
  <c r="J840" i="2"/>
  <c r="K840" i="2" s="1"/>
  <c r="J841" i="2"/>
  <c r="K841" i="2" s="1"/>
  <c r="J842" i="2"/>
  <c r="K842" i="2" s="1"/>
  <c r="J843" i="2"/>
  <c r="K843" i="2" s="1"/>
  <c r="J844" i="2"/>
  <c r="K844" i="2" s="1"/>
  <c r="J845" i="2"/>
  <c r="K845" i="2" s="1"/>
  <c r="J846" i="2"/>
  <c r="K846" i="2" s="1"/>
  <c r="J847" i="2"/>
  <c r="K847" i="2" s="1"/>
  <c r="J848" i="2"/>
  <c r="K848" i="2" s="1"/>
  <c r="J849" i="2"/>
  <c r="K849" i="2" s="1"/>
  <c r="J850" i="2"/>
  <c r="K850" i="2" s="1"/>
  <c r="J851" i="2"/>
  <c r="K851" i="2" s="1"/>
  <c r="J852" i="2"/>
  <c r="K852" i="2" s="1"/>
  <c r="J853" i="2"/>
  <c r="K853" i="2" s="1"/>
  <c r="J854" i="2"/>
  <c r="K854" i="2" s="1"/>
  <c r="J855" i="2"/>
  <c r="K855" i="2" s="1"/>
  <c r="J856" i="2"/>
  <c r="K856" i="2" s="1"/>
  <c r="J857" i="2"/>
  <c r="K857" i="2" s="1"/>
  <c r="J858" i="2"/>
  <c r="K858" i="2" s="1"/>
  <c r="J859" i="2"/>
  <c r="K859" i="2" s="1"/>
  <c r="J860" i="2"/>
  <c r="K860" i="2" s="1"/>
  <c r="J861" i="2"/>
  <c r="K861" i="2" s="1"/>
  <c r="J862" i="2"/>
  <c r="K862" i="2" s="1"/>
  <c r="J863" i="2"/>
  <c r="K863" i="2" s="1"/>
  <c r="J864" i="2"/>
  <c r="K864" i="2" s="1"/>
  <c r="J865" i="2"/>
  <c r="K865" i="2" s="1"/>
  <c r="J866" i="2"/>
  <c r="K866" i="2" s="1"/>
  <c r="J867" i="2"/>
  <c r="K867" i="2" s="1"/>
  <c r="J868" i="2"/>
  <c r="K868" i="2" s="1"/>
  <c r="J869" i="2"/>
  <c r="K869" i="2" s="1"/>
  <c r="J870" i="2"/>
  <c r="K870" i="2" s="1"/>
  <c r="J871" i="2"/>
  <c r="K871" i="2" s="1"/>
  <c r="J872" i="2"/>
  <c r="K872" i="2" s="1"/>
  <c r="J873" i="2"/>
  <c r="K873" i="2" s="1"/>
  <c r="J874" i="2"/>
  <c r="K874" i="2" s="1"/>
  <c r="J875" i="2"/>
  <c r="K875" i="2" s="1"/>
  <c r="J876" i="2"/>
  <c r="K876" i="2" s="1"/>
  <c r="J877" i="2"/>
  <c r="K877" i="2" s="1"/>
  <c r="J878" i="2"/>
  <c r="K878" i="2" s="1"/>
  <c r="J879" i="2"/>
  <c r="K879" i="2" s="1"/>
  <c r="J880" i="2"/>
  <c r="K880" i="2" s="1"/>
  <c r="J881" i="2"/>
  <c r="K881" i="2" s="1"/>
  <c r="J882" i="2"/>
  <c r="K882" i="2" s="1"/>
  <c r="J883" i="2"/>
  <c r="K883" i="2" s="1"/>
  <c r="J884" i="2"/>
  <c r="K884" i="2" s="1"/>
  <c r="J885" i="2"/>
  <c r="K885" i="2" s="1"/>
  <c r="J886" i="2"/>
  <c r="K886" i="2" s="1"/>
  <c r="J887" i="2"/>
  <c r="K887" i="2" s="1"/>
  <c r="J888" i="2"/>
  <c r="K888" i="2" s="1"/>
  <c r="J889" i="2"/>
  <c r="K889" i="2" s="1"/>
  <c r="J890" i="2"/>
  <c r="K890" i="2" s="1"/>
  <c r="J891" i="2"/>
  <c r="K891" i="2" s="1"/>
  <c r="J892" i="2"/>
  <c r="K892" i="2" s="1"/>
  <c r="J893" i="2"/>
  <c r="K893" i="2" s="1"/>
  <c r="J894" i="2"/>
  <c r="K894" i="2" s="1"/>
  <c r="J895" i="2"/>
  <c r="K895" i="2" s="1"/>
  <c r="J896" i="2"/>
  <c r="K896" i="2" s="1"/>
  <c r="J897" i="2"/>
  <c r="K897" i="2" s="1"/>
  <c r="J898" i="2"/>
  <c r="K898" i="2" s="1"/>
  <c r="J899" i="2"/>
  <c r="K899" i="2" s="1"/>
  <c r="J900" i="2"/>
  <c r="K900" i="2" s="1"/>
  <c r="J901" i="2"/>
  <c r="K901" i="2" s="1"/>
  <c r="J902" i="2"/>
  <c r="K902" i="2" s="1"/>
  <c r="J903" i="2"/>
  <c r="K903" i="2" s="1"/>
  <c r="J904" i="2"/>
  <c r="K904" i="2" s="1"/>
  <c r="J905" i="2"/>
  <c r="K905" i="2" s="1"/>
  <c r="J906" i="2"/>
  <c r="K906" i="2" s="1"/>
  <c r="J907" i="2"/>
  <c r="K907" i="2" s="1"/>
  <c r="J908" i="2"/>
  <c r="K908" i="2" s="1"/>
  <c r="J909" i="2"/>
  <c r="K909" i="2" s="1"/>
  <c r="J910" i="2"/>
  <c r="K910" i="2" s="1"/>
  <c r="J911" i="2"/>
  <c r="K911" i="2" s="1"/>
  <c r="J912" i="2"/>
  <c r="K912" i="2" s="1"/>
  <c r="J913" i="2"/>
  <c r="K913" i="2" s="1"/>
  <c r="J914" i="2"/>
  <c r="K914" i="2" s="1"/>
  <c r="J915" i="2"/>
  <c r="K915" i="2" s="1"/>
  <c r="J916" i="2"/>
  <c r="K916" i="2" s="1"/>
  <c r="J917" i="2"/>
  <c r="K917" i="2" s="1"/>
  <c r="J918" i="2"/>
  <c r="K918" i="2" s="1"/>
  <c r="J919" i="2"/>
  <c r="K919" i="2" s="1"/>
  <c r="J920" i="2"/>
  <c r="K920" i="2" s="1"/>
  <c r="J921" i="2"/>
  <c r="K921" i="2" s="1"/>
  <c r="J922" i="2"/>
  <c r="K922" i="2" s="1"/>
  <c r="J923" i="2"/>
  <c r="K923" i="2" s="1"/>
  <c r="J924" i="2"/>
  <c r="K924" i="2" s="1"/>
  <c r="J925" i="2"/>
  <c r="K925" i="2" s="1"/>
  <c r="J926" i="2"/>
  <c r="K926" i="2" s="1"/>
  <c r="J927" i="2"/>
  <c r="K927" i="2" s="1"/>
  <c r="J928" i="2"/>
  <c r="K928" i="2" s="1"/>
  <c r="J929" i="2"/>
  <c r="K929" i="2" s="1"/>
  <c r="J930" i="2"/>
  <c r="K930" i="2" s="1"/>
  <c r="J931" i="2"/>
  <c r="K931" i="2" s="1"/>
  <c r="J932" i="2"/>
  <c r="K932" i="2" s="1"/>
  <c r="J933" i="2"/>
  <c r="K933" i="2" s="1"/>
  <c r="J934" i="2"/>
  <c r="K934" i="2" s="1"/>
  <c r="J935" i="2"/>
  <c r="K935" i="2" s="1"/>
  <c r="J936" i="2"/>
  <c r="K936" i="2" s="1"/>
  <c r="J937" i="2"/>
  <c r="K937" i="2" s="1"/>
  <c r="J938" i="2"/>
  <c r="K938" i="2" s="1"/>
  <c r="J939" i="2"/>
  <c r="K939" i="2" s="1"/>
  <c r="J940" i="2"/>
  <c r="K940" i="2" s="1"/>
  <c r="J941" i="2"/>
  <c r="K941" i="2" s="1"/>
  <c r="J942" i="2"/>
  <c r="K942" i="2" s="1"/>
  <c r="J943" i="2"/>
  <c r="K943" i="2" s="1"/>
  <c r="J944" i="2"/>
  <c r="K944" i="2" s="1"/>
  <c r="J945" i="2"/>
  <c r="K945" i="2" s="1"/>
  <c r="J946" i="2"/>
  <c r="K946" i="2" s="1"/>
  <c r="J947" i="2"/>
  <c r="K947" i="2" s="1"/>
  <c r="J948" i="2"/>
  <c r="K948" i="2" s="1"/>
  <c r="J949" i="2"/>
  <c r="K949" i="2" s="1"/>
  <c r="J950" i="2"/>
  <c r="K950" i="2" s="1"/>
  <c r="J951" i="2"/>
  <c r="K951" i="2" s="1"/>
  <c r="J952" i="2"/>
  <c r="K952" i="2" s="1"/>
  <c r="J953" i="2"/>
  <c r="K953" i="2" s="1"/>
  <c r="J954" i="2"/>
  <c r="K954" i="2" s="1"/>
  <c r="J955" i="2"/>
  <c r="K955" i="2" s="1"/>
  <c r="J956" i="2"/>
  <c r="K956" i="2" s="1"/>
  <c r="J957" i="2"/>
  <c r="K957" i="2" s="1"/>
  <c r="J958" i="2"/>
  <c r="K958" i="2" s="1"/>
  <c r="J959" i="2"/>
  <c r="K959" i="2" s="1"/>
  <c r="J960" i="2"/>
  <c r="K960" i="2" s="1"/>
  <c r="J961" i="2"/>
  <c r="K961" i="2" s="1"/>
  <c r="J962" i="2"/>
  <c r="K962" i="2" s="1"/>
  <c r="J963" i="2"/>
  <c r="K963" i="2" s="1"/>
  <c r="J964" i="2"/>
  <c r="K964" i="2" s="1"/>
  <c r="J965" i="2"/>
  <c r="K965" i="2" s="1"/>
  <c r="J966" i="2"/>
  <c r="K966" i="2" s="1"/>
  <c r="J967" i="2"/>
  <c r="K967" i="2" s="1"/>
  <c r="J968" i="2"/>
  <c r="K968" i="2" s="1"/>
  <c r="J969" i="2"/>
  <c r="K969" i="2" s="1"/>
  <c r="J970" i="2"/>
  <c r="K970" i="2" s="1"/>
  <c r="J971" i="2"/>
  <c r="K971" i="2" s="1"/>
  <c r="J972" i="2"/>
  <c r="K972" i="2" s="1"/>
  <c r="J973" i="2"/>
  <c r="K973" i="2" s="1"/>
  <c r="J974" i="2"/>
  <c r="K974" i="2" s="1"/>
  <c r="J975" i="2"/>
  <c r="K975" i="2" s="1"/>
  <c r="J976" i="2"/>
  <c r="K976" i="2" s="1"/>
  <c r="J977" i="2"/>
  <c r="K977" i="2" s="1"/>
  <c r="J978" i="2"/>
  <c r="K978" i="2" s="1"/>
  <c r="J979" i="2"/>
  <c r="K979" i="2" s="1"/>
  <c r="J980" i="2"/>
  <c r="K980" i="2" s="1"/>
  <c r="J981" i="2"/>
  <c r="K981" i="2" s="1"/>
  <c r="J982" i="2"/>
  <c r="K982" i="2" s="1"/>
  <c r="J983" i="2"/>
  <c r="K983" i="2" s="1"/>
  <c r="J984" i="2"/>
  <c r="K984" i="2" s="1"/>
  <c r="J985" i="2"/>
  <c r="K985" i="2" s="1"/>
  <c r="J986" i="2"/>
  <c r="K986" i="2" s="1"/>
  <c r="J987" i="2"/>
  <c r="K987" i="2" s="1"/>
  <c r="J988" i="2"/>
  <c r="K988" i="2" s="1"/>
  <c r="J989" i="2"/>
  <c r="K989" i="2" s="1"/>
  <c r="J990" i="2"/>
  <c r="K990" i="2" s="1"/>
  <c r="J991" i="2"/>
  <c r="K991" i="2" s="1"/>
  <c r="J992" i="2"/>
  <c r="K992" i="2" s="1"/>
  <c r="J993" i="2"/>
  <c r="K993" i="2" s="1"/>
  <c r="J994" i="2"/>
  <c r="K994" i="2" s="1"/>
  <c r="J995" i="2"/>
  <c r="K995" i="2" s="1"/>
  <c r="J996" i="2"/>
  <c r="K996" i="2" s="1"/>
  <c r="J997" i="2"/>
  <c r="K997" i="2" s="1"/>
  <c r="J998" i="2"/>
  <c r="K998" i="2" s="1"/>
  <c r="J999" i="2"/>
  <c r="K999" i="2" s="1"/>
  <c r="J1000" i="2"/>
  <c r="K1000" i="2" s="1"/>
  <c r="J1001" i="2"/>
  <c r="K1001" i="2" s="1"/>
  <c r="J2" i="2"/>
  <c r="K2" i="2" s="1"/>
  <c r="I3" i="2"/>
  <c r="I5" i="2"/>
  <c r="I6" i="2"/>
  <c r="I7" i="2"/>
  <c r="I8" i="2"/>
  <c r="I14" i="2"/>
  <c r="I15" i="2"/>
  <c r="I17" i="2"/>
  <c r="I18" i="2"/>
  <c r="I19" i="2"/>
  <c r="I21" i="2"/>
  <c r="I22" i="2"/>
  <c r="I23" i="2"/>
  <c r="I24" i="2"/>
  <c r="I25" i="2"/>
  <c r="I26" i="2"/>
  <c r="I30" i="2"/>
  <c r="I31" i="2"/>
  <c r="I33" i="2"/>
  <c r="I34" i="2"/>
  <c r="I35" i="2"/>
  <c r="I62" i="2"/>
  <c r="I78" i="2"/>
  <c r="I79" i="2"/>
  <c r="I81" i="2"/>
  <c r="I94" i="2"/>
  <c r="I95" i="2"/>
  <c r="I97" i="2"/>
  <c r="I98" i="2"/>
  <c r="I99" i="2"/>
  <c r="I110" i="2"/>
  <c r="I111" i="2"/>
  <c r="I113" i="2"/>
  <c r="I114" i="2"/>
  <c r="I115" i="2"/>
  <c r="I117" i="2"/>
  <c r="I118" i="2"/>
  <c r="I126" i="2"/>
  <c r="I127" i="2"/>
  <c r="I129" i="2"/>
  <c r="I130" i="2"/>
  <c r="I131" i="2"/>
  <c r="I133" i="2"/>
  <c r="I134" i="2"/>
  <c r="I135" i="2"/>
  <c r="I136" i="2"/>
  <c r="I142" i="2"/>
  <c r="I143" i="2"/>
  <c r="I145" i="2"/>
  <c r="I146" i="2"/>
  <c r="I147" i="2"/>
  <c r="I149" i="2"/>
  <c r="I150" i="2"/>
  <c r="I151" i="2"/>
  <c r="I152" i="2"/>
  <c r="I153" i="2"/>
  <c r="I154" i="2"/>
  <c r="I158" i="2"/>
  <c r="I159" i="2"/>
  <c r="I161" i="2"/>
  <c r="I162" i="2"/>
  <c r="I163" i="2"/>
  <c r="I190" i="2"/>
  <c r="I206" i="2"/>
  <c r="I207" i="2"/>
  <c r="I209" i="2"/>
  <c r="I222" i="2"/>
  <c r="I223" i="2"/>
  <c r="I225" i="2"/>
  <c r="I226" i="2"/>
  <c r="I227" i="2"/>
  <c r="I238" i="2"/>
  <c r="I239" i="2"/>
  <c r="I241" i="2"/>
  <c r="I242" i="2"/>
  <c r="I243" i="2"/>
  <c r="I245" i="2"/>
  <c r="I246" i="2"/>
  <c r="I254" i="2"/>
  <c r="I255" i="2"/>
  <c r="I257" i="2"/>
  <c r="I258" i="2"/>
  <c r="I259" i="2"/>
  <c r="I261" i="2"/>
  <c r="I262" i="2"/>
  <c r="I263" i="2"/>
  <c r="I264" i="2"/>
  <c r="I270" i="2"/>
  <c r="I271" i="2"/>
  <c r="I273" i="2"/>
  <c r="I274" i="2"/>
  <c r="I275" i="2"/>
  <c r="I277" i="2"/>
  <c r="I278" i="2"/>
  <c r="I279" i="2"/>
  <c r="I280" i="2"/>
  <c r="I281" i="2"/>
  <c r="I282" i="2"/>
  <c r="I286" i="2"/>
  <c r="I287" i="2"/>
  <c r="I289" i="2"/>
  <c r="I291" i="2"/>
  <c r="I318" i="2"/>
  <c r="I334" i="2"/>
  <c r="I335" i="2"/>
  <c r="I337" i="2"/>
  <c r="I350" i="2"/>
  <c r="I351" i="2"/>
  <c r="I353" i="2"/>
  <c r="I354" i="2"/>
  <c r="I355" i="2"/>
  <c r="I366" i="2"/>
  <c r="I367" i="2"/>
  <c r="I369" i="2"/>
  <c r="I370" i="2"/>
  <c r="I371" i="2"/>
  <c r="I372" i="2"/>
  <c r="I382" i="2"/>
  <c r="I383" i="2"/>
  <c r="I384" i="2"/>
  <c r="I385" i="2"/>
  <c r="I386" i="2"/>
  <c r="I387" i="2"/>
  <c r="I388" i="2"/>
  <c r="I398" i="2"/>
  <c r="I399" i="2"/>
  <c r="I400" i="2"/>
  <c r="I401" i="2"/>
  <c r="I402" i="2"/>
  <c r="I403" i="2"/>
  <c r="I404" i="2"/>
  <c r="I414" i="2"/>
  <c r="I415" i="2"/>
  <c r="I416" i="2"/>
  <c r="I417" i="2"/>
  <c r="I418" i="2"/>
  <c r="I419" i="2"/>
  <c r="I420" i="2"/>
  <c r="I430" i="2"/>
  <c r="I431" i="2"/>
  <c r="I432" i="2"/>
  <c r="I433" i="2"/>
  <c r="I434" i="2"/>
  <c r="I435" i="2"/>
  <c r="I436" i="2"/>
  <c r="I446" i="2"/>
  <c r="I447" i="2"/>
  <c r="I448" i="2"/>
  <c r="I449" i="2"/>
  <c r="I450" i="2"/>
  <c r="I451" i="2"/>
  <c r="I452" i="2"/>
  <c r="I462" i="2"/>
  <c r="I463" i="2"/>
  <c r="I464" i="2"/>
  <c r="I465" i="2"/>
  <c r="I466" i="2"/>
  <c r="I467" i="2"/>
  <c r="I468" i="2"/>
  <c r="I478" i="2"/>
  <c r="I479" i="2"/>
  <c r="I480" i="2"/>
  <c r="I481" i="2"/>
  <c r="I482" i="2"/>
  <c r="I483" i="2"/>
  <c r="I484" i="2"/>
  <c r="I494" i="2"/>
  <c r="I495" i="2"/>
  <c r="I496" i="2"/>
  <c r="I497" i="2"/>
  <c r="I498" i="2"/>
  <c r="I499" i="2"/>
  <c r="I500" i="2"/>
  <c r="I510" i="2"/>
  <c r="I511" i="2"/>
  <c r="I512" i="2"/>
  <c r="I513" i="2"/>
  <c r="I514" i="2"/>
  <c r="I515" i="2"/>
  <c r="I516" i="2"/>
  <c r="I526" i="2"/>
  <c r="I527" i="2"/>
  <c r="I528" i="2"/>
  <c r="I529" i="2"/>
  <c r="I530" i="2"/>
  <c r="I531" i="2"/>
  <c r="I532" i="2"/>
  <c r="I542" i="2"/>
  <c r="I543" i="2"/>
  <c r="I544" i="2"/>
  <c r="I545" i="2"/>
  <c r="I546" i="2"/>
  <c r="I547" i="2"/>
  <c r="I548" i="2"/>
  <c r="I558" i="2"/>
  <c r="I559" i="2"/>
  <c r="I560" i="2"/>
  <c r="I561" i="2"/>
  <c r="I562" i="2"/>
  <c r="I563" i="2"/>
  <c r="I564" i="2"/>
  <c r="I574" i="2"/>
  <c r="I575" i="2"/>
  <c r="I576" i="2"/>
  <c r="I577" i="2"/>
  <c r="I578" i="2"/>
  <c r="I579" i="2"/>
  <c r="I580" i="2"/>
  <c r="I590" i="2"/>
  <c r="I591" i="2"/>
  <c r="I592" i="2"/>
  <c r="I593" i="2"/>
  <c r="I594" i="2"/>
  <c r="I595" i="2"/>
  <c r="I596" i="2"/>
  <c r="I606" i="2"/>
  <c r="I607" i="2"/>
  <c r="I608" i="2"/>
  <c r="I609" i="2"/>
  <c r="I610" i="2"/>
  <c r="I611" i="2"/>
  <c r="I612" i="2"/>
  <c r="I622" i="2"/>
  <c r="I623" i="2"/>
  <c r="I624" i="2"/>
  <c r="I625" i="2"/>
  <c r="I626" i="2"/>
  <c r="I627" i="2"/>
  <c r="I628" i="2"/>
  <c r="I638" i="2"/>
  <c r="I639" i="2"/>
  <c r="I640" i="2"/>
  <c r="I641" i="2"/>
  <c r="I642" i="2"/>
  <c r="I643" i="2"/>
  <c r="I644" i="2"/>
  <c r="I654" i="2"/>
  <c r="I655" i="2"/>
  <c r="I656" i="2"/>
  <c r="I657" i="2"/>
  <c r="I658" i="2"/>
  <c r="I659" i="2"/>
  <c r="I660" i="2"/>
  <c r="I670" i="2"/>
  <c r="I671" i="2"/>
  <c r="I672" i="2"/>
  <c r="I673" i="2"/>
  <c r="I674" i="2"/>
  <c r="I675" i="2"/>
  <c r="I676" i="2"/>
  <c r="I686" i="2"/>
  <c r="I687" i="2"/>
  <c r="I688" i="2"/>
  <c r="I689" i="2"/>
  <c r="I690" i="2"/>
  <c r="I691" i="2"/>
  <c r="I692" i="2"/>
  <c r="I702" i="2"/>
  <c r="I703" i="2"/>
  <c r="I704" i="2"/>
  <c r="I705" i="2"/>
  <c r="I706" i="2"/>
  <c r="I707" i="2"/>
  <c r="I708" i="2"/>
  <c r="I718" i="2"/>
  <c r="I719" i="2"/>
  <c r="I720" i="2"/>
  <c r="I721" i="2"/>
  <c r="I722" i="2"/>
  <c r="I723" i="2"/>
  <c r="I724" i="2"/>
  <c r="I734" i="2"/>
  <c r="I735" i="2"/>
  <c r="I736" i="2"/>
  <c r="I737" i="2"/>
  <c r="I738" i="2"/>
  <c r="I739" i="2"/>
  <c r="I740" i="2"/>
  <c r="I750" i="2"/>
  <c r="I751" i="2"/>
  <c r="I752" i="2"/>
  <c r="I753" i="2"/>
  <c r="I754" i="2"/>
  <c r="I755" i="2"/>
  <c r="I756" i="2"/>
  <c r="I766" i="2"/>
  <c r="I767" i="2"/>
  <c r="I768" i="2"/>
  <c r="I769" i="2"/>
  <c r="I770" i="2"/>
  <c r="I771" i="2"/>
  <c r="I772" i="2"/>
  <c r="I782" i="2"/>
  <c r="I783" i="2"/>
  <c r="I784" i="2"/>
  <c r="I785" i="2"/>
  <c r="I786" i="2"/>
  <c r="I787" i="2"/>
  <c r="I788" i="2"/>
  <c r="I798" i="2"/>
  <c r="I799" i="2"/>
  <c r="I800" i="2"/>
  <c r="I801" i="2"/>
  <c r="I802" i="2"/>
  <c r="I803" i="2"/>
  <c r="I804" i="2"/>
  <c r="I814" i="2"/>
  <c r="I815" i="2"/>
  <c r="I816" i="2"/>
  <c r="I817" i="2"/>
  <c r="I818" i="2"/>
  <c r="I819" i="2"/>
  <c r="I820" i="2"/>
  <c r="I830" i="2"/>
  <c r="I831" i="2"/>
  <c r="I832" i="2"/>
  <c r="I833" i="2"/>
  <c r="I834" i="2"/>
  <c r="I835" i="2"/>
  <c r="I836" i="2"/>
  <c r="I846" i="2"/>
  <c r="I847" i="2"/>
  <c r="I848" i="2"/>
  <c r="I849" i="2"/>
  <c r="I850" i="2"/>
  <c r="I851" i="2"/>
  <c r="I852" i="2"/>
  <c r="I862" i="2"/>
  <c r="I863" i="2"/>
  <c r="I864" i="2"/>
  <c r="I865" i="2"/>
  <c r="I866" i="2"/>
  <c r="I867" i="2"/>
  <c r="I868" i="2"/>
  <c r="I878" i="2"/>
  <c r="I879" i="2"/>
  <c r="I880" i="2"/>
  <c r="I881" i="2"/>
  <c r="I882" i="2"/>
  <c r="I883" i="2"/>
  <c r="I884" i="2"/>
  <c r="I894" i="2"/>
  <c r="I895" i="2"/>
  <c r="I896" i="2"/>
  <c r="I897" i="2"/>
  <c r="I898" i="2"/>
  <c r="I899" i="2"/>
  <c r="I900" i="2"/>
  <c r="I910" i="2"/>
  <c r="I911" i="2"/>
  <c r="I912" i="2"/>
  <c r="I913" i="2"/>
  <c r="I914" i="2"/>
  <c r="I915" i="2"/>
  <c r="I916" i="2"/>
  <c r="I926" i="2"/>
  <c r="I927" i="2"/>
  <c r="I928" i="2"/>
  <c r="I929" i="2"/>
  <c r="I930" i="2"/>
  <c r="I931" i="2"/>
  <c r="I932" i="2"/>
  <c r="I942" i="2"/>
  <c r="I943" i="2"/>
  <c r="I944" i="2"/>
  <c r="I945" i="2"/>
  <c r="I946" i="2"/>
  <c r="I947" i="2"/>
  <c r="I948" i="2"/>
  <c r="I958" i="2"/>
  <c r="I959" i="2"/>
  <c r="I960" i="2"/>
  <c r="I961" i="2"/>
  <c r="I962" i="2"/>
  <c r="I963" i="2"/>
  <c r="I964" i="2"/>
  <c r="I974" i="2"/>
  <c r="I975" i="2"/>
  <c r="I976" i="2"/>
  <c r="I977" i="2"/>
  <c r="I978" i="2"/>
  <c r="I979" i="2"/>
  <c r="I980" i="2"/>
  <c r="I990" i="2"/>
  <c r="I991" i="2"/>
  <c r="I992" i="2"/>
  <c r="I993" i="2"/>
  <c r="I994" i="2"/>
  <c r="I995" i="2"/>
  <c r="I996" i="2"/>
  <c r="H3" i="2"/>
  <c r="H4" i="2"/>
  <c r="I4" i="2" s="1"/>
  <c r="H5" i="2"/>
  <c r="H6" i="2"/>
  <c r="H7" i="2"/>
  <c r="H8" i="2"/>
  <c r="H9" i="2"/>
  <c r="I9" i="2" s="1"/>
  <c r="H10" i="2"/>
  <c r="I10" i="2" s="1"/>
  <c r="H11" i="2"/>
  <c r="I11" i="2" s="1"/>
  <c r="H12" i="2"/>
  <c r="I12" i="2" s="1"/>
  <c r="H13" i="2"/>
  <c r="I13" i="2" s="1"/>
  <c r="H14" i="2"/>
  <c r="H15" i="2"/>
  <c r="H16" i="2"/>
  <c r="I16" i="2" s="1"/>
  <c r="H17" i="2"/>
  <c r="H18" i="2"/>
  <c r="H19" i="2"/>
  <c r="H20" i="2"/>
  <c r="I20" i="2" s="1"/>
  <c r="H21" i="2"/>
  <c r="H22" i="2"/>
  <c r="H23" i="2"/>
  <c r="H24" i="2"/>
  <c r="H25" i="2"/>
  <c r="H26" i="2"/>
  <c r="H27" i="2"/>
  <c r="I27" i="2" s="1"/>
  <c r="H28" i="2"/>
  <c r="I28" i="2" s="1"/>
  <c r="H29" i="2"/>
  <c r="I29" i="2" s="1"/>
  <c r="H30" i="2"/>
  <c r="H31" i="2"/>
  <c r="H32" i="2"/>
  <c r="I32" i="2" s="1"/>
  <c r="H33" i="2"/>
  <c r="H34" i="2"/>
  <c r="H35" i="2"/>
  <c r="H36" i="2"/>
  <c r="I36" i="2" s="1"/>
  <c r="H37" i="2"/>
  <c r="I37" i="2" s="1"/>
  <c r="H38" i="2"/>
  <c r="I38" i="2" s="1"/>
  <c r="H39" i="2"/>
  <c r="I39" i="2" s="1"/>
  <c r="H40" i="2"/>
  <c r="I40" i="2" s="1"/>
  <c r="H41" i="2"/>
  <c r="I41" i="2" s="1"/>
  <c r="H42" i="2"/>
  <c r="I42" i="2" s="1"/>
  <c r="H43" i="2"/>
  <c r="I43" i="2" s="1"/>
  <c r="H44" i="2"/>
  <c r="I44" i="2" s="1"/>
  <c r="H45" i="2"/>
  <c r="I45" i="2" s="1"/>
  <c r="H46" i="2"/>
  <c r="I46" i="2" s="1"/>
  <c r="H47" i="2"/>
  <c r="I47" i="2" s="1"/>
  <c r="H48" i="2"/>
  <c r="I48" i="2" s="1"/>
  <c r="H49" i="2"/>
  <c r="I49" i="2" s="1"/>
  <c r="H50" i="2"/>
  <c r="I50" i="2" s="1"/>
  <c r="H51" i="2"/>
  <c r="I51" i="2" s="1"/>
  <c r="H52" i="2"/>
  <c r="I52" i="2" s="1"/>
  <c r="H53" i="2"/>
  <c r="I53" i="2" s="1"/>
  <c r="H54" i="2"/>
  <c r="I54" i="2" s="1"/>
  <c r="H55" i="2"/>
  <c r="I55" i="2" s="1"/>
  <c r="H56" i="2"/>
  <c r="I56" i="2" s="1"/>
  <c r="H57" i="2"/>
  <c r="I57" i="2" s="1"/>
  <c r="H58" i="2"/>
  <c r="I58" i="2" s="1"/>
  <c r="H59" i="2"/>
  <c r="I59" i="2" s="1"/>
  <c r="H60" i="2"/>
  <c r="I60" i="2" s="1"/>
  <c r="H61" i="2"/>
  <c r="I61" i="2" s="1"/>
  <c r="H62" i="2"/>
  <c r="H63" i="2"/>
  <c r="I63" i="2" s="1"/>
  <c r="H64" i="2"/>
  <c r="I64" i="2" s="1"/>
  <c r="H65" i="2"/>
  <c r="I65" i="2" s="1"/>
  <c r="H66" i="2"/>
  <c r="I66" i="2" s="1"/>
  <c r="H67" i="2"/>
  <c r="I67" i="2" s="1"/>
  <c r="H68" i="2"/>
  <c r="I68" i="2" s="1"/>
  <c r="H69" i="2"/>
  <c r="I69" i="2" s="1"/>
  <c r="H70" i="2"/>
  <c r="I70" i="2" s="1"/>
  <c r="H71" i="2"/>
  <c r="I71" i="2" s="1"/>
  <c r="H72" i="2"/>
  <c r="I72" i="2" s="1"/>
  <c r="H73" i="2"/>
  <c r="I73" i="2" s="1"/>
  <c r="H74" i="2"/>
  <c r="I74" i="2" s="1"/>
  <c r="H75" i="2"/>
  <c r="I75" i="2" s="1"/>
  <c r="H76" i="2"/>
  <c r="I76" i="2" s="1"/>
  <c r="H77" i="2"/>
  <c r="I77" i="2" s="1"/>
  <c r="H78" i="2"/>
  <c r="H79" i="2"/>
  <c r="H80" i="2"/>
  <c r="I80" i="2" s="1"/>
  <c r="H81" i="2"/>
  <c r="H82" i="2"/>
  <c r="I82" i="2" s="1"/>
  <c r="H83" i="2"/>
  <c r="I83" i="2" s="1"/>
  <c r="H84" i="2"/>
  <c r="I84" i="2" s="1"/>
  <c r="H85" i="2"/>
  <c r="I85" i="2" s="1"/>
  <c r="H86" i="2"/>
  <c r="I86" i="2" s="1"/>
  <c r="H87" i="2"/>
  <c r="I87" i="2" s="1"/>
  <c r="H88" i="2"/>
  <c r="I88" i="2" s="1"/>
  <c r="H89" i="2"/>
  <c r="I89" i="2" s="1"/>
  <c r="H90" i="2"/>
  <c r="I90" i="2" s="1"/>
  <c r="H91" i="2"/>
  <c r="I91" i="2" s="1"/>
  <c r="H92" i="2"/>
  <c r="I92" i="2" s="1"/>
  <c r="H93" i="2"/>
  <c r="I93" i="2" s="1"/>
  <c r="H94" i="2"/>
  <c r="H95" i="2"/>
  <c r="H96" i="2"/>
  <c r="I96" i="2" s="1"/>
  <c r="H97" i="2"/>
  <c r="H98" i="2"/>
  <c r="H99" i="2"/>
  <c r="H100" i="2"/>
  <c r="I100" i="2" s="1"/>
  <c r="H101" i="2"/>
  <c r="I101" i="2" s="1"/>
  <c r="H102" i="2"/>
  <c r="I102" i="2" s="1"/>
  <c r="H103" i="2"/>
  <c r="I103" i="2" s="1"/>
  <c r="H104" i="2"/>
  <c r="I104" i="2" s="1"/>
  <c r="H105" i="2"/>
  <c r="I105" i="2" s="1"/>
  <c r="H106" i="2"/>
  <c r="I106" i="2" s="1"/>
  <c r="H107" i="2"/>
  <c r="I107" i="2" s="1"/>
  <c r="H108" i="2"/>
  <c r="I108" i="2" s="1"/>
  <c r="H109" i="2"/>
  <c r="I109" i="2" s="1"/>
  <c r="H110" i="2"/>
  <c r="H111" i="2"/>
  <c r="H112" i="2"/>
  <c r="I112" i="2" s="1"/>
  <c r="H113" i="2"/>
  <c r="H114" i="2"/>
  <c r="H115" i="2"/>
  <c r="H116" i="2"/>
  <c r="I116" i="2" s="1"/>
  <c r="H117" i="2"/>
  <c r="H118" i="2"/>
  <c r="H119" i="2"/>
  <c r="I119" i="2" s="1"/>
  <c r="H120" i="2"/>
  <c r="I120" i="2" s="1"/>
  <c r="H121" i="2"/>
  <c r="I121" i="2" s="1"/>
  <c r="H122" i="2"/>
  <c r="I122" i="2" s="1"/>
  <c r="H123" i="2"/>
  <c r="I123" i="2" s="1"/>
  <c r="H124" i="2"/>
  <c r="I124" i="2" s="1"/>
  <c r="H125" i="2"/>
  <c r="I125" i="2" s="1"/>
  <c r="H126" i="2"/>
  <c r="H127" i="2"/>
  <c r="H128" i="2"/>
  <c r="I128" i="2" s="1"/>
  <c r="H129" i="2"/>
  <c r="H130" i="2"/>
  <c r="H131" i="2"/>
  <c r="H132" i="2"/>
  <c r="I132" i="2" s="1"/>
  <c r="H133" i="2"/>
  <c r="H134" i="2"/>
  <c r="H135" i="2"/>
  <c r="H136" i="2"/>
  <c r="H137" i="2"/>
  <c r="I137" i="2" s="1"/>
  <c r="H138" i="2"/>
  <c r="I138" i="2" s="1"/>
  <c r="H139" i="2"/>
  <c r="I139" i="2" s="1"/>
  <c r="H140" i="2"/>
  <c r="I140" i="2" s="1"/>
  <c r="H141" i="2"/>
  <c r="I141" i="2" s="1"/>
  <c r="H142" i="2"/>
  <c r="H143" i="2"/>
  <c r="H144" i="2"/>
  <c r="I144" i="2" s="1"/>
  <c r="H145" i="2"/>
  <c r="H146" i="2"/>
  <c r="H147" i="2"/>
  <c r="H148" i="2"/>
  <c r="I148" i="2" s="1"/>
  <c r="H149" i="2"/>
  <c r="H150" i="2"/>
  <c r="H151" i="2"/>
  <c r="H152" i="2"/>
  <c r="H153" i="2"/>
  <c r="H154" i="2"/>
  <c r="H155" i="2"/>
  <c r="I155" i="2" s="1"/>
  <c r="H156" i="2"/>
  <c r="I156" i="2" s="1"/>
  <c r="H157" i="2"/>
  <c r="I157" i="2" s="1"/>
  <c r="H158" i="2"/>
  <c r="H159" i="2"/>
  <c r="H160" i="2"/>
  <c r="I160" i="2" s="1"/>
  <c r="H161" i="2"/>
  <c r="H162" i="2"/>
  <c r="H163" i="2"/>
  <c r="H164" i="2"/>
  <c r="I164" i="2" s="1"/>
  <c r="H165" i="2"/>
  <c r="I165" i="2" s="1"/>
  <c r="H166" i="2"/>
  <c r="I166" i="2" s="1"/>
  <c r="H167" i="2"/>
  <c r="I167" i="2" s="1"/>
  <c r="H168" i="2"/>
  <c r="I168" i="2" s="1"/>
  <c r="H169" i="2"/>
  <c r="I169" i="2" s="1"/>
  <c r="H170" i="2"/>
  <c r="I170" i="2" s="1"/>
  <c r="H171" i="2"/>
  <c r="I171" i="2" s="1"/>
  <c r="H172" i="2"/>
  <c r="I172" i="2" s="1"/>
  <c r="H173" i="2"/>
  <c r="I173" i="2" s="1"/>
  <c r="H174" i="2"/>
  <c r="I174" i="2" s="1"/>
  <c r="H175" i="2"/>
  <c r="I175" i="2" s="1"/>
  <c r="H176" i="2"/>
  <c r="I176" i="2" s="1"/>
  <c r="H177" i="2"/>
  <c r="I177" i="2" s="1"/>
  <c r="H178" i="2"/>
  <c r="I178" i="2" s="1"/>
  <c r="H179" i="2"/>
  <c r="I179" i="2" s="1"/>
  <c r="H180" i="2"/>
  <c r="I180" i="2" s="1"/>
  <c r="H181" i="2"/>
  <c r="I181" i="2" s="1"/>
  <c r="H182" i="2"/>
  <c r="I182" i="2" s="1"/>
  <c r="H183" i="2"/>
  <c r="I183" i="2" s="1"/>
  <c r="H184" i="2"/>
  <c r="I184" i="2" s="1"/>
  <c r="H185" i="2"/>
  <c r="I185" i="2" s="1"/>
  <c r="H186" i="2"/>
  <c r="I186" i="2" s="1"/>
  <c r="H187" i="2"/>
  <c r="I187" i="2" s="1"/>
  <c r="H188" i="2"/>
  <c r="I188" i="2" s="1"/>
  <c r="H189" i="2"/>
  <c r="I189" i="2" s="1"/>
  <c r="H190" i="2"/>
  <c r="H191" i="2"/>
  <c r="I191" i="2" s="1"/>
  <c r="H192" i="2"/>
  <c r="I192" i="2" s="1"/>
  <c r="H193" i="2"/>
  <c r="I193" i="2" s="1"/>
  <c r="H194" i="2"/>
  <c r="I194" i="2" s="1"/>
  <c r="H195" i="2"/>
  <c r="I195" i="2" s="1"/>
  <c r="H196" i="2"/>
  <c r="I196" i="2" s="1"/>
  <c r="H197" i="2"/>
  <c r="I197" i="2" s="1"/>
  <c r="H198" i="2"/>
  <c r="I198" i="2" s="1"/>
  <c r="H199" i="2"/>
  <c r="I199" i="2" s="1"/>
  <c r="H200" i="2"/>
  <c r="I200" i="2" s="1"/>
  <c r="H201" i="2"/>
  <c r="I201" i="2" s="1"/>
  <c r="H202" i="2"/>
  <c r="I202" i="2" s="1"/>
  <c r="H203" i="2"/>
  <c r="I203" i="2" s="1"/>
  <c r="H204" i="2"/>
  <c r="I204" i="2" s="1"/>
  <c r="H205" i="2"/>
  <c r="I205" i="2" s="1"/>
  <c r="H206" i="2"/>
  <c r="H207" i="2"/>
  <c r="H208" i="2"/>
  <c r="I208" i="2" s="1"/>
  <c r="H209" i="2"/>
  <c r="H210" i="2"/>
  <c r="I210" i="2" s="1"/>
  <c r="H211" i="2"/>
  <c r="I211" i="2" s="1"/>
  <c r="H212" i="2"/>
  <c r="I212" i="2" s="1"/>
  <c r="H213" i="2"/>
  <c r="I213" i="2" s="1"/>
  <c r="H214" i="2"/>
  <c r="I214" i="2" s="1"/>
  <c r="H215" i="2"/>
  <c r="I215" i="2" s="1"/>
  <c r="H216" i="2"/>
  <c r="I216" i="2" s="1"/>
  <c r="H217" i="2"/>
  <c r="I217" i="2" s="1"/>
  <c r="H218" i="2"/>
  <c r="I218" i="2" s="1"/>
  <c r="H219" i="2"/>
  <c r="I219" i="2" s="1"/>
  <c r="H220" i="2"/>
  <c r="I220" i="2" s="1"/>
  <c r="H221" i="2"/>
  <c r="I221" i="2" s="1"/>
  <c r="H222" i="2"/>
  <c r="H223" i="2"/>
  <c r="H224" i="2"/>
  <c r="I224" i="2" s="1"/>
  <c r="H225" i="2"/>
  <c r="H226" i="2"/>
  <c r="H227" i="2"/>
  <c r="H228" i="2"/>
  <c r="I228" i="2" s="1"/>
  <c r="H229" i="2"/>
  <c r="I229" i="2" s="1"/>
  <c r="H230" i="2"/>
  <c r="I230" i="2" s="1"/>
  <c r="H231" i="2"/>
  <c r="I231" i="2" s="1"/>
  <c r="H232" i="2"/>
  <c r="I232" i="2" s="1"/>
  <c r="H233" i="2"/>
  <c r="I233" i="2" s="1"/>
  <c r="H234" i="2"/>
  <c r="I234" i="2" s="1"/>
  <c r="H235" i="2"/>
  <c r="I235" i="2" s="1"/>
  <c r="H236" i="2"/>
  <c r="I236" i="2" s="1"/>
  <c r="H237" i="2"/>
  <c r="I237" i="2" s="1"/>
  <c r="H238" i="2"/>
  <c r="H239" i="2"/>
  <c r="H240" i="2"/>
  <c r="I240" i="2" s="1"/>
  <c r="H241" i="2"/>
  <c r="H242" i="2"/>
  <c r="H243" i="2"/>
  <c r="H244" i="2"/>
  <c r="I244" i="2" s="1"/>
  <c r="H245" i="2"/>
  <c r="H246" i="2"/>
  <c r="H247" i="2"/>
  <c r="I247" i="2" s="1"/>
  <c r="H248" i="2"/>
  <c r="I248" i="2" s="1"/>
  <c r="H249" i="2"/>
  <c r="I249" i="2" s="1"/>
  <c r="H250" i="2"/>
  <c r="I250" i="2" s="1"/>
  <c r="H251" i="2"/>
  <c r="I251" i="2" s="1"/>
  <c r="H252" i="2"/>
  <c r="I252" i="2" s="1"/>
  <c r="H253" i="2"/>
  <c r="I253" i="2" s="1"/>
  <c r="H254" i="2"/>
  <c r="H255" i="2"/>
  <c r="H256" i="2"/>
  <c r="I256" i="2" s="1"/>
  <c r="H257" i="2"/>
  <c r="H258" i="2"/>
  <c r="H259" i="2"/>
  <c r="H260" i="2"/>
  <c r="I260" i="2" s="1"/>
  <c r="H261" i="2"/>
  <c r="H262" i="2"/>
  <c r="H263" i="2"/>
  <c r="H264" i="2"/>
  <c r="H265" i="2"/>
  <c r="I265" i="2" s="1"/>
  <c r="H266" i="2"/>
  <c r="I266" i="2" s="1"/>
  <c r="H267" i="2"/>
  <c r="I267" i="2" s="1"/>
  <c r="H268" i="2"/>
  <c r="I268" i="2" s="1"/>
  <c r="H269" i="2"/>
  <c r="I269" i="2" s="1"/>
  <c r="H270" i="2"/>
  <c r="H271" i="2"/>
  <c r="H272" i="2"/>
  <c r="I272" i="2" s="1"/>
  <c r="H273" i="2"/>
  <c r="H274" i="2"/>
  <c r="H275" i="2"/>
  <c r="H276" i="2"/>
  <c r="I276" i="2" s="1"/>
  <c r="H277" i="2"/>
  <c r="H278" i="2"/>
  <c r="H279" i="2"/>
  <c r="H280" i="2"/>
  <c r="H281" i="2"/>
  <c r="H282" i="2"/>
  <c r="H283" i="2"/>
  <c r="I283" i="2" s="1"/>
  <c r="H284" i="2"/>
  <c r="I284" i="2" s="1"/>
  <c r="H285" i="2"/>
  <c r="I285" i="2" s="1"/>
  <c r="H286" i="2"/>
  <c r="H287" i="2"/>
  <c r="H288" i="2"/>
  <c r="I288" i="2" s="1"/>
  <c r="H289" i="2"/>
  <c r="H290" i="2"/>
  <c r="I290" i="2" s="1"/>
  <c r="H291" i="2"/>
  <c r="H292" i="2"/>
  <c r="I292" i="2" s="1"/>
  <c r="H293" i="2"/>
  <c r="I293" i="2" s="1"/>
  <c r="H294" i="2"/>
  <c r="I294" i="2" s="1"/>
  <c r="H295" i="2"/>
  <c r="I295" i="2" s="1"/>
  <c r="H296" i="2"/>
  <c r="I296" i="2" s="1"/>
  <c r="H297" i="2"/>
  <c r="I297" i="2" s="1"/>
  <c r="H298" i="2"/>
  <c r="I298" i="2" s="1"/>
  <c r="H299" i="2"/>
  <c r="I299" i="2" s="1"/>
  <c r="H300" i="2"/>
  <c r="I300" i="2" s="1"/>
  <c r="H301" i="2"/>
  <c r="I301" i="2" s="1"/>
  <c r="H302" i="2"/>
  <c r="I302" i="2" s="1"/>
  <c r="H303" i="2"/>
  <c r="I303" i="2" s="1"/>
  <c r="H304" i="2"/>
  <c r="I304" i="2" s="1"/>
  <c r="H305" i="2"/>
  <c r="I305" i="2" s="1"/>
  <c r="H306" i="2"/>
  <c r="I306" i="2" s="1"/>
  <c r="H307" i="2"/>
  <c r="I307" i="2" s="1"/>
  <c r="H308" i="2"/>
  <c r="I308" i="2" s="1"/>
  <c r="H309" i="2"/>
  <c r="I309" i="2" s="1"/>
  <c r="H310" i="2"/>
  <c r="I310" i="2" s="1"/>
  <c r="H311" i="2"/>
  <c r="I311" i="2" s="1"/>
  <c r="H312" i="2"/>
  <c r="I312" i="2" s="1"/>
  <c r="H313" i="2"/>
  <c r="I313" i="2" s="1"/>
  <c r="H314" i="2"/>
  <c r="I314" i="2" s="1"/>
  <c r="H315" i="2"/>
  <c r="I315" i="2" s="1"/>
  <c r="H316" i="2"/>
  <c r="I316" i="2" s="1"/>
  <c r="H317" i="2"/>
  <c r="I317" i="2" s="1"/>
  <c r="H318" i="2"/>
  <c r="H319" i="2"/>
  <c r="I319" i="2" s="1"/>
  <c r="H320" i="2"/>
  <c r="I320" i="2" s="1"/>
  <c r="H321" i="2"/>
  <c r="I321" i="2" s="1"/>
  <c r="H322" i="2"/>
  <c r="I322" i="2" s="1"/>
  <c r="H323" i="2"/>
  <c r="I323" i="2" s="1"/>
  <c r="H324" i="2"/>
  <c r="I324" i="2" s="1"/>
  <c r="H325" i="2"/>
  <c r="I325" i="2" s="1"/>
  <c r="H326" i="2"/>
  <c r="I326" i="2" s="1"/>
  <c r="H327" i="2"/>
  <c r="I327" i="2" s="1"/>
  <c r="H328" i="2"/>
  <c r="I328" i="2" s="1"/>
  <c r="H329" i="2"/>
  <c r="I329" i="2" s="1"/>
  <c r="H330" i="2"/>
  <c r="I330" i="2" s="1"/>
  <c r="H331" i="2"/>
  <c r="I331" i="2" s="1"/>
  <c r="H332" i="2"/>
  <c r="I332" i="2" s="1"/>
  <c r="H333" i="2"/>
  <c r="I333" i="2" s="1"/>
  <c r="H334" i="2"/>
  <c r="H335" i="2"/>
  <c r="H336" i="2"/>
  <c r="I336" i="2" s="1"/>
  <c r="H337" i="2"/>
  <c r="H338" i="2"/>
  <c r="I338" i="2" s="1"/>
  <c r="H339" i="2"/>
  <c r="I339" i="2" s="1"/>
  <c r="H340" i="2"/>
  <c r="I340" i="2" s="1"/>
  <c r="H341" i="2"/>
  <c r="I341" i="2" s="1"/>
  <c r="H342" i="2"/>
  <c r="I342" i="2" s="1"/>
  <c r="H343" i="2"/>
  <c r="I343" i="2" s="1"/>
  <c r="H344" i="2"/>
  <c r="I344" i="2" s="1"/>
  <c r="H345" i="2"/>
  <c r="I345" i="2" s="1"/>
  <c r="H346" i="2"/>
  <c r="I346" i="2" s="1"/>
  <c r="H347" i="2"/>
  <c r="I347" i="2" s="1"/>
  <c r="H348" i="2"/>
  <c r="I348" i="2" s="1"/>
  <c r="H349" i="2"/>
  <c r="I349" i="2" s="1"/>
  <c r="H350" i="2"/>
  <c r="H351" i="2"/>
  <c r="H352" i="2"/>
  <c r="I352" i="2" s="1"/>
  <c r="H353" i="2"/>
  <c r="H354" i="2"/>
  <c r="H355" i="2"/>
  <c r="H356" i="2"/>
  <c r="I356" i="2" s="1"/>
  <c r="H357" i="2"/>
  <c r="I357" i="2" s="1"/>
  <c r="H358" i="2"/>
  <c r="I358" i="2" s="1"/>
  <c r="H359" i="2"/>
  <c r="I359" i="2" s="1"/>
  <c r="H360" i="2"/>
  <c r="I360" i="2" s="1"/>
  <c r="H361" i="2"/>
  <c r="I361" i="2" s="1"/>
  <c r="H362" i="2"/>
  <c r="I362" i="2" s="1"/>
  <c r="H363" i="2"/>
  <c r="I363" i="2" s="1"/>
  <c r="H364" i="2"/>
  <c r="I364" i="2" s="1"/>
  <c r="H365" i="2"/>
  <c r="I365" i="2" s="1"/>
  <c r="H366" i="2"/>
  <c r="H367" i="2"/>
  <c r="H368" i="2"/>
  <c r="I368" i="2" s="1"/>
  <c r="H369" i="2"/>
  <c r="H370" i="2"/>
  <c r="H371" i="2"/>
  <c r="H372" i="2"/>
  <c r="H373" i="2"/>
  <c r="I373" i="2" s="1"/>
  <c r="H374" i="2"/>
  <c r="I374" i="2" s="1"/>
  <c r="H375" i="2"/>
  <c r="I375" i="2" s="1"/>
  <c r="H376" i="2"/>
  <c r="I376" i="2" s="1"/>
  <c r="H377" i="2"/>
  <c r="I377" i="2" s="1"/>
  <c r="H378" i="2"/>
  <c r="I378" i="2" s="1"/>
  <c r="H379" i="2"/>
  <c r="I379" i="2" s="1"/>
  <c r="H380" i="2"/>
  <c r="I380" i="2" s="1"/>
  <c r="H381" i="2"/>
  <c r="I381" i="2" s="1"/>
  <c r="H382" i="2"/>
  <c r="H383" i="2"/>
  <c r="H384" i="2"/>
  <c r="H385" i="2"/>
  <c r="H386" i="2"/>
  <c r="H387" i="2"/>
  <c r="H388" i="2"/>
  <c r="H389" i="2"/>
  <c r="I389" i="2" s="1"/>
  <c r="H390" i="2"/>
  <c r="I390" i="2" s="1"/>
  <c r="H391" i="2"/>
  <c r="I391" i="2" s="1"/>
  <c r="H392" i="2"/>
  <c r="I392" i="2" s="1"/>
  <c r="H393" i="2"/>
  <c r="I393" i="2" s="1"/>
  <c r="H394" i="2"/>
  <c r="I394" i="2" s="1"/>
  <c r="H395" i="2"/>
  <c r="I395" i="2" s="1"/>
  <c r="H396" i="2"/>
  <c r="I396" i="2" s="1"/>
  <c r="H397" i="2"/>
  <c r="I397" i="2" s="1"/>
  <c r="H398" i="2"/>
  <c r="H399" i="2"/>
  <c r="H400" i="2"/>
  <c r="H401" i="2"/>
  <c r="H402" i="2"/>
  <c r="H403" i="2"/>
  <c r="H404" i="2"/>
  <c r="H405" i="2"/>
  <c r="I405" i="2" s="1"/>
  <c r="H406" i="2"/>
  <c r="I406" i="2" s="1"/>
  <c r="H407" i="2"/>
  <c r="I407" i="2" s="1"/>
  <c r="H408" i="2"/>
  <c r="I408" i="2" s="1"/>
  <c r="H409" i="2"/>
  <c r="I409" i="2" s="1"/>
  <c r="H410" i="2"/>
  <c r="I410" i="2" s="1"/>
  <c r="H411" i="2"/>
  <c r="I411" i="2" s="1"/>
  <c r="H412" i="2"/>
  <c r="I412" i="2" s="1"/>
  <c r="H413" i="2"/>
  <c r="I413" i="2" s="1"/>
  <c r="H414" i="2"/>
  <c r="H415" i="2"/>
  <c r="H416" i="2"/>
  <c r="H417" i="2"/>
  <c r="H418" i="2"/>
  <c r="H419" i="2"/>
  <c r="H420" i="2"/>
  <c r="H421" i="2"/>
  <c r="I421" i="2" s="1"/>
  <c r="H422" i="2"/>
  <c r="I422" i="2" s="1"/>
  <c r="H423" i="2"/>
  <c r="I423" i="2" s="1"/>
  <c r="H424" i="2"/>
  <c r="I424" i="2" s="1"/>
  <c r="H425" i="2"/>
  <c r="I425" i="2" s="1"/>
  <c r="H426" i="2"/>
  <c r="I426" i="2" s="1"/>
  <c r="H427" i="2"/>
  <c r="I427" i="2" s="1"/>
  <c r="H428" i="2"/>
  <c r="I428" i="2" s="1"/>
  <c r="H429" i="2"/>
  <c r="I429" i="2" s="1"/>
  <c r="H430" i="2"/>
  <c r="H431" i="2"/>
  <c r="H432" i="2"/>
  <c r="H433" i="2"/>
  <c r="H434" i="2"/>
  <c r="H435" i="2"/>
  <c r="H436" i="2"/>
  <c r="H437" i="2"/>
  <c r="I437" i="2" s="1"/>
  <c r="H438" i="2"/>
  <c r="I438" i="2" s="1"/>
  <c r="H439" i="2"/>
  <c r="I439" i="2" s="1"/>
  <c r="H440" i="2"/>
  <c r="I440" i="2" s="1"/>
  <c r="H441" i="2"/>
  <c r="I441" i="2" s="1"/>
  <c r="H442" i="2"/>
  <c r="I442" i="2" s="1"/>
  <c r="H443" i="2"/>
  <c r="I443" i="2" s="1"/>
  <c r="H444" i="2"/>
  <c r="I444" i="2" s="1"/>
  <c r="H445" i="2"/>
  <c r="I445" i="2" s="1"/>
  <c r="H446" i="2"/>
  <c r="H447" i="2"/>
  <c r="H448" i="2"/>
  <c r="H449" i="2"/>
  <c r="H450" i="2"/>
  <c r="H451" i="2"/>
  <c r="H452" i="2"/>
  <c r="H453" i="2"/>
  <c r="I453" i="2" s="1"/>
  <c r="H454" i="2"/>
  <c r="I454" i="2" s="1"/>
  <c r="H455" i="2"/>
  <c r="I455" i="2" s="1"/>
  <c r="H456" i="2"/>
  <c r="I456" i="2" s="1"/>
  <c r="H457" i="2"/>
  <c r="I457" i="2" s="1"/>
  <c r="H458" i="2"/>
  <c r="I458" i="2" s="1"/>
  <c r="H459" i="2"/>
  <c r="I459" i="2" s="1"/>
  <c r="H460" i="2"/>
  <c r="I460" i="2" s="1"/>
  <c r="H461" i="2"/>
  <c r="I461" i="2" s="1"/>
  <c r="H462" i="2"/>
  <c r="H463" i="2"/>
  <c r="H464" i="2"/>
  <c r="H465" i="2"/>
  <c r="H466" i="2"/>
  <c r="H467" i="2"/>
  <c r="H468" i="2"/>
  <c r="H469" i="2"/>
  <c r="I469" i="2" s="1"/>
  <c r="H470" i="2"/>
  <c r="I470" i="2" s="1"/>
  <c r="H471" i="2"/>
  <c r="I471" i="2" s="1"/>
  <c r="H472" i="2"/>
  <c r="I472" i="2" s="1"/>
  <c r="H473" i="2"/>
  <c r="I473" i="2" s="1"/>
  <c r="H474" i="2"/>
  <c r="I474" i="2" s="1"/>
  <c r="H475" i="2"/>
  <c r="I475" i="2" s="1"/>
  <c r="H476" i="2"/>
  <c r="I476" i="2" s="1"/>
  <c r="H477" i="2"/>
  <c r="I477" i="2" s="1"/>
  <c r="H478" i="2"/>
  <c r="H479" i="2"/>
  <c r="H480" i="2"/>
  <c r="H481" i="2"/>
  <c r="H482" i="2"/>
  <c r="H483" i="2"/>
  <c r="H484" i="2"/>
  <c r="H485" i="2"/>
  <c r="I485" i="2" s="1"/>
  <c r="H486" i="2"/>
  <c r="I486" i="2" s="1"/>
  <c r="H487" i="2"/>
  <c r="I487" i="2" s="1"/>
  <c r="H488" i="2"/>
  <c r="I488" i="2" s="1"/>
  <c r="H489" i="2"/>
  <c r="I489" i="2" s="1"/>
  <c r="H490" i="2"/>
  <c r="I490" i="2" s="1"/>
  <c r="H491" i="2"/>
  <c r="I491" i="2" s="1"/>
  <c r="H492" i="2"/>
  <c r="I492" i="2" s="1"/>
  <c r="H493" i="2"/>
  <c r="I493" i="2" s="1"/>
  <c r="H494" i="2"/>
  <c r="H495" i="2"/>
  <c r="H496" i="2"/>
  <c r="H497" i="2"/>
  <c r="H498" i="2"/>
  <c r="H499" i="2"/>
  <c r="H500" i="2"/>
  <c r="H501" i="2"/>
  <c r="I501" i="2" s="1"/>
  <c r="H502" i="2"/>
  <c r="I502" i="2" s="1"/>
  <c r="H503" i="2"/>
  <c r="I503" i="2" s="1"/>
  <c r="H504" i="2"/>
  <c r="I504" i="2" s="1"/>
  <c r="H505" i="2"/>
  <c r="I505" i="2" s="1"/>
  <c r="H506" i="2"/>
  <c r="I506" i="2" s="1"/>
  <c r="H507" i="2"/>
  <c r="I507" i="2" s="1"/>
  <c r="H508" i="2"/>
  <c r="I508" i="2" s="1"/>
  <c r="H509" i="2"/>
  <c r="I509" i="2" s="1"/>
  <c r="H510" i="2"/>
  <c r="H511" i="2"/>
  <c r="H512" i="2"/>
  <c r="H513" i="2"/>
  <c r="H514" i="2"/>
  <c r="H515" i="2"/>
  <c r="H516" i="2"/>
  <c r="H517" i="2"/>
  <c r="I517" i="2" s="1"/>
  <c r="H518" i="2"/>
  <c r="I518" i="2" s="1"/>
  <c r="H519" i="2"/>
  <c r="I519" i="2" s="1"/>
  <c r="H520" i="2"/>
  <c r="I520" i="2" s="1"/>
  <c r="H521" i="2"/>
  <c r="I521" i="2" s="1"/>
  <c r="H522" i="2"/>
  <c r="I522" i="2" s="1"/>
  <c r="H523" i="2"/>
  <c r="I523" i="2" s="1"/>
  <c r="H524" i="2"/>
  <c r="I524" i="2" s="1"/>
  <c r="H525" i="2"/>
  <c r="I525" i="2" s="1"/>
  <c r="H526" i="2"/>
  <c r="H527" i="2"/>
  <c r="H528" i="2"/>
  <c r="H529" i="2"/>
  <c r="H530" i="2"/>
  <c r="H531" i="2"/>
  <c r="H532" i="2"/>
  <c r="H533" i="2"/>
  <c r="I533" i="2" s="1"/>
  <c r="H534" i="2"/>
  <c r="I534" i="2" s="1"/>
  <c r="H535" i="2"/>
  <c r="I535" i="2" s="1"/>
  <c r="H536" i="2"/>
  <c r="I536" i="2" s="1"/>
  <c r="H537" i="2"/>
  <c r="I537" i="2" s="1"/>
  <c r="H538" i="2"/>
  <c r="I538" i="2" s="1"/>
  <c r="H539" i="2"/>
  <c r="I539" i="2" s="1"/>
  <c r="H540" i="2"/>
  <c r="I540" i="2" s="1"/>
  <c r="H541" i="2"/>
  <c r="I541" i="2" s="1"/>
  <c r="H542" i="2"/>
  <c r="H543" i="2"/>
  <c r="H544" i="2"/>
  <c r="H545" i="2"/>
  <c r="H546" i="2"/>
  <c r="H547" i="2"/>
  <c r="H548" i="2"/>
  <c r="H549" i="2"/>
  <c r="I549" i="2" s="1"/>
  <c r="H550" i="2"/>
  <c r="I550" i="2" s="1"/>
  <c r="H551" i="2"/>
  <c r="I551" i="2" s="1"/>
  <c r="H552" i="2"/>
  <c r="I552" i="2" s="1"/>
  <c r="H553" i="2"/>
  <c r="I553" i="2" s="1"/>
  <c r="H554" i="2"/>
  <c r="I554" i="2" s="1"/>
  <c r="H555" i="2"/>
  <c r="I555" i="2" s="1"/>
  <c r="H556" i="2"/>
  <c r="I556" i="2" s="1"/>
  <c r="H557" i="2"/>
  <c r="I557" i="2" s="1"/>
  <c r="H558" i="2"/>
  <c r="H559" i="2"/>
  <c r="H560" i="2"/>
  <c r="H561" i="2"/>
  <c r="H562" i="2"/>
  <c r="H563" i="2"/>
  <c r="H564" i="2"/>
  <c r="H565" i="2"/>
  <c r="I565" i="2" s="1"/>
  <c r="H566" i="2"/>
  <c r="I566" i="2" s="1"/>
  <c r="H567" i="2"/>
  <c r="I567" i="2" s="1"/>
  <c r="H568" i="2"/>
  <c r="I568" i="2" s="1"/>
  <c r="H569" i="2"/>
  <c r="I569" i="2" s="1"/>
  <c r="H570" i="2"/>
  <c r="I570" i="2" s="1"/>
  <c r="H571" i="2"/>
  <c r="I571" i="2" s="1"/>
  <c r="H572" i="2"/>
  <c r="I572" i="2" s="1"/>
  <c r="H573" i="2"/>
  <c r="I573" i="2" s="1"/>
  <c r="H574" i="2"/>
  <c r="H575" i="2"/>
  <c r="H576" i="2"/>
  <c r="H577" i="2"/>
  <c r="H578" i="2"/>
  <c r="H579" i="2"/>
  <c r="H580" i="2"/>
  <c r="H581" i="2"/>
  <c r="I581" i="2" s="1"/>
  <c r="H582" i="2"/>
  <c r="I582" i="2" s="1"/>
  <c r="H583" i="2"/>
  <c r="I583" i="2" s="1"/>
  <c r="H584" i="2"/>
  <c r="I584" i="2" s="1"/>
  <c r="H585" i="2"/>
  <c r="I585" i="2" s="1"/>
  <c r="H586" i="2"/>
  <c r="I586" i="2" s="1"/>
  <c r="H587" i="2"/>
  <c r="I587" i="2" s="1"/>
  <c r="H588" i="2"/>
  <c r="I588" i="2" s="1"/>
  <c r="H589" i="2"/>
  <c r="I589" i="2" s="1"/>
  <c r="H590" i="2"/>
  <c r="H591" i="2"/>
  <c r="H592" i="2"/>
  <c r="H593" i="2"/>
  <c r="H594" i="2"/>
  <c r="H595" i="2"/>
  <c r="H596" i="2"/>
  <c r="H597" i="2"/>
  <c r="I597" i="2" s="1"/>
  <c r="H598" i="2"/>
  <c r="I598" i="2" s="1"/>
  <c r="H599" i="2"/>
  <c r="I599" i="2" s="1"/>
  <c r="H600" i="2"/>
  <c r="I600" i="2" s="1"/>
  <c r="H601" i="2"/>
  <c r="I601" i="2" s="1"/>
  <c r="H602" i="2"/>
  <c r="I602" i="2" s="1"/>
  <c r="H603" i="2"/>
  <c r="I603" i="2" s="1"/>
  <c r="H604" i="2"/>
  <c r="I604" i="2" s="1"/>
  <c r="H605" i="2"/>
  <c r="I605" i="2" s="1"/>
  <c r="H606" i="2"/>
  <c r="H607" i="2"/>
  <c r="H608" i="2"/>
  <c r="H609" i="2"/>
  <c r="H610" i="2"/>
  <c r="H611" i="2"/>
  <c r="H612" i="2"/>
  <c r="H613" i="2"/>
  <c r="I613" i="2" s="1"/>
  <c r="H614" i="2"/>
  <c r="I614" i="2" s="1"/>
  <c r="H615" i="2"/>
  <c r="I615" i="2" s="1"/>
  <c r="H616" i="2"/>
  <c r="I616" i="2" s="1"/>
  <c r="H617" i="2"/>
  <c r="I617" i="2" s="1"/>
  <c r="H618" i="2"/>
  <c r="I618" i="2" s="1"/>
  <c r="H619" i="2"/>
  <c r="I619" i="2" s="1"/>
  <c r="H620" i="2"/>
  <c r="I620" i="2" s="1"/>
  <c r="H621" i="2"/>
  <c r="I621" i="2" s="1"/>
  <c r="H622" i="2"/>
  <c r="H623" i="2"/>
  <c r="H624" i="2"/>
  <c r="H625" i="2"/>
  <c r="H626" i="2"/>
  <c r="H627" i="2"/>
  <c r="H628" i="2"/>
  <c r="H629" i="2"/>
  <c r="I629" i="2" s="1"/>
  <c r="H630" i="2"/>
  <c r="I630" i="2" s="1"/>
  <c r="H631" i="2"/>
  <c r="I631" i="2" s="1"/>
  <c r="H632" i="2"/>
  <c r="I632" i="2" s="1"/>
  <c r="H633" i="2"/>
  <c r="I633" i="2" s="1"/>
  <c r="H634" i="2"/>
  <c r="I634" i="2" s="1"/>
  <c r="H635" i="2"/>
  <c r="I635" i="2" s="1"/>
  <c r="H636" i="2"/>
  <c r="I636" i="2" s="1"/>
  <c r="H637" i="2"/>
  <c r="I637" i="2" s="1"/>
  <c r="H638" i="2"/>
  <c r="H639" i="2"/>
  <c r="H640" i="2"/>
  <c r="H641" i="2"/>
  <c r="H642" i="2"/>
  <c r="H643" i="2"/>
  <c r="H644" i="2"/>
  <c r="H645" i="2"/>
  <c r="I645" i="2" s="1"/>
  <c r="H646" i="2"/>
  <c r="I646" i="2" s="1"/>
  <c r="H647" i="2"/>
  <c r="I647" i="2" s="1"/>
  <c r="H648" i="2"/>
  <c r="I648" i="2" s="1"/>
  <c r="H649" i="2"/>
  <c r="I649" i="2" s="1"/>
  <c r="H650" i="2"/>
  <c r="I650" i="2" s="1"/>
  <c r="H651" i="2"/>
  <c r="I651" i="2" s="1"/>
  <c r="H652" i="2"/>
  <c r="I652" i="2" s="1"/>
  <c r="H653" i="2"/>
  <c r="I653" i="2" s="1"/>
  <c r="H654" i="2"/>
  <c r="H655" i="2"/>
  <c r="H656" i="2"/>
  <c r="H657" i="2"/>
  <c r="H658" i="2"/>
  <c r="H659" i="2"/>
  <c r="H660" i="2"/>
  <c r="H661" i="2"/>
  <c r="I661" i="2" s="1"/>
  <c r="H662" i="2"/>
  <c r="I662" i="2" s="1"/>
  <c r="H663" i="2"/>
  <c r="I663" i="2" s="1"/>
  <c r="H664" i="2"/>
  <c r="I664" i="2" s="1"/>
  <c r="H665" i="2"/>
  <c r="I665" i="2" s="1"/>
  <c r="H666" i="2"/>
  <c r="I666" i="2" s="1"/>
  <c r="H667" i="2"/>
  <c r="I667" i="2" s="1"/>
  <c r="H668" i="2"/>
  <c r="I668" i="2" s="1"/>
  <c r="H669" i="2"/>
  <c r="I669" i="2" s="1"/>
  <c r="H670" i="2"/>
  <c r="H671" i="2"/>
  <c r="H672" i="2"/>
  <c r="H673" i="2"/>
  <c r="H674" i="2"/>
  <c r="H675" i="2"/>
  <c r="H676" i="2"/>
  <c r="H677" i="2"/>
  <c r="I677" i="2" s="1"/>
  <c r="H678" i="2"/>
  <c r="I678" i="2" s="1"/>
  <c r="H679" i="2"/>
  <c r="I679" i="2" s="1"/>
  <c r="H680" i="2"/>
  <c r="I680" i="2" s="1"/>
  <c r="H681" i="2"/>
  <c r="I681" i="2" s="1"/>
  <c r="H682" i="2"/>
  <c r="I682" i="2" s="1"/>
  <c r="H683" i="2"/>
  <c r="I683" i="2" s="1"/>
  <c r="H684" i="2"/>
  <c r="I684" i="2" s="1"/>
  <c r="H685" i="2"/>
  <c r="I685" i="2" s="1"/>
  <c r="H686" i="2"/>
  <c r="H687" i="2"/>
  <c r="H688" i="2"/>
  <c r="H689" i="2"/>
  <c r="H690" i="2"/>
  <c r="H691" i="2"/>
  <c r="H692" i="2"/>
  <c r="H693" i="2"/>
  <c r="I693" i="2" s="1"/>
  <c r="H694" i="2"/>
  <c r="I694" i="2" s="1"/>
  <c r="H695" i="2"/>
  <c r="I695" i="2" s="1"/>
  <c r="H696" i="2"/>
  <c r="I696" i="2" s="1"/>
  <c r="H697" i="2"/>
  <c r="I697" i="2" s="1"/>
  <c r="H698" i="2"/>
  <c r="I698" i="2" s="1"/>
  <c r="H699" i="2"/>
  <c r="I699" i="2" s="1"/>
  <c r="H700" i="2"/>
  <c r="I700" i="2" s="1"/>
  <c r="H701" i="2"/>
  <c r="I701" i="2" s="1"/>
  <c r="H702" i="2"/>
  <c r="H703" i="2"/>
  <c r="H704" i="2"/>
  <c r="H705" i="2"/>
  <c r="H706" i="2"/>
  <c r="H707" i="2"/>
  <c r="H708" i="2"/>
  <c r="H709" i="2"/>
  <c r="I709" i="2" s="1"/>
  <c r="H710" i="2"/>
  <c r="I710" i="2" s="1"/>
  <c r="H711" i="2"/>
  <c r="I711" i="2" s="1"/>
  <c r="H712" i="2"/>
  <c r="I712" i="2" s="1"/>
  <c r="H713" i="2"/>
  <c r="I713" i="2" s="1"/>
  <c r="H714" i="2"/>
  <c r="I714" i="2" s="1"/>
  <c r="H715" i="2"/>
  <c r="I715" i="2" s="1"/>
  <c r="H716" i="2"/>
  <c r="I716" i="2" s="1"/>
  <c r="H717" i="2"/>
  <c r="I717" i="2" s="1"/>
  <c r="H718" i="2"/>
  <c r="H719" i="2"/>
  <c r="H720" i="2"/>
  <c r="H721" i="2"/>
  <c r="H722" i="2"/>
  <c r="H723" i="2"/>
  <c r="H724" i="2"/>
  <c r="H725" i="2"/>
  <c r="I725" i="2" s="1"/>
  <c r="H726" i="2"/>
  <c r="I726" i="2" s="1"/>
  <c r="H727" i="2"/>
  <c r="I727" i="2" s="1"/>
  <c r="H728" i="2"/>
  <c r="I728" i="2" s="1"/>
  <c r="H729" i="2"/>
  <c r="I729" i="2" s="1"/>
  <c r="H730" i="2"/>
  <c r="I730" i="2" s="1"/>
  <c r="H731" i="2"/>
  <c r="I731" i="2" s="1"/>
  <c r="H732" i="2"/>
  <c r="I732" i="2" s="1"/>
  <c r="H733" i="2"/>
  <c r="I733" i="2" s="1"/>
  <c r="H734" i="2"/>
  <c r="H735" i="2"/>
  <c r="H736" i="2"/>
  <c r="H737" i="2"/>
  <c r="H738" i="2"/>
  <c r="H739" i="2"/>
  <c r="H740" i="2"/>
  <c r="H741" i="2"/>
  <c r="I741" i="2" s="1"/>
  <c r="H742" i="2"/>
  <c r="I742" i="2" s="1"/>
  <c r="H743" i="2"/>
  <c r="I743" i="2" s="1"/>
  <c r="H744" i="2"/>
  <c r="I744" i="2" s="1"/>
  <c r="H745" i="2"/>
  <c r="I745" i="2" s="1"/>
  <c r="H746" i="2"/>
  <c r="I746" i="2" s="1"/>
  <c r="H747" i="2"/>
  <c r="I747" i="2" s="1"/>
  <c r="H748" i="2"/>
  <c r="I748" i="2" s="1"/>
  <c r="H749" i="2"/>
  <c r="I749" i="2" s="1"/>
  <c r="H750" i="2"/>
  <c r="H751" i="2"/>
  <c r="H752" i="2"/>
  <c r="H753" i="2"/>
  <c r="H754" i="2"/>
  <c r="H755" i="2"/>
  <c r="H756" i="2"/>
  <c r="H757" i="2"/>
  <c r="I757" i="2" s="1"/>
  <c r="H758" i="2"/>
  <c r="I758" i="2" s="1"/>
  <c r="H759" i="2"/>
  <c r="I759" i="2" s="1"/>
  <c r="H760" i="2"/>
  <c r="I760" i="2" s="1"/>
  <c r="H761" i="2"/>
  <c r="I761" i="2" s="1"/>
  <c r="H762" i="2"/>
  <c r="I762" i="2" s="1"/>
  <c r="H763" i="2"/>
  <c r="I763" i="2" s="1"/>
  <c r="H764" i="2"/>
  <c r="I764" i="2" s="1"/>
  <c r="H765" i="2"/>
  <c r="I765" i="2" s="1"/>
  <c r="H766" i="2"/>
  <c r="H767" i="2"/>
  <c r="H768" i="2"/>
  <c r="H769" i="2"/>
  <c r="H770" i="2"/>
  <c r="H771" i="2"/>
  <c r="H772" i="2"/>
  <c r="H773" i="2"/>
  <c r="I773" i="2" s="1"/>
  <c r="H774" i="2"/>
  <c r="I774" i="2" s="1"/>
  <c r="H775" i="2"/>
  <c r="I775" i="2" s="1"/>
  <c r="H776" i="2"/>
  <c r="I776" i="2" s="1"/>
  <c r="H777" i="2"/>
  <c r="I777" i="2" s="1"/>
  <c r="H778" i="2"/>
  <c r="I778" i="2" s="1"/>
  <c r="H779" i="2"/>
  <c r="I779" i="2" s="1"/>
  <c r="H780" i="2"/>
  <c r="I780" i="2" s="1"/>
  <c r="H781" i="2"/>
  <c r="I781" i="2" s="1"/>
  <c r="H782" i="2"/>
  <c r="H783" i="2"/>
  <c r="H784" i="2"/>
  <c r="H785" i="2"/>
  <c r="H786" i="2"/>
  <c r="H787" i="2"/>
  <c r="H788" i="2"/>
  <c r="H789" i="2"/>
  <c r="I789" i="2" s="1"/>
  <c r="H790" i="2"/>
  <c r="I790" i="2" s="1"/>
  <c r="H791" i="2"/>
  <c r="I791" i="2" s="1"/>
  <c r="H792" i="2"/>
  <c r="I792" i="2" s="1"/>
  <c r="H793" i="2"/>
  <c r="I793" i="2" s="1"/>
  <c r="H794" i="2"/>
  <c r="I794" i="2" s="1"/>
  <c r="H795" i="2"/>
  <c r="I795" i="2" s="1"/>
  <c r="H796" i="2"/>
  <c r="I796" i="2" s="1"/>
  <c r="H797" i="2"/>
  <c r="I797" i="2" s="1"/>
  <c r="H798" i="2"/>
  <c r="H799" i="2"/>
  <c r="H800" i="2"/>
  <c r="H801" i="2"/>
  <c r="H802" i="2"/>
  <c r="H803" i="2"/>
  <c r="H804" i="2"/>
  <c r="H805" i="2"/>
  <c r="I805" i="2" s="1"/>
  <c r="H806" i="2"/>
  <c r="I806" i="2" s="1"/>
  <c r="H807" i="2"/>
  <c r="I807" i="2" s="1"/>
  <c r="H808" i="2"/>
  <c r="I808" i="2" s="1"/>
  <c r="H809" i="2"/>
  <c r="I809" i="2" s="1"/>
  <c r="H810" i="2"/>
  <c r="I810" i="2" s="1"/>
  <c r="H811" i="2"/>
  <c r="I811" i="2" s="1"/>
  <c r="H812" i="2"/>
  <c r="I812" i="2" s="1"/>
  <c r="H813" i="2"/>
  <c r="I813" i="2" s="1"/>
  <c r="H814" i="2"/>
  <c r="H815" i="2"/>
  <c r="H816" i="2"/>
  <c r="H817" i="2"/>
  <c r="H818" i="2"/>
  <c r="H819" i="2"/>
  <c r="H820" i="2"/>
  <c r="H821" i="2"/>
  <c r="I821" i="2" s="1"/>
  <c r="H822" i="2"/>
  <c r="I822" i="2" s="1"/>
  <c r="H823" i="2"/>
  <c r="I823" i="2" s="1"/>
  <c r="H824" i="2"/>
  <c r="I824" i="2" s="1"/>
  <c r="H825" i="2"/>
  <c r="I825" i="2" s="1"/>
  <c r="H826" i="2"/>
  <c r="I826" i="2" s="1"/>
  <c r="H827" i="2"/>
  <c r="I827" i="2" s="1"/>
  <c r="H828" i="2"/>
  <c r="I828" i="2" s="1"/>
  <c r="H829" i="2"/>
  <c r="I829" i="2" s="1"/>
  <c r="H830" i="2"/>
  <c r="H831" i="2"/>
  <c r="H832" i="2"/>
  <c r="H833" i="2"/>
  <c r="H834" i="2"/>
  <c r="H835" i="2"/>
  <c r="H836" i="2"/>
  <c r="H837" i="2"/>
  <c r="I837" i="2" s="1"/>
  <c r="H838" i="2"/>
  <c r="I838" i="2" s="1"/>
  <c r="H839" i="2"/>
  <c r="I839" i="2" s="1"/>
  <c r="H840" i="2"/>
  <c r="I840" i="2" s="1"/>
  <c r="H841" i="2"/>
  <c r="I841" i="2" s="1"/>
  <c r="H842" i="2"/>
  <c r="I842" i="2" s="1"/>
  <c r="H843" i="2"/>
  <c r="I843" i="2" s="1"/>
  <c r="H844" i="2"/>
  <c r="I844" i="2" s="1"/>
  <c r="H845" i="2"/>
  <c r="I845" i="2" s="1"/>
  <c r="H846" i="2"/>
  <c r="H847" i="2"/>
  <c r="H848" i="2"/>
  <c r="H849" i="2"/>
  <c r="H850" i="2"/>
  <c r="H851" i="2"/>
  <c r="H852" i="2"/>
  <c r="H853" i="2"/>
  <c r="I853" i="2" s="1"/>
  <c r="H854" i="2"/>
  <c r="I854" i="2" s="1"/>
  <c r="H855" i="2"/>
  <c r="I855" i="2" s="1"/>
  <c r="H856" i="2"/>
  <c r="I856" i="2" s="1"/>
  <c r="H857" i="2"/>
  <c r="I857" i="2" s="1"/>
  <c r="H858" i="2"/>
  <c r="I858" i="2" s="1"/>
  <c r="H859" i="2"/>
  <c r="I859" i="2" s="1"/>
  <c r="H860" i="2"/>
  <c r="I860" i="2" s="1"/>
  <c r="H861" i="2"/>
  <c r="I861" i="2" s="1"/>
  <c r="H862" i="2"/>
  <c r="H863" i="2"/>
  <c r="H864" i="2"/>
  <c r="H865" i="2"/>
  <c r="H866" i="2"/>
  <c r="H867" i="2"/>
  <c r="H868" i="2"/>
  <c r="H869" i="2"/>
  <c r="I869" i="2" s="1"/>
  <c r="H870" i="2"/>
  <c r="I870" i="2" s="1"/>
  <c r="H871" i="2"/>
  <c r="I871" i="2" s="1"/>
  <c r="H872" i="2"/>
  <c r="I872" i="2" s="1"/>
  <c r="H873" i="2"/>
  <c r="I873" i="2" s="1"/>
  <c r="H874" i="2"/>
  <c r="I874" i="2" s="1"/>
  <c r="H875" i="2"/>
  <c r="I875" i="2" s="1"/>
  <c r="H876" i="2"/>
  <c r="I876" i="2" s="1"/>
  <c r="H877" i="2"/>
  <c r="I877" i="2" s="1"/>
  <c r="H878" i="2"/>
  <c r="H879" i="2"/>
  <c r="H880" i="2"/>
  <c r="H881" i="2"/>
  <c r="H882" i="2"/>
  <c r="H883" i="2"/>
  <c r="H884" i="2"/>
  <c r="H885" i="2"/>
  <c r="I885" i="2" s="1"/>
  <c r="H886" i="2"/>
  <c r="I886" i="2" s="1"/>
  <c r="H887" i="2"/>
  <c r="I887" i="2" s="1"/>
  <c r="H888" i="2"/>
  <c r="I888" i="2" s="1"/>
  <c r="H889" i="2"/>
  <c r="I889" i="2" s="1"/>
  <c r="H890" i="2"/>
  <c r="I890" i="2" s="1"/>
  <c r="H891" i="2"/>
  <c r="I891" i="2" s="1"/>
  <c r="H892" i="2"/>
  <c r="I892" i="2" s="1"/>
  <c r="H893" i="2"/>
  <c r="I893" i="2" s="1"/>
  <c r="H894" i="2"/>
  <c r="H895" i="2"/>
  <c r="H896" i="2"/>
  <c r="H897" i="2"/>
  <c r="H898" i="2"/>
  <c r="H899" i="2"/>
  <c r="H900" i="2"/>
  <c r="H901" i="2"/>
  <c r="I901" i="2" s="1"/>
  <c r="H902" i="2"/>
  <c r="I902" i="2" s="1"/>
  <c r="H903" i="2"/>
  <c r="I903" i="2" s="1"/>
  <c r="H904" i="2"/>
  <c r="I904" i="2" s="1"/>
  <c r="H905" i="2"/>
  <c r="I905" i="2" s="1"/>
  <c r="H906" i="2"/>
  <c r="I906" i="2" s="1"/>
  <c r="H907" i="2"/>
  <c r="I907" i="2" s="1"/>
  <c r="H908" i="2"/>
  <c r="I908" i="2" s="1"/>
  <c r="H909" i="2"/>
  <c r="I909" i="2" s="1"/>
  <c r="H910" i="2"/>
  <c r="H911" i="2"/>
  <c r="H912" i="2"/>
  <c r="H913" i="2"/>
  <c r="H914" i="2"/>
  <c r="H915" i="2"/>
  <c r="H916" i="2"/>
  <c r="H917" i="2"/>
  <c r="I917" i="2" s="1"/>
  <c r="H918" i="2"/>
  <c r="I918" i="2" s="1"/>
  <c r="H919" i="2"/>
  <c r="I919" i="2" s="1"/>
  <c r="H920" i="2"/>
  <c r="I920" i="2" s="1"/>
  <c r="H921" i="2"/>
  <c r="I921" i="2" s="1"/>
  <c r="H922" i="2"/>
  <c r="I922" i="2" s="1"/>
  <c r="H923" i="2"/>
  <c r="I923" i="2" s="1"/>
  <c r="H924" i="2"/>
  <c r="I924" i="2" s="1"/>
  <c r="H925" i="2"/>
  <c r="I925" i="2" s="1"/>
  <c r="H926" i="2"/>
  <c r="H927" i="2"/>
  <c r="H928" i="2"/>
  <c r="H929" i="2"/>
  <c r="H930" i="2"/>
  <c r="H931" i="2"/>
  <c r="H932" i="2"/>
  <c r="H933" i="2"/>
  <c r="I933" i="2" s="1"/>
  <c r="H934" i="2"/>
  <c r="I934" i="2" s="1"/>
  <c r="H935" i="2"/>
  <c r="I935" i="2" s="1"/>
  <c r="H936" i="2"/>
  <c r="I936" i="2" s="1"/>
  <c r="H937" i="2"/>
  <c r="I937" i="2" s="1"/>
  <c r="H938" i="2"/>
  <c r="I938" i="2" s="1"/>
  <c r="H939" i="2"/>
  <c r="I939" i="2" s="1"/>
  <c r="H940" i="2"/>
  <c r="I940" i="2" s="1"/>
  <c r="H941" i="2"/>
  <c r="I941" i="2" s="1"/>
  <c r="H942" i="2"/>
  <c r="H943" i="2"/>
  <c r="H944" i="2"/>
  <c r="H945" i="2"/>
  <c r="H946" i="2"/>
  <c r="H947" i="2"/>
  <c r="H948" i="2"/>
  <c r="H949" i="2"/>
  <c r="I949" i="2" s="1"/>
  <c r="H950" i="2"/>
  <c r="I950" i="2" s="1"/>
  <c r="H951" i="2"/>
  <c r="I951" i="2" s="1"/>
  <c r="H952" i="2"/>
  <c r="I952" i="2" s="1"/>
  <c r="H953" i="2"/>
  <c r="I953" i="2" s="1"/>
  <c r="H954" i="2"/>
  <c r="I954" i="2" s="1"/>
  <c r="H955" i="2"/>
  <c r="I955" i="2" s="1"/>
  <c r="H956" i="2"/>
  <c r="I956" i="2" s="1"/>
  <c r="H957" i="2"/>
  <c r="I957" i="2" s="1"/>
  <c r="H958" i="2"/>
  <c r="H959" i="2"/>
  <c r="H960" i="2"/>
  <c r="H961" i="2"/>
  <c r="H962" i="2"/>
  <c r="H963" i="2"/>
  <c r="H964" i="2"/>
  <c r="H965" i="2"/>
  <c r="I965" i="2" s="1"/>
  <c r="H966" i="2"/>
  <c r="I966" i="2" s="1"/>
  <c r="H967" i="2"/>
  <c r="I967" i="2" s="1"/>
  <c r="H968" i="2"/>
  <c r="I968" i="2" s="1"/>
  <c r="H969" i="2"/>
  <c r="I969" i="2" s="1"/>
  <c r="H970" i="2"/>
  <c r="I970" i="2" s="1"/>
  <c r="H971" i="2"/>
  <c r="I971" i="2" s="1"/>
  <c r="H972" i="2"/>
  <c r="I972" i="2" s="1"/>
  <c r="H973" i="2"/>
  <c r="I973" i="2" s="1"/>
  <c r="H974" i="2"/>
  <c r="H975" i="2"/>
  <c r="H976" i="2"/>
  <c r="H977" i="2"/>
  <c r="H978" i="2"/>
  <c r="H979" i="2"/>
  <c r="H980" i="2"/>
  <c r="H981" i="2"/>
  <c r="I981" i="2" s="1"/>
  <c r="H982" i="2"/>
  <c r="I982" i="2" s="1"/>
  <c r="H983" i="2"/>
  <c r="I983" i="2" s="1"/>
  <c r="H984" i="2"/>
  <c r="I984" i="2" s="1"/>
  <c r="H985" i="2"/>
  <c r="I985" i="2" s="1"/>
  <c r="H986" i="2"/>
  <c r="I986" i="2" s="1"/>
  <c r="H987" i="2"/>
  <c r="I987" i="2" s="1"/>
  <c r="H988" i="2"/>
  <c r="I988" i="2" s="1"/>
  <c r="H989" i="2"/>
  <c r="I989" i="2" s="1"/>
  <c r="H990" i="2"/>
  <c r="H991" i="2"/>
  <c r="H992" i="2"/>
  <c r="H993" i="2"/>
  <c r="H994" i="2"/>
  <c r="H995" i="2"/>
  <c r="H996" i="2"/>
  <c r="H997" i="2"/>
  <c r="I997" i="2" s="1"/>
  <c r="H998" i="2"/>
  <c r="I998" i="2" s="1"/>
  <c r="H999" i="2"/>
  <c r="I999" i="2" s="1"/>
  <c r="H1000" i="2"/>
  <c r="I1000" i="2" s="1"/>
  <c r="H1001" i="2"/>
  <c r="I1001" i="2" s="1"/>
  <c r="H2" i="2"/>
  <c r="I2" i="2" s="1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2" i="2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3" i="3"/>
  <c r="C4" i="3"/>
  <c r="C5" i="3"/>
  <c r="C6" i="3"/>
  <c r="C7" i="3"/>
  <c r="C2" i="3"/>
</calcChain>
</file>

<file path=xl/sharedStrings.xml><?xml version="1.0" encoding="utf-8"?>
<sst xmlns="http://schemas.openxmlformats.org/spreadsheetml/2006/main" count="3037" uniqueCount="51">
  <si>
    <t>Athlete_ID</t>
  </si>
  <si>
    <t>Heart_Rate</t>
  </si>
  <si>
    <t>Acceleration</t>
  </si>
  <si>
    <t>Gyroscope</t>
  </si>
  <si>
    <t>Skin_Temperature</t>
  </si>
  <si>
    <t>Respiration_Rate</t>
  </si>
  <si>
    <t>Sensor_Node_Distance</t>
  </si>
  <si>
    <t>Graph_Temporal_Correlation</t>
  </si>
  <si>
    <t>Training_Intensity</t>
  </si>
  <si>
    <t>Session_Duration_Min</t>
  </si>
  <si>
    <t>Rest_Interval_Sec</t>
  </si>
  <si>
    <t>Athlete_Level</t>
  </si>
  <si>
    <t>Region_China</t>
  </si>
  <si>
    <t>Age</t>
  </si>
  <si>
    <t>Weight_kg</t>
  </si>
  <si>
    <t>Outdoor_Temperature</t>
  </si>
  <si>
    <t>Weather_Condition</t>
  </si>
  <si>
    <t>Time_Step</t>
  </si>
  <si>
    <t>Energy_Expenditure</t>
  </si>
  <si>
    <t>Beginner</t>
  </si>
  <si>
    <t>Wuhan</t>
  </si>
  <si>
    <t>Cloudy</t>
  </si>
  <si>
    <t>Intermediate</t>
  </si>
  <si>
    <t>Tianjin</t>
  </si>
  <si>
    <t>Sunny</t>
  </si>
  <si>
    <t>Foggy</t>
  </si>
  <si>
    <t>Shanghai</t>
  </si>
  <si>
    <t>Elite</t>
  </si>
  <si>
    <t>Shenzhen</t>
  </si>
  <si>
    <t>Overcast</t>
  </si>
  <si>
    <t>Nanjing</t>
  </si>
  <si>
    <t>Rainy</t>
  </si>
  <si>
    <t>Chongqing</t>
  </si>
  <si>
    <t>Guangzhou</t>
  </si>
  <si>
    <t>Advanced</t>
  </si>
  <si>
    <t>Beijing</t>
  </si>
  <si>
    <t>Hangzhou</t>
  </si>
  <si>
    <t>Chengdu</t>
  </si>
  <si>
    <t>Subject ID</t>
  </si>
  <si>
    <t>HeartRate</t>
  </si>
  <si>
    <t>Temperature</t>
  </si>
  <si>
    <t>ReadingNo</t>
  </si>
  <si>
    <t>Old_Subject_ID</t>
  </si>
  <si>
    <t>Subject_ID_New</t>
  </si>
  <si>
    <t>AthleteName</t>
  </si>
  <si>
    <t>AthleteName_FromAthletes</t>
  </si>
  <si>
    <t>SpO2</t>
  </si>
  <si>
    <t>RiskScore</t>
  </si>
  <si>
    <t>AlertFlag</t>
  </si>
  <si>
    <t>AlertMetric</t>
  </si>
  <si>
    <t>AlertValue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</si>
</sst>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825AB-97FB-4ABC-A48F-33350D4683BC}">
  <dimension ref="A1:S1001"/>
  <sheetViews>
    <sheetView workbookViewId="0">
      <selection activeCell="J1" sqref="J1:J1048576"/>
    </sheetView>
  </sheetViews>
  <sheetFormatPr defaultRowHeight="13.8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>
        <v>8270</v>
      </c>
      <c r="B2">
        <v>106.849766105643</v>
      </c>
      <c r="C2">
        <v>2.30768784473472</v>
      </c>
      <c r="D2">
        <v>49.828906318475802</v>
      </c>
      <c r="E2">
        <v>32.922373673960898</v>
      </c>
      <c r="F2">
        <v>26.113913904170001</v>
      </c>
      <c r="G2">
        <v>1.10887904736092</v>
      </c>
      <c r="H2">
        <v>0.58425471347673197</v>
      </c>
      <c r="I2">
        <v>9.40472916207165</v>
      </c>
      <c r="J2">
        <v>21.857071876509799</v>
      </c>
      <c r="K2">
        <v>30.505998430517899</v>
      </c>
      <c r="L2" t="s">
        <v>19</v>
      </c>
      <c r="M2" t="s">
        <v>20</v>
      </c>
      <c r="N2">
        <v>31</v>
      </c>
      <c r="O2">
        <v>55.9935314893997</v>
      </c>
      <c r="P2">
        <v>8.3461521487594492</v>
      </c>
      <c r="Q2" t="s">
        <v>21</v>
      </c>
      <c r="R2">
        <v>0</v>
      </c>
      <c r="S2">
        <v>72.719525197615397</v>
      </c>
    </row>
    <row r="3" spans="1:19" x14ac:dyDescent="0.25">
      <c r="A3">
        <v>1860</v>
      </c>
      <c r="B3">
        <v>119.443666248182</v>
      </c>
      <c r="C3">
        <v>1.33883976539433</v>
      </c>
      <c r="D3">
        <v>30.747486166548399</v>
      </c>
      <c r="E3">
        <v>33.087448917618602</v>
      </c>
      <c r="F3">
        <v>17.186744940405099</v>
      </c>
      <c r="G3">
        <v>0.51754143877019498</v>
      </c>
      <c r="H3">
        <v>0.51400538740235402</v>
      </c>
      <c r="I3">
        <v>8.2880967581929408</v>
      </c>
      <c r="J3">
        <v>108.864266936295</v>
      </c>
      <c r="K3">
        <v>61.622218353241003</v>
      </c>
      <c r="L3" t="s">
        <v>22</v>
      </c>
      <c r="M3" t="s">
        <v>23</v>
      </c>
      <c r="N3">
        <v>25</v>
      </c>
      <c r="O3">
        <v>69.832307424263107</v>
      </c>
      <c r="P3">
        <v>20.108752644177802</v>
      </c>
      <c r="Q3" t="s">
        <v>24</v>
      </c>
      <c r="R3">
        <v>1</v>
      </c>
      <c r="S3">
        <v>70.286064830993894</v>
      </c>
    </row>
    <row r="4" spans="1:19" x14ac:dyDescent="0.25">
      <c r="A4">
        <v>6390</v>
      </c>
      <c r="B4">
        <v>112.788483090683</v>
      </c>
      <c r="C4">
        <v>2.10857926041274</v>
      </c>
      <c r="D4">
        <v>76.993000945993799</v>
      </c>
      <c r="E4">
        <v>33.087836389202003</v>
      </c>
      <c r="F4">
        <v>25.4638451592443</v>
      </c>
      <c r="G4">
        <v>1.6629192277484199</v>
      </c>
      <c r="H4">
        <v>0.60778825315017604</v>
      </c>
      <c r="I4">
        <v>8.53497228662828</v>
      </c>
      <c r="J4">
        <v>42.690076724380802</v>
      </c>
      <c r="K4">
        <v>24.617246047782999</v>
      </c>
      <c r="L4" t="s">
        <v>19</v>
      </c>
      <c r="M4" t="s">
        <v>23</v>
      </c>
      <c r="N4">
        <v>33</v>
      </c>
      <c r="O4">
        <v>69.855545732769301</v>
      </c>
      <c r="P4">
        <v>16.053388053010099</v>
      </c>
      <c r="Q4" t="s">
        <v>25</v>
      </c>
      <c r="R4">
        <v>2</v>
      </c>
      <c r="S4">
        <v>68.153380337458998</v>
      </c>
    </row>
    <row r="5" spans="1:19" x14ac:dyDescent="0.25">
      <c r="A5">
        <v>6191</v>
      </c>
      <c r="B5">
        <v>170.04540886847201</v>
      </c>
      <c r="C5">
        <v>2.2606580259612201</v>
      </c>
      <c r="D5">
        <v>38.7039445727589</v>
      </c>
      <c r="E5">
        <v>32.819708413442001</v>
      </c>
      <c r="F5">
        <v>27.5291653314735</v>
      </c>
      <c r="G5">
        <v>1.17516857589382</v>
      </c>
      <c r="H5">
        <v>0.57417639580930901</v>
      </c>
      <c r="I5">
        <v>1.8395864624977101</v>
      </c>
      <c r="J5">
        <v>112.92806516858001</v>
      </c>
      <c r="K5">
        <v>34.888565634774203</v>
      </c>
      <c r="L5" t="s">
        <v>19</v>
      </c>
      <c r="M5" t="s">
        <v>26</v>
      </c>
      <c r="N5">
        <v>36</v>
      </c>
      <c r="O5">
        <v>59.041894362776802</v>
      </c>
      <c r="P5">
        <v>20.856406521837499</v>
      </c>
      <c r="Q5" t="s">
        <v>24</v>
      </c>
      <c r="R5">
        <v>3</v>
      </c>
      <c r="S5">
        <v>77.503496812245402</v>
      </c>
    </row>
    <row r="6" spans="1:19" x14ac:dyDescent="0.25">
      <c r="A6">
        <v>6734</v>
      </c>
      <c r="B6">
        <v>153.71356786294899</v>
      </c>
      <c r="C6">
        <v>1.99915544907398</v>
      </c>
      <c r="D6">
        <v>71.906883988826095</v>
      </c>
      <c r="E6">
        <v>34.430048996528399</v>
      </c>
      <c r="F6">
        <v>26.307182628164</v>
      </c>
      <c r="G6">
        <v>0.435943751068465</v>
      </c>
      <c r="H6">
        <v>0.77251717761397698</v>
      </c>
      <c r="I6">
        <v>7.6490022602673697</v>
      </c>
      <c r="J6">
        <v>91.743445087825293</v>
      </c>
      <c r="K6">
        <v>77.643416080350093</v>
      </c>
      <c r="L6" t="s">
        <v>27</v>
      </c>
      <c r="M6" t="s">
        <v>28</v>
      </c>
      <c r="N6">
        <v>35</v>
      </c>
      <c r="O6">
        <v>57.628663847410898</v>
      </c>
      <c r="P6">
        <v>13.378597551077201</v>
      </c>
      <c r="Q6" t="s">
        <v>29</v>
      </c>
      <c r="R6">
        <v>4</v>
      </c>
      <c r="S6">
        <v>92.915227575516695</v>
      </c>
    </row>
    <row r="7" spans="1:19" x14ac:dyDescent="0.25">
      <c r="A7">
        <v>7265</v>
      </c>
      <c r="B7">
        <v>160.431101899883</v>
      </c>
      <c r="C7">
        <v>1.28418984364097</v>
      </c>
      <c r="D7">
        <v>64.731035678354999</v>
      </c>
      <c r="E7">
        <v>32.899538448180898</v>
      </c>
      <c r="F7">
        <v>23.256583241190501</v>
      </c>
      <c r="G7">
        <v>1.5790827828489999</v>
      </c>
      <c r="H7">
        <v>0.55927048756889897</v>
      </c>
      <c r="I7">
        <v>9.6392502067788097</v>
      </c>
      <c r="J7">
        <v>96.2653489911484</v>
      </c>
      <c r="K7">
        <v>39.5318629501229</v>
      </c>
      <c r="L7" t="s">
        <v>27</v>
      </c>
      <c r="M7" t="s">
        <v>23</v>
      </c>
      <c r="N7">
        <v>23</v>
      </c>
      <c r="O7">
        <v>61.836514367543103</v>
      </c>
      <c r="P7">
        <v>12.724599525033399</v>
      </c>
      <c r="Q7" t="s">
        <v>29</v>
      </c>
      <c r="R7">
        <v>5</v>
      </c>
      <c r="S7">
        <v>92.796405457509195</v>
      </c>
    </row>
    <row r="8" spans="1:19" x14ac:dyDescent="0.25">
      <c r="A8">
        <v>1466</v>
      </c>
      <c r="B8">
        <v>149.433441280864</v>
      </c>
      <c r="C8">
        <v>1.7018650451683</v>
      </c>
      <c r="D8">
        <v>83.582855508763899</v>
      </c>
      <c r="E8">
        <v>31.656544645940102</v>
      </c>
      <c r="F8">
        <v>20.843495285351501</v>
      </c>
      <c r="G8">
        <v>1.8783991610792301</v>
      </c>
      <c r="H8">
        <v>0.71745986053240796</v>
      </c>
      <c r="I8">
        <v>7.1069260727634402</v>
      </c>
      <c r="J8">
        <v>40.146149579316003</v>
      </c>
      <c r="K8">
        <v>51.6045117202247</v>
      </c>
      <c r="L8" t="s">
        <v>22</v>
      </c>
      <c r="M8" t="s">
        <v>28</v>
      </c>
      <c r="N8">
        <v>31</v>
      </c>
      <c r="O8">
        <v>62.979515845297499</v>
      </c>
      <c r="P8">
        <v>19.845714580209201</v>
      </c>
      <c r="Q8" t="s">
        <v>24</v>
      </c>
      <c r="R8">
        <v>6</v>
      </c>
      <c r="S8">
        <v>85.369697595356598</v>
      </c>
    </row>
    <row r="9" spans="1:19" x14ac:dyDescent="0.25">
      <c r="A9">
        <v>5426</v>
      </c>
      <c r="B9">
        <v>112.418964575655</v>
      </c>
      <c r="C9">
        <v>1.4879021968045401</v>
      </c>
      <c r="D9">
        <v>63.959090010202701</v>
      </c>
      <c r="E9">
        <v>32.527764172836299</v>
      </c>
      <c r="F9">
        <v>19.117902118325699</v>
      </c>
      <c r="G9">
        <v>1.9051524186265301</v>
      </c>
      <c r="H9">
        <v>0.43624069076758498</v>
      </c>
      <c r="I9">
        <v>6.1350526416214501</v>
      </c>
      <c r="J9">
        <v>43.419442561681201</v>
      </c>
      <c r="K9">
        <v>85.585525135937999</v>
      </c>
      <c r="L9" t="s">
        <v>27</v>
      </c>
      <c r="M9" t="s">
        <v>30</v>
      </c>
      <c r="N9">
        <v>20</v>
      </c>
      <c r="O9">
        <v>55.762124174702599</v>
      </c>
      <c r="P9">
        <v>21.818163506403302</v>
      </c>
      <c r="Q9" t="s">
        <v>31</v>
      </c>
      <c r="R9">
        <v>7</v>
      </c>
      <c r="S9">
        <v>66.050237992329102</v>
      </c>
    </row>
    <row r="10" spans="1:19" x14ac:dyDescent="0.25">
      <c r="A10">
        <v>6578</v>
      </c>
      <c r="B10">
        <v>124.509594674404</v>
      </c>
      <c r="C10">
        <v>1.04814906963493</v>
      </c>
      <c r="D10">
        <v>63.411044273058103</v>
      </c>
      <c r="E10">
        <v>33.214433660172503</v>
      </c>
      <c r="F10">
        <v>29.355173454085499</v>
      </c>
      <c r="G10">
        <v>0.86423191834011104</v>
      </c>
      <c r="H10">
        <v>0.50520903618308199</v>
      </c>
      <c r="I10">
        <v>9.5106670997409708</v>
      </c>
      <c r="J10">
        <v>72.126775382406507</v>
      </c>
      <c r="K10">
        <v>32.0361816627709</v>
      </c>
      <c r="L10" t="s">
        <v>27</v>
      </c>
      <c r="M10" t="s">
        <v>32</v>
      </c>
      <c r="N10">
        <v>33</v>
      </c>
      <c r="O10">
        <v>58.998870348227499</v>
      </c>
      <c r="P10">
        <v>13.168527264041</v>
      </c>
      <c r="Q10" t="s">
        <v>25</v>
      </c>
      <c r="R10">
        <v>8</v>
      </c>
      <c r="S10">
        <v>81.812797281025198</v>
      </c>
    </row>
    <row r="11" spans="1:19" x14ac:dyDescent="0.25">
      <c r="A11">
        <v>9322</v>
      </c>
      <c r="B11">
        <v>144.78749122455801</v>
      </c>
      <c r="C11">
        <v>1.6621796408608001</v>
      </c>
      <c r="D11">
        <v>84.637414085765897</v>
      </c>
      <c r="E11">
        <v>34.475057741156398</v>
      </c>
      <c r="F11">
        <v>18.502523899161702</v>
      </c>
      <c r="G11">
        <v>0.44393037240935701</v>
      </c>
      <c r="H11">
        <v>0.624072899386241</v>
      </c>
      <c r="I11">
        <v>4.98643409560992</v>
      </c>
      <c r="J11">
        <v>37.209985264986202</v>
      </c>
      <c r="K11">
        <v>44.221951301850702</v>
      </c>
      <c r="L11" t="s">
        <v>19</v>
      </c>
      <c r="M11" t="s">
        <v>33</v>
      </c>
      <c r="N11">
        <v>18</v>
      </c>
      <c r="O11">
        <v>68.607240845139799</v>
      </c>
      <c r="P11">
        <v>28.553657469751599</v>
      </c>
      <c r="Q11" t="s">
        <v>24</v>
      </c>
      <c r="R11">
        <v>9</v>
      </c>
      <c r="S11">
        <v>82.030286165216793</v>
      </c>
    </row>
    <row r="12" spans="1:19" x14ac:dyDescent="0.25">
      <c r="A12">
        <v>2685</v>
      </c>
      <c r="B12">
        <v>110.55744382216101</v>
      </c>
      <c r="C12">
        <v>0.91048010442009797</v>
      </c>
      <c r="D12">
        <v>76.701160581682302</v>
      </c>
      <c r="E12">
        <v>33.7237136219386</v>
      </c>
      <c r="F12">
        <v>16.81466963215</v>
      </c>
      <c r="G12">
        <v>1.13311932793951</v>
      </c>
      <c r="H12">
        <v>0.91532208964978201</v>
      </c>
      <c r="I12">
        <v>6.3936420967943004</v>
      </c>
      <c r="J12">
        <v>50.543169268303203</v>
      </c>
      <c r="K12">
        <v>60.484333165765896</v>
      </c>
      <c r="L12" t="s">
        <v>34</v>
      </c>
      <c r="M12" t="s">
        <v>33</v>
      </c>
      <c r="N12">
        <v>29</v>
      </c>
      <c r="O12">
        <v>83.916986558287505</v>
      </c>
      <c r="P12">
        <v>28.498795354799601</v>
      </c>
      <c r="Q12" t="s">
        <v>31</v>
      </c>
      <c r="R12">
        <v>10</v>
      </c>
      <c r="S12">
        <v>69.330324580924</v>
      </c>
    </row>
    <row r="13" spans="1:19" x14ac:dyDescent="0.25">
      <c r="A13">
        <v>1769</v>
      </c>
      <c r="B13">
        <v>149.25996860344699</v>
      </c>
      <c r="C13">
        <v>2.09383969423078</v>
      </c>
      <c r="D13">
        <v>76.323119143655504</v>
      </c>
      <c r="E13">
        <v>31.9793576655035</v>
      </c>
      <c r="F13">
        <v>25.3268446751641</v>
      </c>
      <c r="G13">
        <v>0.40269661282859698</v>
      </c>
      <c r="H13">
        <v>0.60748859214363204</v>
      </c>
      <c r="I13">
        <v>5.28704464144929</v>
      </c>
      <c r="J13">
        <v>52.1462477947804</v>
      </c>
      <c r="K13">
        <v>71.650419712797898</v>
      </c>
      <c r="L13" t="s">
        <v>19</v>
      </c>
      <c r="M13" t="s">
        <v>23</v>
      </c>
      <c r="N13">
        <v>31</v>
      </c>
      <c r="O13">
        <v>76.061184220684893</v>
      </c>
      <c r="P13">
        <v>5.3413902139475802</v>
      </c>
      <c r="Q13" t="s">
        <v>24</v>
      </c>
      <c r="R13">
        <v>11</v>
      </c>
      <c r="S13">
        <v>77.631434241050798</v>
      </c>
    </row>
    <row r="14" spans="1:19" x14ac:dyDescent="0.25">
      <c r="A14">
        <v>7949</v>
      </c>
      <c r="B14">
        <v>130.193492036837</v>
      </c>
      <c r="C14">
        <v>1.2676913513507999</v>
      </c>
      <c r="D14">
        <v>79.385351796170497</v>
      </c>
      <c r="E14">
        <v>35.9822279000146</v>
      </c>
      <c r="F14">
        <v>18.0193159840675</v>
      </c>
      <c r="G14">
        <v>1.8811773533227101</v>
      </c>
      <c r="H14">
        <v>0.76524076665990803</v>
      </c>
      <c r="I14">
        <v>9.3956159922426892</v>
      </c>
      <c r="J14">
        <v>35.9629933252764</v>
      </c>
      <c r="K14">
        <v>82.624004003452796</v>
      </c>
      <c r="L14" t="s">
        <v>27</v>
      </c>
      <c r="M14" t="s">
        <v>32</v>
      </c>
      <c r="N14">
        <v>36</v>
      </c>
      <c r="O14">
        <v>69.284158108827299</v>
      </c>
      <c r="P14">
        <v>11.783784401054699</v>
      </c>
      <c r="Q14" t="s">
        <v>21</v>
      </c>
      <c r="R14">
        <v>12</v>
      </c>
      <c r="S14">
        <v>83.095481960845603</v>
      </c>
    </row>
    <row r="15" spans="1:19" x14ac:dyDescent="0.25">
      <c r="A15">
        <v>3433</v>
      </c>
      <c r="B15">
        <v>127.503583849008</v>
      </c>
      <c r="C15">
        <v>1.6005798279364101</v>
      </c>
      <c r="D15">
        <v>39.288557535857798</v>
      </c>
      <c r="E15">
        <v>33.317730373173497</v>
      </c>
      <c r="F15">
        <v>17.249682512669299</v>
      </c>
      <c r="G15">
        <v>0.53044332923926196</v>
      </c>
      <c r="H15">
        <v>0.54029797233176902</v>
      </c>
      <c r="I15">
        <v>1.6847625408895599</v>
      </c>
      <c r="J15">
        <v>40.518283339516003</v>
      </c>
      <c r="K15">
        <v>83.660474068013599</v>
      </c>
      <c r="L15" t="s">
        <v>19</v>
      </c>
      <c r="M15" t="s">
        <v>30</v>
      </c>
      <c r="N15">
        <v>39</v>
      </c>
      <c r="O15">
        <v>77.026734938624898</v>
      </c>
      <c r="P15">
        <v>18.929660195758299</v>
      </c>
      <c r="Q15" t="s">
        <v>29</v>
      </c>
      <c r="R15">
        <v>13</v>
      </c>
      <c r="S15">
        <v>66.620135666725204</v>
      </c>
    </row>
    <row r="16" spans="1:19" x14ac:dyDescent="0.25">
      <c r="A16">
        <v>6311</v>
      </c>
      <c r="B16">
        <v>149.219199364069</v>
      </c>
      <c r="C16">
        <v>1.6416439357730701</v>
      </c>
      <c r="D16">
        <v>85.135773599739593</v>
      </c>
      <c r="E16">
        <v>34.5304688855988</v>
      </c>
      <c r="F16">
        <v>14.781978689151099</v>
      </c>
      <c r="G16">
        <v>0.65497854791209498</v>
      </c>
      <c r="H16">
        <v>0.46986846678527699</v>
      </c>
      <c r="I16">
        <v>5.51007730742813</v>
      </c>
      <c r="J16">
        <v>98.855184200825605</v>
      </c>
      <c r="K16">
        <v>73.248005577946699</v>
      </c>
      <c r="L16" t="s">
        <v>22</v>
      </c>
      <c r="M16" t="s">
        <v>35</v>
      </c>
      <c r="N16">
        <v>36</v>
      </c>
      <c r="O16">
        <v>77.243707552261299</v>
      </c>
      <c r="P16">
        <v>20.966170776067901</v>
      </c>
      <c r="Q16" t="s">
        <v>21</v>
      </c>
      <c r="R16">
        <v>14</v>
      </c>
      <c r="S16">
        <v>84.234334568375402</v>
      </c>
    </row>
    <row r="17" spans="1:19" x14ac:dyDescent="0.25">
      <c r="A17">
        <v>6051</v>
      </c>
      <c r="B17">
        <v>143.88526622972</v>
      </c>
      <c r="C17">
        <v>1.3705475131479601</v>
      </c>
      <c r="D17">
        <v>82.249375880271998</v>
      </c>
      <c r="E17">
        <v>32.817942679707301</v>
      </c>
      <c r="F17">
        <v>19.585450802697402</v>
      </c>
      <c r="G17">
        <v>0.93194574839294597</v>
      </c>
      <c r="H17">
        <v>0.43219513004402699</v>
      </c>
      <c r="I17">
        <v>7.1825719724689403</v>
      </c>
      <c r="J17">
        <v>36.719585454726797</v>
      </c>
      <c r="K17">
        <v>32.1248127444982</v>
      </c>
      <c r="L17" t="s">
        <v>34</v>
      </c>
      <c r="M17" t="s">
        <v>32</v>
      </c>
      <c r="N17">
        <v>26</v>
      </c>
      <c r="O17">
        <v>65.560160458122198</v>
      </c>
      <c r="P17">
        <v>35.058719780755801</v>
      </c>
      <c r="Q17" t="s">
        <v>21</v>
      </c>
      <c r="R17">
        <v>15</v>
      </c>
      <c r="S17">
        <v>81.301052375557006</v>
      </c>
    </row>
    <row r="18" spans="1:19" x14ac:dyDescent="0.25">
      <c r="A18">
        <v>7420</v>
      </c>
      <c r="B18">
        <v>127.780676683618</v>
      </c>
      <c r="C18">
        <v>1.7933469007376299</v>
      </c>
      <c r="D18">
        <v>49.666337428470001</v>
      </c>
      <c r="E18">
        <v>33.640031093646499</v>
      </c>
      <c r="F18">
        <v>21.586424880517502</v>
      </c>
      <c r="G18">
        <v>0.88969604340642605</v>
      </c>
      <c r="H18">
        <v>0.56797742419851305</v>
      </c>
      <c r="I18">
        <v>8.12715884580013</v>
      </c>
      <c r="J18">
        <v>22.845739184392201</v>
      </c>
      <c r="K18">
        <v>16.860699753192399</v>
      </c>
      <c r="L18" t="s">
        <v>27</v>
      </c>
      <c r="M18" t="s">
        <v>26</v>
      </c>
      <c r="N18">
        <v>24</v>
      </c>
      <c r="O18">
        <v>70.063166711421701</v>
      </c>
      <c r="P18">
        <v>19.127154240467998</v>
      </c>
      <c r="Q18" t="s">
        <v>25</v>
      </c>
      <c r="R18">
        <v>16</v>
      </c>
      <c r="S18">
        <v>74.825085550272107</v>
      </c>
    </row>
    <row r="19" spans="1:19" x14ac:dyDescent="0.25">
      <c r="A19">
        <v>2184</v>
      </c>
      <c r="B19">
        <v>158.186596067284</v>
      </c>
      <c r="C19">
        <v>1.2625481716887299</v>
      </c>
      <c r="D19">
        <v>65.118390526515896</v>
      </c>
      <c r="E19">
        <v>34.007362205421998</v>
      </c>
      <c r="F19">
        <v>23.215458638303399</v>
      </c>
      <c r="G19">
        <v>1.6303932063162001</v>
      </c>
      <c r="H19">
        <v>0.48671356473829902</v>
      </c>
      <c r="I19">
        <v>6.2471678269972202</v>
      </c>
      <c r="J19">
        <v>82.935494262893798</v>
      </c>
      <c r="K19">
        <v>43.783044776671701</v>
      </c>
      <c r="L19" t="s">
        <v>27</v>
      </c>
      <c r="M19" t="s">
        <v>33</v>
      </c>
      <c r="N19">
        <v>31</v>
      </c>
      <c r="O19">
        <v>75.823183165731805</v>
      </c>
      <c r="P19">
        <v>17.068739245483599</v>
      </c>
      <c r="Q19" t="s">
        <v>31</v>
      </c>
      <c r="R19">
        <v>17</v>
      </c>
      <c r="S19">
        <v>92.5661221811839</v>
      </c>
    </row>
    <row r="20" spans="1:19" x14ac:dyDescent="0.25">
      <c r="A20">
        <v>5555</v>
      </c>
      <c r="B20">
        <v>113.378733448002</v>
      </c>
      <c r="C20">
        <v>1.93564864872862</v>
      </c>
      <c r="D20">
        <v>69.213854247447301</v>
      </c>
      <c r="E20">
        <v>34.461833654105099</v>
      </c>
      <c r="F20">
        <v>26.756531221497401</v>
      </c>
      <c r="G20">
        <v>1.0213702769917301</v>
      </c>
      <c r="H20">
        <v>0.495705746408868</v>
      </c>
      <c r="I20">
        <v>9.1802596970930797</v>
      </c>
      <c r="J20">
        <v>117.59831193924499</v>
      </c>
      <c r="K20">
        <v>25.616163824086701</v>
      </c>
      <c r="L20" t="s">
        <v>19</v>
      </c>
      <c r="M20" t="s">
        <v>26</v>
      </c>
      <c r="N20">
        <v>22</v>
      </c>
      <c r="O20">
        <v>76.915780244383498</v>
      </c>
      <c r="P20">
        <v>8.8957175312830401</v>
      </c>
      <c r="Q20" t="s">
        <v>29</v>
      </c>
      <c r="R20">
        <v>18</v>
      </c>
      <c r="S20">
        <v>78.697019774579701</v>
      </c>
    </row>
    <row r="21" spans="1:19" x14ac:dyDescent="0.25">
      <c r="A21">
        <v>4385</v>
      </c>
      <c r="B21">
        <v>147.31871213888499</v>
      </c>
      <c r="C21">
        <v>0.82701015987662496</v>
      </c>
      <c r="D21">
        <v>67.310064311965306</v>
      </c>
      <c r="E21">
        <v>34.268841966453799</v>
      </c>
      <c r="F21">
        <v>24.634489618328899</v>
      </c>
      <c r="G21">
        <v>0.50738286800600596</v>
      </c>
      <c r="H21">
        <v>0.818417619612822</v>
      </c>
      <c r="I21">
        <v>9.4779230219548403</v>
      </c>
      <c r="J21">
        <v>53.121381462312101</v>
      </c>
      <c r="K21">
        <v>68.279073557872294</v>
      </c>
      <c r="L21" t="s">
        <v>19</v>
      </c>
      <c r="M21" t="s">
        <v>33</v>
      </c>
      <c r="N21">
        <v>35</v>
      </c>
      <c r="O21">
        <v>76.992580884900406</v>
      </c>
      <c r="P21">
        <v>5.3168528361684304</v>
      </c>
      <c r="Q21" t="s">
        <v>21</v>
      </c>
      <c r="R21">
        <v>19</v>
      </c>
      <c r="S21">
        <v>87.821044988065296</v>
      </c>
    </row>
    <row r="22" spans="1:19" x14ac:dyDescent="0.25">
      <c r="A22">
        <v>7396</v>
      </c>
      <c r="B22">
        <v>146.86202515936699</v>
      </c>
      <c r="C22">
        <v>1.5631897897731999</v>
      </c>
      <c r="D22">
        <v>76.677199331370602</v>
      </c>
      <c r="E22">
        <v>34.0466364000875</v>
      </c>
      <c r="F22">
        <v>21.045638902234099</v>
      </c>
      <c r="G22">
        <v>0.680977811874933</v>
      </c>
      <c r="H22">
        <v>0.40871093901967998</v>
      </c>
      <c r="I22">
        <v>1.57887300874225</v>
      </c>
      <c r="J22">
        <v>31.865570319625199</v>
      </c>
      <c r="K22">
        <v>64.584794011928693</v>
      </c>
      <c r="L22" t="s">
        <v>19</v>
      </c>
      <c r="M22" t="s">
        <v>30</v>
      </c>
      <c r="N22">
        <v>26</v>
      </c>
      <c r="O22">
        <v>59.783914103167099</v>
      </c>
      <c r="P22">
        <v>16.930622031334298</v>
      </c>
      <c r="Q22" t="s">
        <v>29</v>
      </c>
      <c r="R22">
        <v>20</v>
      </c>
      <c r="S22">
        <v>71.848249824594902</v>
      </c>
    </row>
    <row r="23" spans="1:19" x14ac:dyDescent="0.25">
      <c r="A23">
        <v>9666</v>
      </c>
      <c r="B23">
        <v>128.80907121371999</v>
      </c>
      <c r="C23">
        <v>2.4694644995291402</v>
      </c>
      <c r="D23">
        <v>98.627335636623599</v>
      </c>
      <c r="E23">
        <v>32.621895922566999</v>
      </c>
      <c r="F23">
        <v>21.0090216181014</v>
      </c>
      <c r="G23">
        <v>1.1164040933375301</v>
      </c>
      <c r="H23">
        <v>0.70679556915448805</v>
      </c>
      <c r="I23">
        <v>4.6213348558723597</v>
      </c>
      <c r="J23">
        <v>77.038732536753002</v>
      </c>
      <c r="K23">
        <v>18.297873121609101</v>
      </c>
      <c r="L23" t="s">
        <v>19</v>
      </c>
      <c r="M23" t="s">
        <v>20</v>
      </c>
      <c r="N23">
        <v>38</v>
      </c>
      <c r="O23">
        <v>77.400412586084499</v>
      </c>
      <c r="P23">
        <v>34.459081535797601</v>
      </c>
      <c r="Q23" t="s">
        <v>31</v>
      </c>
      <c r="R23">
        <v>21</v>
      </c>
      <c r="S23">
        <v>73.479192282846398</v>
      </c>
    </row>
    <row r="24" spans="1:19" x14ac:dyDescent="0.25">
      <c r="A24">
        <v>3558</v>
      </c>
      <c r="B24">
        <v>141.52266044484199</v>
      </c>
      <c r="C24">
        <v>0.99983433769721197</v>
      </c>
      <c r="D24">
        <v>91.635334553456502</v>
      </c>
      <c r="E24">
        <v>32.3139047496527</v>
      </c>
      <c r="F24">
        <v>24.550787344575902</v>
      </c>
      <c r="G24">
        <v>0.46541705136704198</v>
      </c>
      <c r="H24">
        <v>0.60870375932640497</v>
      </c>
      <c r="I24">
        <v>1.2111311954903901</v>
      </c>
      <c r="J24">
        <v>110.63542110956401</v>
      </c>
      <c r="K24">
        <v>77.744533434821307</v>
      </c>
      <c r="L24" t="s">
        <v>27</v>
      </c>
      <c r="M24" t="s">
        <v>36</v>
      </c>
      <c r="N24">
        <v>24</v>
      </c>
      <c r="O24">
        <v>82.864615276279594</v>
      </c>
      <c r="P24">
        <v>16.305850189155102</v>
      </c>
      <c r="Q24" t="s">
        <v>24</v>
      </c>
      <c r="R24">
        <v>22</v>
      </c>
      <c r="S24">
        <v>70.343350256206094</v>
      </c>
    </row>
    <row r="25" spans="1:19" x14ac:dyDescent="0.25">
      <c r="A25">
        <v>8849</v>
      </c>
      <c r="B25">
        <v>109.97772847229299</v>
      </c>
      <c r="C25">
        <v>1.1611275147375699</v>
      </c>
      <c r="D25">
        <v>43.755616131371802</v>
      </c>
      <c r="E25">
        <v>33.399129012388997</v>
      </c>
      <c r="F25">
        <v>28.362850814642801</v>
      </c>
      <c r="G25">
        <v>1.3009802161628199</v>
      </c>
      <c r="H25">
        <v>0.67860249994970001</v>
      </c>
      <c r="I25">
        <v>3.9647499163699802</v>
      </c>
      <c r="J25">
        <v>98.406177982847794</v>
      </c>
      <c r="K25">
        <v>33.655744971838601</v>
      </c>
      <c r="L25" t="s">
        <v>19</v>
      </c>
      <c r="M25" t="s">
        <v>32</v>
      </c>
      <c r="N25">
        <v>26</v>
      </c>
      <c r="O25">
        <v>79.947421998871505</v>
      </c>
      <c r="P25">
        <v>11.8181468977918</v>
      </c>
      <c r="Q25" t="s">
        <v>21</v>
      </c>
      <c r="R25">
        <v>23</v>
      </c>
      <c r="S25">
        <v>55.651434197731902</v>
      </c>
    </row>
    <row r="26" spans="1:19" x14ac:dyDescent="0.25">
      <c r="A26">
        <v>3047</v>
      </c>
      <c r="B26">
        <v>153.48054038413801</v>
      </c>
      <c r="C26">
        <v>1.7569539248294499</v>
      </c>
      <c r="D26">
        <v>82.441399806120899</v>
      </c>
      <c r="E26">
        <v>34.119753686809197</v>
      </c>
      <c r="F26">
        <v>22.631570997415999</v>
      </c>
      <c r="G26">
        <v>1.21834515179206</v>
      </c>
      <c r="H26">
        <v>0.70955663046803097</v>
      </c>
      <c r="I26">
        <v>5.8318139617354099</v>
      </c>
      <c r="J26">
        <v>82.251586841271603</v>
      </c>
      <c r="K26">
        <v>47.4170306618281</v>
      </c>
      <c r="L26" t="s">
        <v>27</v>
      </c>
      <c r="M26" t="s">
        <v>32</v>
      </c>
      <c r="N26">
        <v>21</v>
      </c>
      <c r="O26">
        <v>59.315823601584299</v>
      </c>
      <c r="P26">
        <v>21.6165551800202</v>
      </c>
      <c r="Q26" t="s">
        <v>31</v>
      </c>
      <c r="R26">
        <v>24</v>
      </c>
      <c r="S26">
        <v>85.708563190822204</v>
      </c>
    </row>
    <row r="27" spans="1:19" x14ac:dyDescent="0.25">
      <c r="A27">
        <v>3747</v>
      </c>
      <c r="B27">
        <v>131.30195727114</v>
      </c>
      <c r="C27">
        <v>1.58979089096979</v>
      </c>
      <c r="D27">
        <v>96.578666390708193</v>
      </c>
      <c r="E27">
        <v>32.732735159068</v>
      </c>
      <c r="F27">
        <v>19.654345728947899</v>
      </c>
      <c r="G27">
        <v>1.48646416948806</v>
      </c>
      <c r="H27">
        <v>0.57235223195150298</v>
      </c>
      <c r="I27">
        <v>9.1971543745895392</v>
      </c>
      <c r="J27">
        <v>51.5056496607599</v>
      </c>
      <c r="K27">
        <v>65.095030159180595</v>
      </c>
      <c r="L27" t="s">
        <v>19</v>
      </c>
      <c r="M27" t="s">
        <v>20</v>
      </c>
      <c r="N27">
        <v>34</v>
      </c>
      <c r="O27">
        <v>57.304189549091298</v>
      </c>
      <c r="P27">
        <v>1.95547801674508</v>
      </c>
      <c r="Q27" t="s">
        <v>29</v>
      </c>
      <c r="R27">
        <v>25</v>
      </c>
      <c r="S27">
        <v>76.938960541289504</v>
      </c>
    </row>
    <row r="28" spans="1:19" x14ac:dyDescent="0.25">
      <c r="A28">
        <v>1189</v>
      </c>
      <c r="B28">
        <v>124.545539589619</v>
      </c>
      <c r="C28">
        <v>1.6753150496367699</v>
      </c>
      <c r="D28">
        <v>77.736170413783995</v>
      </c>
      <c r="E28">
        <v>34.278206358857197</v>
      </c>
      <c r="F28">
        <v>17.035669994572199</v>
      </c>
      <c r="G28">
        <v>1.88786830768286</v>
      </c>
      <c r="H28">
        <v>0.56230987310135605</v>
      </c>
      <c r="I28">
        <v>8.6189889021886206</v>
      </c>
      <c r="J28">
        <v>74.188017327621907</v>
      </c>
      <c r="K28">
        <v>47.206409013919</v>
      </c>
      <c r="L28" t="s">
        <v>34</v>
      </c>
      <c r="M28" t="s">
        <v>35</v>
      </c>
      <c r="N28">
        <v>29</v>
      </c>
      <c r="O28">
        <v>71.721805461548698</v>
      </c>
      <c r="P28">
        <v>18.6343218988446</v>
      </c>
      <c r="Q28" t="s">
        <v>31</v>
      </c>
      <c r="R28">
        <v>26</v>
      </c>
      <c r="S28">
        <v>77.685257118830506</v>
      </c>
    </row>
    <row r="29" spans="1:19" x14ac:dyDescent="0.25">
      <c r="A29">
        <v>3734</v>
      </c>
      <c r="B29">
        <v>155.98018451673701</v>
      </c>
      <c r="C29">
        <v>1.74459356507383</v>
      </c>
      <c r="D29">
        <v>91.819608503719294</v>
      </c>
      <c r="E29">
        <v>34.743140094583403</v>
      </c>
      <c r="F29">
        <v>14.7739736779388</v>
      </c>
      <c r="G29">
        <v>1.8420582099820799</v>
      </c>
      <c r="H29">
        <v>0.80337101713419801</v>
      </c>
      <c r="I29">
        <v>2.14749754004787</v>
      </c>
      <c r="J29">
        <v>29.1244841304255</v>
      </c>
      <c r="K29">
        <v>48.096585209995702</v>
      </c>
      <c r="L29" t="s">
        <v>34</v>
      </c>
      <c r="M29" t="s">
        <v>33</v>
      </c>
      <c r="N29">
        <v>23</v>
      </c>
      <c r="O29">
        <v>79.7986717617312</v>
      </c>
      <c r="P29">
        <v>24.5950254737953</v>
      </c>
      <c r="Q29" t="s">
        <v>24</v>
      </c>
      <c r="R29">
        <v>27</v>
      </c>
      <c r="S29">
        <v>75.738867928528293</v>
      </c>
    </row>
    <row r="30" spans="1:19" x14ac:dyDescent="0.25">
      <c r="A30">
        <v>4005</v>
      </c>
      <c r="B30">
        <v>120.91312618914399</v>
      </c>
      <c r="C30">
        <v>1.81736073428088</v>
      </c>
      <c r="D30">
        <v>110.245408914015</v>
      </c>
      <c r="E30">
        <v>31.900414897111801</v>
      </c>
      <c r="F30">
        <v>25.3313483602176</v>
      </c>
      <c r="G30">
        <v>1.9029361125238899</v>
      </c>
      <c r="H30">
        <v>0.87920234346663595</v>
      </c>
      <c r="I30">
        <v>1.8372733726680599</v>
      </c>
      <c r="J30">
        <v>87.894542428066998</v>
      </c>
      <c r="K30">
        <v>19.922099650180499</v>
      </c>
      <c r="L30" t="s">
        <v>19</v>
      </c>
      <c r="M30" t="s">
        <v>35</v>
      </c>
      <c r="N30">
        <v>35</v>
      </c>
      <c r="O30">
        <v>69.809343876134903</v>
      </c>
      <c r="P30">
        <v>10.4195264006055</v>
      </c>
      <c r="Q30" t="s">
        <v>31</v>
      </c>
      <c r="R30">
        <v>28</v>
      </c>
      <c r="S30">
        <v>58.303608465432603</v>
      </c>
    </row>
    <row r="31" spans="1:19" x14ac:dyDescent="0.25">
      <c r="A31">
        <v>5658</v>
      </c>
      <c r="B31">
        <v>106.830774072728</v>
      </c>
      <c r="C31">
        <v>2.0548499209781101</v>
      </c>
      <c r="D31">
        <v>90.474190922139599</v>
      </c>
      <c r="E31">
        <v>31.995695155444398</v>
      </c>
      <c r="F31">
        <v>24.889892618197699</v>
      </c>
      <c r="G31">
        <v>0.640488074642661</v>
      </c>
      <c r="H31">
        <v>0.50591989785219005</v>
      </c>
      <c r="I31">
        <v>6.3034060488100003</v>
      </c>
      <c r="J31">
        <v>92.509601889764994</v>
      </c>
      <c r="K31">
        <v>45.108266194500203</v>
      </c>
      <c r="L31" t="s">
        <v>19</v>
      </c>
      <c r="M31" t="s">
        <v>32</v>
      </c>
      <c r="N31">
        <v>25</v>
      </c>
      <c r="O31">
        <v>66.120177342757202</v>
      </c>
      <c r="P31">
        <v>28.9509581525129</v>
      </c>
      <c r="Q31" t="s">
        <v>29</v>
      </c>
      <c r="R31">
        <v>29</v>
      </c>
      <c r="S31">
        <v>66.576673826828397</v>
      </c>
    </row>
    <row r="32" spans="1:19" x14ac:dyDescent="0.25">
      <c r="A32">
        <v>2899</v>
      </c>
      <c r="B32">
        <v>103.86741652952099</v>
      </c>
      <c r="C32">
        <v>1.70490932846425</v>
      </c>
      <c r="D32">
        <v>74.986171912834493</v>
      </c>
      <c r="E32">
        <v>32.831549929313503</v>
      </c>
      <c r="F32">
        <v>24.8868176255333</v>
      </c>
      <c r="G32">
        <v>0.43681755195083799</v>
      </c>
      <c r="H32">
        <v>0.45369031829433099</v>
      </c>
      <c r="I32">
        <v>5.7890617521290402</v>
      </c>
      <c r="J32">
        <v>116.503162290991</v>
      </c>
      <c r="K32">
        <v>72.363591991498694</v>
      </c>
      <c r="L32" t="s">
        <v>22</v>
      </c>
      <c r="M32" t="s">
        <v>23</v>
      </c>
      <c r="N32">
        <v>38</v>
      </c>
      <c r="O32">
        <v>67.278488000603801</v>
      </c>
      <c r="P32">
        <v>23.277460395246901</v>
      </c>
      <c r="Q32" t="s">
        <v>21</v>
      </c>
      <c r="R32">
        <v>30</v>
      </c>
      <c r="S32">
        <v>60.9291303288812</v>
      </c>
    </row>
    <row r="33" spans="1:19" x14ac:dyDescent="0.25">
      <c r="A33">
        <v>8734</v>
      </c>
      <c r="B33">
        <v>147.12019902691199</v>
      </c>
      <c r="C33">
        <v>1.3793711726907201</v>
      </c>
      <c r="D33">
        <v>90.901769481694998</v>
      </c>
      <c r="E33">
        <v>33.369135201827</v>
      </c>
      <c r="F33">
        <v>21.3567027682397</v>
      </c>
      <c r="G33">
        <v>0.74409806089360697</v>
      </c>
      <c r="H33">
        <v>0.89378769351561405</v>
      </c>
      <c r="I33">
        <v>3.39739877287021</v>
      </c>
      <c r="J33">
        <v>46.039735874507102</v>
      </c>
      <c r="K33">
        <v>83.638225288994803</v>
      </c>
      <c r="L33" t="s">
        <v>34</v>
      </c>
      <c r="M33" t="s">
        <v>23</v>
      </c>
      <c r="N33">
        <v>32</v>
      </c>
      <c r="O33">
        <v>76.163937599532602</v>
      </c>
      <c r="P33">
        <v>29.0233698847364</v>
      </c>
      <c r="Q33" t="s">
        <v>21</v>
      </c>
      <c r="R33">
        <v>31</v>
      </c>
      <c r="S33">
        <v>74.278433917398701</v>
      </c>
    </row>
    <row r="34" spans="1:19" x14ac:dyDescent="0.25">
      <c r="A34">
        <v>2267</v>
      </c>
      <c r="B34">
        <v>109.391412950074</v>
      </c>
      <c r="C34">
        <v>1.8362868506013601</v>
      </c>
      <c r="D34">
        <v>72.897756661937805</v>
      </c>
      <c r="E34">
        <v>32.370519583479499</v>
      </c>
      <c r="F34">
        <v>29.034673729458699</v>
      </c>
      <c r="G34">
        <v>1.8111533109793601</v>
      </c>
      <c r="H34">
        <v>0.59244250500606899</v>
      </c>
      <c r="I34">
        <v>9.0950777609845108</v>
      </c>
      <c r="J34">
        <v>21.845641904302202</v>
      </c>
      <c r="K34">
        <v>46.012285279752803</v>
      </c>
      <c r="L34" t="s">
        <v>27</v>
      </c>
      <c r="M34" t="s">
        <v>37</v>
      </c>
      <c r="N34">
        <v>20</v>
      </c>
      <c r="O34">
        <v>65.4271393622993</v>
      </c>
      <c r="P34">
        <v>6.98949903760571</v>
      </c>
      <c r="Q34" t="s">
        <v>25</v>
      </c>
      <c r="R34">
        <v>32</v>
      </c>
      <c r="S34">
        <v>74.985460747257505</v>
      </c>
    </row>
    <row r="35" spans="1:19" x14ac:dyDescent="0.25">
      <c r="A35">
        <v>2528</v>
      </c>
      <c r="B35">
        <v>170.095883639687</v>
      </c>
      <c r="C35">
        <v>2.4499409674476</v>
      </c>
      <c r="D35">
        <v>70.478060865699106</v>
      </c>
      <c r="E35">
        <v>34.622643214640497</v>
      </c>
      <c r="F35">
        <v>19.579407527075901</v>
      </c>
      <c r="G35">
        <v>1.94969625432227</v>
      </c>
      <c r="H35">
        <v>0.70322456486454699</v>
      </c>
      <c r="I35">
        <v>9.3462976851539796</v>
      </c>
      <c r="J35">
        <v>74.560846442715004</v>
      </c>
      <c r="K35">
        <v>46.768937015930902</v>
      </c>
      <c r="L35" t="s">
        <v>34</v>
      </c>
      <c r="M35" t="s">
        <v>28</v>
      </c>
      <c r="N35">
        <v>19</v>
      </c>
      <c r="O35">
        <v>71.847637253866296</v>
      </c>
      <c r="P35">
        <v>16.554399263870199</v>
      </c>
      <c r="Q35" t="s">
        <v>29</v>
      </c>
      <c r="R35">
        <v>33</v>
      </c>
      <c r="S35">
        <v>96.572884416122506</v>
      </c>
    </row>
    <row r="36" spans="1:19" x14ac:dyDescent="0.25">
      <c r="A36">
        <v>4556</v>
      </c>
      <c r="B36">
        <v>93.361411842325495</v>
      </c>
      <c r="C36">
        <v>1.43368312680871</v>
      </c>
      <c r="D36">
        <v>62.971715285725303</v>
      </c>
      <c r="E36">
        <v>33.508880233822097</v>
      </c>
      <c r="F36">
        <v>26.776346186036001</v>
      </c>
      <c r="G36">
        <v>1.7467849119268499</v>
      </c>
      <c r="H36">
        <v>0.597748729486001</v>
      </c>
      <c r="I36">
        <v>4.6235029450614604</v>
      </c>
      <c r="J36">
        <v>90.679050439681404</v>
      </c>
      <c r="K36">
        <v>67.697032974273895</v>
      </c>
      <c r="L36" t="s">
        <v>27</v>
      </c>
      <c r="M36" t="s">
        <v>23</v>
      </c>
      <c r="N36">
        <v>26</v>
      </c>
      <c r="O36">
        <v>66.957095189483098</v>
      </c>
      <c r="P36">
        <v>25.3770125482258</v>
      </c>
      <c r="Q36" t="s">
        <v>25</v>
      </c>
      <c r="R36">
        <v>34</v>
      </c>
      <c r="S36">
        <v>48.728318035445902</v>
      </c>
    </row>
    <row r="37" spans="1:19" x14ac:dyDescent="0.25">
      <c r="A37">
        <v>4890</v>
      </c>
      <c r="B37">
        <v>168.92912736580001</v>
      </c>
      <c r="C37">
        <v>1.0127353476646701</v>
      </c>
      <c r="D37">
        <v>101.268267176642</v>
      </c>
      <c r="E37">
        <v>33.047336457888797</v>
      </c>
      <c r="F37">
        <v>21.8062855250522</v>
      </c>
      <c r="G37">
        <v>0.398031898029578</v>
      </c>
      <c r="H37">
        <v>0.46919128499032797</v>
      </c>
      <c r="I37">
        <v>9.0127230140216792</v>
      </c>
      <c r="J37">
        <v>99.0407475882988</v>
      </c>
      <c r="K37">
        <v>85.707900082895705</v>
      </c>
      <c r="L37" t="s">
        <v>19</v>
      </c>
      <c r="M37" t="s">
        <v>23</v>
      </c>
      <c r="N37">
        <v>25</v>
      </c>
      <c r="O37">
        <v>60.8932961146363</v>
      </c>
      <c r="P37">
        <v>6.0171304557016603</v>
      </c>
      <c r="Q37" t="s">
        <v>25</v>
      </c>
      <c r="R37">
        <v>35</v>
      </c>
      <c r="S37">
        <v>98.578268593190899</v>
      </c>
    </row>
    <row r="38" spans="1:19" x14ac:dyDescent="0.25">
      <c r="A38">
        <v>9838</v>
      </c>
      <c r="B38">
        <v>139.22034934405201</v>
      </c>
      <c r="C38">
        <v>2.05354033464348</v>
      </c>
      <c r="D38">
        <v>53.631426681159901</v>
      </c>
      <c r="E38">
        <v>31.276908571357701</v>
      </c>
      <c r="F38">
        <v>18.9582461766033</v>
      </c>
      <c r="G38">
        <v>1.9053703965076201</v>
      </c>
      <c r="H38">
        <v>0.72413240472124996</v>
      </c>
      <c r="I38">
        <v>4.4555400483667498</v>
      </c>
      <c r="J38">
        <v>39.373893302481001</v>
      </c>
      <c r="K38">
        <v>35.029570517952003</v>
      </c>
      <c r="L38" t="s">
        <v>34</v>
      </c>
      <c r="M38" t="s">
        <v>33</v>
      </c>
      <c r="N38">
        <v>21</v>
      </c>
      <c r="O38">
        <v>60.266471074554403</v>
      </c>
      <c r="P38">
        <v>25.576573507436699</v>
      </c>
      <c r="Q38" t="s">
        <v>24</v>
      </c>
      <c r="R38">
        <v>36</v>
      </c>
      <c r="S38">
        <v>75.267556502604805</v>
      </c>
    </row>
    <row r="39" spans="1:19" x14ac:dyDescent="0.25">
      <c r="A39">
        <v>6393</v>
      </c>
      <c r="B39">
        <v>133.06573776259199</v>
      </c>
      <c r="C39">
        <v>1.4398094180231999</v>
      </c>
      <c r="D39">
        <v>100.64735449356201</v>
      </c>
      <c r="E39">
        <v>31.421021020286901</v>
      </c>
      <c r="F39">
        <v>24.962651536588801</v>
      </c>
      <c r="G39">
        <v>0.96204444923141397</v>
      </c>
      <c r="H39">
        <v>0.68882746847329601</v>
      </c>
      <c r="I39">
        <v>7.6313514864672998</v>
      </c>
      <c r="J39">
        <v>46.1752869037023</v>
      </c>
      <c r="K39">
        <v>48.010815490345202</v>
      </c>
      <c r="L39" t="s">
        <v>34</v>
      </c>
      <c r="M39" t="s">
        <v>37</v>
      </c>
      <c r="N39">
        <v>19</v>
      </c>
      <c r="O39">
        <v>72.202474513519704</v>
      </c>
      <c r="P39">
        <v>16.561224869858702</v>
      </c>
      <c r="Q39" t="s">
        <v>29</v>
      </c>
      <c r="R39">
        <v>37</v>
      </c>
      <c r="S39">
        <v>78.999832257325394</v>
      </c>
    </row>
    <row r="40" spans="1:19" x14ac:dyDescent="0.25">
      <c r="A40">
        <v>9792</v>
      </c>
      <c r="B40">
        <v>124.101618263821</v>
      </c>
      <c r="C40">
        <v>0.41366522699298103</v>
      </c>
      <c r="D40">
        <v>79.997282474807406</v>
      </c>
      <c r="E40">
        <v>33.337211100338102</v>
      </c>
      <c r="F40">
        <v>24.0481805934199</v>
      </c>
      <c r="G40">
        <v>0.216758523372236</v>
      </c>
      <c r="H40">
        <v>0.51164645755515803</v>
      </c>
      <c r="I40">
        <v>5.2834799579295098</v>
      </c>
      <c r="J40">
        <v>71.259092526729603</v>
      </c>
      <c r="K40">
        <v>74.6979932664225</v>
      </c>
      <c r="L40" t="s">
        <v>22</v>
      </c>
      <c r="M40" t="s">
        <v>33</v>
      </c>
      <c r="N40">
        <v>31</v>
      </c>
      <c r="O40">
        <v>48</v>
      </c>
      <c r="P40">
        <v>25.517030775421802</v>
      </c>
      <c r="Q40" t="s">
        <v>21</v>
      </c>
      <c r="R40">
        <v>38</v>
      </c>
      <c r="S40">
        <v>71.130076395703696</v>
      </c>
    </row>
    <row r="41" spans="1:19" x14ac:dyDescent="0.25">
      <c r="A41">
        <v>9433</v>
      </c>
      <c r="B41">
        <v>142.98272228704101</v>
      </c>
      <c r="C41">
        <v>1.92371083857521</v>
      </c>
      <c r="D41">
        <v>42.0138765039611</v>
      </c>
      <c r="E41">
        <v>30.440885248614101</v>
      </c>
      <c r="F41">
        <v>23.784863796334601</v>
      </c>
      <c r="G41">
        <v>0.99630873334674797</v>
      </c>
      <c r="H41">
        <v>0.648527974558752</v>
      </c>
      <c r="I41">
        <v>2.1032484085646401</v>
      </c>
      <c r="J41">
        <v>53.0600809970001</v>
      </c>
      <c r="K41">
        <v>60.727017703052802</v>
      </c>
      <c r="L41" t="s">
        <v>22</v>
      </c>
      <c r="M41" t="s">
        <v>32</v>
      </c>
      <c r="N41">
        <v>19</v>
      </c>
      <c r="O41">
        <v>71.834101870624394</v>
      </c>
      <c r="P41">
        <v>19.739760491134199</v>
      </c>
      <c r="Q41" t="s">
        <v>29</v>
      </c>
      <c r="R41">
        <v>39</v>
      </c>
      <c r="S41">
        <v>75.727220671596697</v>
      </c>
    </row>
    <row r="42" spans="1:19" x14ac:dyDescent="0.25">
      <c r="A42">
        <v>8513</v>
      </c>
      <c r="B42">
        <v>134.24730595150299</v>
      </c>
      <c r="C42">
        <v>1.23233590702303</v>
      </c>
      <c r="D42">
        <v>77.352985859828394</v>
      </c>
      <c r="E42">
        <v>34.215164891572798</v>
      </c>
      <c r="F42">
        <v>22.406392110280901</v>
      </c>
      <c r="G42">
        <v>0.28292450541584102</v>
      </c>
      <c r="H42">
        <v>0.83832112720860497</v>
      </c>
      <c r="I42">
        <v>9.3514078111331909</v>
      </c>
      <c r="J42">
        <v>106.051148658744</v>
      </c>
      <c r="K42">
        <v>23.2939757972966</v>
      </c>
      <c r="L42" t="s">
        <v>34</v>
      </c>
      <c r="M42" t="s">
        <v>26</v>
      </c>
      <c r="N42">
        <v>19</v>
      </c>
      <c r="O42">
        <v>66.635040338366395</v>
      </c>
      <c r="P42">
        <v>29.286611342695799</v>
      </c>
      <c r="Q42" t="s">
        <v>24</v>
      </c>
      <c r="R42">
        <v>40</v>
      </c>
      <c r="S42">
        <v>90.4598735956056</v>
      </c>
    </row>
    <row r="43" spans="1:19" x14ac:dyDescent="0.25">
      <c r="A43">
        <v>3612</v>
      </c>
      <c r="B43">
        <v>157.06603764032999</v>
      </c>
      <c r="C43">
        <v>1.4547333588479101</v>
      </c>
      <c r="D43">
        <v>27.9994698469675</v>
      </c>
      <c r="E43">
        <v>32.8102153867532</v>
      </c>
      <c r="F43">
        <v>21.810534591415799</v>
      </c>
      <c r="G43">
        <v>1.1789802580900099</v>
      </c>
      <c r="H43">
        <v>0.72473435670934006</v>
      </c>
      <c r="I43">
        <v>5.0868693403978202</v>
      </c>
      <c r="J43">
        <v>67.376015373871994</v>
      </c>
      <c r="K43">
        <v>62.079955167169899</v>
      </c>
      <c r="L43" t="s">
        <v>34</v>
      </c>
      <c r="M43" t="s">
        <v>35</v>
      </c>
      <c r="N43">
        <v>39</v>
      </c>
      <c r="O43">
        <v>75.568665039329602</v>
      </c>
      <c r="P43">
        <v>7.6647200032991503</v>
      </c>
      <c r="Q43" t="s">
        <v>29</v>
      </c>
      <c r="R43">
        <v>41</v>
      </c>
      <c r="S43">
        <v>83.987349842339597</v>
      </c>
    </row>
    <row r="44" spans="1:19" x14ac:dyDescent="0.25">
      <c r="A44">
        <v>8041</v>
      </c>
      <c r="B44">
        <v>137.28455297324001</v>
      </c>
      <c r="C44">
        <v>1.6659901652844999</v>
      </c>
      <c r="D44">
        <v>82.5101603366207</v>
      </c>
      <c r="E44">
        <v>36.891711563513603</v>
      </c>
      <c r="F44">
        <v>33.941859964352098</v>
      </c>
      <c r="G44">
        <v>0.809397249386692</v>
      </c>
      <c r="H44">
        <v>0.453304529886847</v>
      </c>
      <c r="I44">
        <v>7.6103833629016302</v>
      </c>
      <c r="J44">
        <v>99.957864410200301</v>
      </c>
      <c r="K44">
        <v>29.005971344799502</v>
      </c>
      <c r="L44" t="s">
        <v>34</v>
      </c>
      <c r="M44" t="s">
        <v>32</v>
      </c>
      <c r="N44">
        <v>24</v>
      </c>
      <c r="O44">
        <v>72.811713584161097</v>
      </c>
      <c r="P44">
        <v>20.632562327432101</v>
      </c>
      <c r="Q44" t="s">
        <v>29</v>
      </c>
      <c r="R44">
        <v>42</v>
      </c>
      <c r="S44">
        <v>77.9694155801118</v>
      </c>
    </row>
    <row r="45" spans="1:19" x14ac:dyDescent="0.25">
      <c r="A45">
        <v>7235</v>
      </c>
      <c r="B45">
        <v>138.006035229237</v>
      </c>
      <c r="C45">
        <v>1.5952498398895301</v>
      </c>
      <c r="D45">
        <v>87.704629659779798</v>
      </c>
      <c r="E45">
        <v>35.7694995007393</v>
      </c>
      <c r="F45">
        <v>27.921283225980801</v>
      </c>
      <c r="G45">
        <v>1.0521828804692801</v>
      </c>
      <c r="H45">
        <v>0.70141182347602404</v>
      </c>
      <c r="I45">
        <v>4.3045643298816296</v>
      </c>
      <c r="J45">
        <v>78.061976048235294</v>
      </c>
      <c r="K45">
        <v>53.266195055880303</v>
      </c>
      <c r="L45" t="s">
        <v>27</v>
      </c>
      <c r="M45" t="s">
        <v>26</v>
      </c>
      <c r="N45">
        <v>29</v>
      </c>
      <c r="O45">
        <v>68.356967406405104</v>
      </c>
      <c r="P45">
        <v>5.90747777303707</v>
      </c>
      <c r="Q45" t="s">
        <v>25</v>
      </c>
      <c r="R45">
        <v>43</v>
      </c>
      <c r="S45">
        <v>73.198120188880793</v>
      </c>
    </row>
    <row r="46" spans="1:19" x14ac:dyDescent="0.25">
      <c r="A46">
        <v>6486</v>
      </c>
      <c r="B46">
        <v>127.727755755722</v>
      </c>
      <c r="C46">
        <v>1.85472590856951</v>
      </c>
      <c r="D46">
        <v>58.152880886958897</v>
      </c>
      <c r="E46">
        <v>32.782261116902902</v>
      </c>
      <c r="F46">
        <v>25.6141344749275</v>
      </c>
      <c r="G46">
        <v>1.3037066493376099</v>
      </c>
      <c r="H46">
        <v>0.78650606460927197</v>
      </c>
      <c r="I46">
        <v>1.1699279071861099</v>
      </c>
      <c r="J46">
        <v>97.309014161711204</v>
      </c>
      <c r="K46">
        <v>54.682745074532797</v>
      </c>
      <c r="L46" t="s">
        <v>19</v>
      </c>
      <c r="M46" t="s">
        <v>30</v>
      </c>
      <c r="N46">
        <v>23</v>
      </c>
      <c r="O46">
        <v>59.461083133925698</v>
      </c>
      <c r="P46">
        <v>21.356306347408498</v>
      </c>
      <c r="Q46" t="s">
        <v>29</v>
      </c>
      <c r="R46">
        <v>44</v>
      </c>
      <c r="S46">
        <v>64.938052471255403</v>
      </c>
    </row>
    <row r="47" spans="1:19" x14ac:dyDescent="0.25">
      <c r="A47">
        <v>8099</v>
      </c>
      <c r="B47">
        <v>133.861087525578</v>
      </c>
      <c r="C47">
        <v>1.2822568147150699</v>
      </c>
      <c r="D47">
        <v>72.470953919111594</v>
      </c>
      <c r="E47">
        <v>32.872395596962399</v>
      </c>
      <c r="F47">
        <v>22.558995791016901</v>
      </c>
      <c r="G47">
        <v>1.76384197247207</v>
      </c>
      <c r="H47">
        <v>0.835986873179413</v>
      </c>
      <c r="I47">
        <v>1.90477322822652</v>
      </c>
      <c r="J47">
        <v>53.267298653032299</v>
      </c>
      <c r="K47">
        <v>80.715252166873796</v>
      </c>
      <c r="L47" t="s">
        <v>22</v>
      </c>
      <c r="M47" t="s">
        <v>30</v>
      </c>
      <c r="N47">
        <v>35</v>
      </c>
      <c r="O47">
        <v>59.894114435325498</v>
      </c>
      <c r="P47">
        <v>20.622559342901699</v>
      </c>
      <c r="Q47" t="s">
        <v>25</v>
      </c>
      <c r="R47">
        <v>45</v>
      </c>
      <c r="S47">
        <v>70.298281584578106</v>
      </c>
    </row>
    <row r="48" spans="1:19" x14ac:dyDescent="0.25">
      <c r="A48">
        <v>1775</v>
      </c>
      <c r="B48">
        <v>141.15603537784099</v>
      </c>
      <c r="C48">
        <v>1.7565528990880399</v>
      </c>
      <c r="D48">
        <v>109.08314867500501</v>
      </c>
      <c r="E48">
        <v>34.194697816802403</v>
      </c>
      <c r="F48">
        <v>27.035786002983301</v>
      </c>
      <c r="G48">
        <v>1.3914228376494699</v>
      </c>
      <c r="H48">
        <v>0.74601466824884599</v>
      </c>
      <c r="I48">
        <v>5.4659753154093096</v>
      </c>
      <c r="J48">
        <v>103.141662193031</v>
      </c>
      <c r="K48">
        <v>49.687070550932802</v>
      </c>
      <c r="L48" t="s">
        <v>19</v>
      </c>
      <c r="M48" t="s">
        <v>33</v>
      </c>
      <c r="N48">
        <v>21</v>
      </c>
      <c r="O48">
        <v>62.840279577164097</v>
      </c>
      <c r="P48">
        <v>15.719347498223501</v>
      </c>
      <c r="Q48" t="s">
        <v>25</v>
      </c>
      <c r="R48">
        <v>46</v>
      </c>
      <c r="S48">
        <v>78.370530809490205</v>
      </c>
    </row>
    <row r="49" spans="1:19" x14ac:dyDescent="0.25">
      <c r="A49">
        <v>9226</v>
      </c>
      <c r="B49">
        <v>100.796632146867</v>
      </c>
      <c r="C49">
        <v>1.37022666120804</v>
      </c>
      <c r="D49">
        <v>59.885065914761199</v>
      </c>
      <c r="E49">
        <v>35.043807131901602</v>
      </c>
      <c r="F49">
        <v>24.589973881957199</v>
      </c>
      <c r="G49">
        <v>0.98128796326072498</v>
      </c>
      <c r="H49">
        <v>0.48396199049743099</v>
      </c>
      <c r="I49">
        <v>7.2096792141372603</v>
      </c>
      <c r="J49">
        <v>47.457231555102098</v>
      </c>
      <c r="K49">
        <v>35.958181667692003</v>
      </c>
      <c r="L49" t="s">
        <v>22</v>
      </c>
      <c r="M49" t="s">
        <v>36</v>
      </c>
      <c r="N49">
        <v>36</v>
      </c>
      <c r="O49">
        <v>74.948753967104096</v>
      </c>
      <c r="P49">
        <v>11.729622200997699</v>
      </c>
      <c r="Q49" t="s">
        <v>31</v>
      </c>
      <c r="R49">
        <v>47</v>
      </c>
      <c r="S49">
        <v>61.356778159291103</v>
      </c>
    </row>
    <row r="50" spans="1:19" x14ac:dyDescent="0.25">
      <c r="A50">
        <v>4152</v>
      </c>
      <c r="B50">
        <v>108.03629155788499</v>
      </c>
      <c r="C50">
        <v>1.86940524044375</v>
      </c>
      <c r="D50">
        <v>48.821848258867902</v>
      </c>
      <c r="E50">
        <v>31.034365131076701</v>
      </c>
      <c r="F50">
        <v>22.1310237638701</v>
      </c>
      <c r="G50">
        <v>1.6749701366066501</v>
      </c>
      <c r="H50">
        <v>0.79059529662458805</v>
      </c>
      <c r="I50">
        <v>4.0126179392135102</v>
      </c>
      <c r="J50">
        <v>74.609880800328995</v>
      </c>
      <c r="K50">
        <v>32.322476116202303</v>
      </c>
      <c r="L50" t="s">
        <v>22</v>
      </c>
      <c r="M50" t="s">
        <v>36</v>
      </c>
      <c r="N50">
        <v>30</v>
      </c>
      <c r="O50">
        <v>82.149640985240296</v>
      </c>
      <c r="P50">
        <v>15.3970719600282</v>
      </c>
      <c r="Q50" t="s">
        <v>24</v>
      </c>
      <c r="R50">
        <v>48</v>
      </c>
      <c r="S50">
        <v>57.132197612783898</v>
      </c>
    </row>
    <row r="51" spans="1:19" x14ac:dyDescent="0.25">
      <c r="A51">
        <v>2585</v>
      </c>
      <c r="B51">
        <v>149.86528188045401</v>
      </c>
      <c r="C51">
        <v>1.8076837420065199</v>
      </c>
      <c r="D51">
        <v>99.633268049251896</v>
      </c>
      <c r="E51">
        <v>30.856349441574299</v>
      </c>
      <c r="F51">
        <v>20.482178373670401</v>
      </c>
      <c r="G51">
        <v>1.83004784763163</v>
      </c>
      <c r="H51">
        <v>0.77253801534483402</v>
      </c>
      <c r="I51">
        <v>7.2593961325988499</v>
      </c>
      <c r="J51">
        <v>41.400711317387398</v>
      </c>
      <c r="K51">
        <v>80.568890751325199</v>
      </c>
      <c r="L51" t="s">
        <v>22</v>
      </c>
      <c r="M51" t="s">
        <v>26</v>
      </c>
      <c r="N51">
        <v>37</v>
      </c>
      <c r="O51">
        <v>70.639129311077397</v>
      </c>
      <c r="P51">
        <v>18.781221359519201</v>
      </c>
      <c r="Q51" t="s">
        <v>25</v>
      </c>
      <c r="R51">
        <v>49</v>
      </c>
      <c r="S51">
        <v>85.856437767057898</v>
      </c>
    </row>
    <row r="52" spans="1:19" x14ac:dyDescent="0.25">
      <c r="A52">
        <v>4943</v>
      </c>
      <c r="B52">
        <v>138.41730876255801</v>
      </c>
      <c r="C52">
        <v>1.0322806489777001</v>
      </c>
      <c r="D52">
        <v>109.251743810615</v>
      </c>
      <c r="E52">
        <v>32.253558233334701</v>
      </c>
      <c r="F52">
        <v>21.595413311686499</v>
      </c>
      <c r="G52">
        <v>0.41556793957795501</v>
      </c>
      <c r="H52">
        <v>0.41343478561734798</v>
      </c>
      <c r="I52">
        <v>7.2877203048875998</v>
      </c>
      <c r="J52">
        <v>67.552652162619296</v>
      </c>
      <c r="K52">
        <v>27.825814081367099</v>
      </c>
      <c r="L52" t="s">
        <v>34</v>
      </c>
      <c r="M52" t="s">
        <v>23</v>
      </c>
      <c r="N52">
        <v>38</v>
      </c>
      <c r="O52">
        <v>63.286248490339503</v>
      </c>
      <c r="P52">
        <v>20.2734942264211</v>
      </c>
      <c r="Q52" t="s">
        <v>29</v>
      </c>
      <c r="R52">
        <v>50</v>
      </c>
      <c r="S52">
        <v>76.560263772072304</v>
      </c>
    </row>
    <row r="53" spans="1:19" x14ac:dyDescent="0.25">
      <c r="A53">
        <v>8555</v>
      </c>
      <c r="B53">
        <v>131.32033327294599</v>
      </c>
      <c r="C53">
        <v>2.0429910580875101</v>
      </c>
      <c r="D53">
        <v>70.0739134369569</v>
      </c>
      <c r="E53">
        <v>33.699285099808598</v>
      </c>
      <c r="F53">
        <v>10</v>
      </c>
      <c r="G53">
        <v>1.1574793595950199</v>
      </c>
      <c r="H53">
        <v>0.62646121717463299</v>
      </c>
      <c r="I53">
        <v>7.3354231659504698</v>
      </c>
      <c r="J53">
        <v>51.817520950870303</v>
      </c>
      <c r="K53">
        <v>46.940142066235701</v>
      </c>
      <c r="L53" t="s">
        <v>22</v>
      </c>
      <c r="M53" t="s">
        <v>33</v>
      </c>
      <c r="N53">
        <v>19</v>
      </c>
      <c r="O53">
        <v>64.119806877207196</v>
      </c>
      <c r="P53">
        <v>33.458527812346297</v>
      </c>
      <c r="Q53" t="s">
        <v>25</v>
      </c>
      <c r="R53">
        <v>51</v>
      </c>
      <c r="S53">
        <v>81.043144174561604</v>
      </c>
    </row>
    <row r="54" spans="1:19" x14ac:dyDescent="0.25">
      <c r="A54">
        <v>4073</v>
      </c>
      <c r="B54">
        <v>135.368678661307</v>
      </c>
      <c r="C54">
        <v>1.23201827744297</v>
      </c>
      <c r="D54">
        <v>90.229260708167104</v>
      </c>
      <c r="E54">
        <v>33.596248308609098</v>
      </c>
      <c r="F54">
        <v>23.0530041964882</v>
      </c>
      <c r="G54">
        <v>0.71212152753639901</v>
      </c>
      <c r="H54">
        <v>0.58312263582930501</v>
      </c>
      <c r="I54">
        <v>5.4326966861845696</v>
      </c>
      <c r="J54">
        <v>46.670343063721397</v>
      </c>
      <c r="K54">
        <v>29.037983619521</v>
      </c>
      <c r="L54" t="s">
        <v>19</v>
      </c>
      <c r="M54" t="s">
        <v>26</v>
      </c>
      <c r="N54">
        <v>25</v>
      </c>
      <c r="O54">
        <v>64.487930134049293</v>
      </c>
      <c r="P54">
        <v>24.987331860349901</v>
      </c>
      <c r="Q54" t="s">
        <v>25</v>
      </c>
      <c r="R54">
        <v>52</v>
      </c>
      <c r="S54">
        <v>76.767871850089705</v>
      </c>
    </row>
    <row r="55" spans="1:19" x14ac:dyDescent="0.25">
      <c r="A55">
        <v>2021</v>
      </c>
      <c r="B55">
        <v>141.95163410723299</v>
      </c>
      <c r="C55">
        <v>1.9040288991405701</v>
      </c>
      <c r="D55">
        <v>96.829518310617601</v>
      </c>
      <c r="E55">
        <v>34.283725745980597</v>
      </c>
      <c r="F55">
        <v>19.557619599448198</v>
      </c>
      <c r="G55">
        <v>0.28471015617850498</v>
      </c>
      <c r="H55">
        <v>0.76817663533950298</v>
      </c>
      <c r="I55">
        <v>9.2339753510935303</v>
      </c>
      <c r="J55">
        <v>116.69850180280299</v>
      </c>
      <c r="K55">
        <v>72.997803008578103</v>
      </c>
      <c r="L55" t="s">
        <v>22</v>
      </c>
      <c r="M55" t="s">
        <v>33</v>
      </c>
      <c r="N55">
        <v>36</v>
      </c>
      <c r="O55">
        <v>76.320916115530096</v>
      </c>
      <c r="P55">
        <v>13.3048254338399</v>
      </c>
      <c r="Q55" t="s">
        <v>25</v>
      </c>
      <c r="R55">
        <v>53</v>
      </c>
      <c r="S55">
        <v>86.877807523777804</v>
      </c>
    </row>
    <row r="56" spans="1:19" x14ac:dyDescent="0.25">
      <c r="A56">
        <v>4843</v>
      </c>
      <c r="B56">
        <v>124.20480639381201</v>
      </c>
      <c r="C56">
        <v>1.6836436567006701</v>
      </c>
      <c r="D56">
        <v>55.150315349232301</v>
      </c>
      <c r="E56">
        <v>31.560362965961598</v>
      </c>
      <c r="F56">
        <v>29.9633499914144</v>
      </c>
      <c r="G56">
        <v>1.4033840512051701</v>
      </c>
      <c r="H56">
        <v>0.51887469677100595</v>
      </c>
      <c r="I56">
        <v>5.4027686618255402</v>
      </c>
      <c r="J56">
        <v>36.007410548673001</v>
      </c>
      <c r="K56">
        <v>50.577947998096398</v>
      </c>
      <c r="L56" t="s">
        <v>19</v>
      </c>
      <c r="M56" t="s">
        <v>26</v>
      </c>
      <c r="N56">
        <v>26</v>
      </c>
      <c r="O56">
        <v>64.331312257697107</v>
      </c>
      <c r="P56">
        <v>22.6350051965298</v>
      </c>
      <c r="Q56" t="s">
        <v>21</v>
      </c>
      <c r="R56">
        <v>54</v>
      </c>
      <c r="S56">
        <v>73.152428107278595</v>
      </c>
    </row>
    <row r="57" spans="1:19" x14ac:dyDescent="0.25">
      <c r="A57">
        <v>8989</v>
      </c>
      <c r="B57">
        <v>119.433905491953</v>
      </c>
      <c r="C57">
        <v>2.4190918383975601</v>
      </c>
      <c r="D57">
        <v>60.293883292642597</v>
      </c>
      <c r="E57">
        <v>30.220627364437298</v>
      </c>
      <c r="F57">
        <v>22.0967203540587</v>
      </c>
      <c r="G57">
        <v>1.7529873994266001</v>
      </c>
      <c r="H57">
        <v>0.72497955763584199</v>
      </c>
      <c r="I57">
        <v>5.0523867414697401</v>
      </c>
      <c r="J57">
        <v>98.732583745739504</v>
      </c>
      <c r="K57">
        <v>41.3357767917609</v>
      </c>
      <c r="L57" t="s">
        <v>22</v>
      </c>
      <c r="M57" t="s">
        <v>30</v>
      </c>
      <c r="N57">
        <v>21</v>
      </c>
      <c r="O57">
        <v>67.650505387119196</v>
      </c>
      <c r="P57">
        <v>25.050552627846901</v>
      </c>
      <c r="Q57" t="s">
        <v>21</v>
      </c>
      <c r="R57">
        <v>55</v>
      </c>
      <c r="S57">
        <v>72.945215045693203</v>
      </c>
    </row>
    <row r="58" spans="1:19" x14ac:dyDescent="0.25">
      <c r="A58">
        <v>7873</v>
      </c>
      <c r="B58">
        <v>138.91690510195301</v>
      </c>
      <c r="C58">
        <v>1.3882670088140701</v>
      </c>
      <c r="D58">
        <v>94.617490263094695</v>
      </c>
      <c r="E58">
        <v>34.029617034362502</v>
      </c>
      <c r="F58">
        <v>16.0551829023251</v>
      </c>
      <c r="G58">
        <v>0.49322477805930898</v>
      </c>
      <c r="H58">
        <v>0.90226327899779402</v>
      </c>
      <c r="I58">
        <v>2.7944273710956402</v>
      </c>
      <c r="J58">
        <v>118.416495948321</v>
      </c>
      <c r="K58">
        <v>42.082473046985001</v>
      </c>
      <c r="L58" t="s">
        <v>22</v>
      </c>
      <c r="M58" t="s">
        <v>37</v>
      </c>
      <c r="N58">
        <v>33</v>
      </c>
      <c r="O58">
        <v>78.758388389600299</v>
      </c>
      <c r="P58">
        <v>12.7522648939488</v>
      </c>
      <c r="Q58" t="s">
        <v>21</v>
      </c>
      <c r="R58">
        <v>56</v>
      </c>
      <c r="S58">
        <v>70.395805721071497</v>
      </c>
    </row>
    <row r="59" spans="1:19" x14ac:dyDescent="0.25">
      <c r="A59">
        <v>6675</v>
      </c>
      <c r="B59">
        <v>115.432544447699</v>
      </c>
      <c r="C59">
        <v>1.3253416019408999</v>
      </c>
      <c r="D59">
        <v>103.70028557417</v>
      </c>
      <c r="E59">
        <v>32.006164472441696</v>
      </c>
      <c r="F59">
        <v>21.750599229359398</v>
      </c>
      <c r="G59">
        <v>1.66234458372302</v>
      </c>
      <c r="H59">
        <v>0.83879130471473395</v>
      </c>
      <c r="I59">
        <v>3.76889578620702</v>
      </c>
      <c r="J59">
        <v>21.990148374007699</v>
      </c>
      <c r="K59">
        <v>78.916065504223397</v>
      </c>
      <c r="L59" t="s">
        <v>34</v>
      </c>
      <c r="M59" t="s">
        <v>33</v>
      </c>
      <c r="N59">
        <v>36</v>
      </c>
      <c r="O59">
        <v>63.460178468386601</v>
      </c>
      <c r="P59">
        <v>23.6172482923409</v>
      </c>
      <c r="Q59" t="s">
        <v>21</v>
      </c>
      <c r="R59">
        <v>57</v>
      </c>
      <c r="S59">
        <v>63.698687834122303</v>
      </c>
    </row>
    <row r="60" spans="1:19" x14ac:dyDescent="0.25">
      <c r="A60">
        <v>1161</v>
      </c>
      <c r="B60">
        <v>143.165055114289</v>
      </c>
      <c r="C60">
        <v>1.49029019705613</v>
      </c>
      <c r="D60">
        <v>81.257617203487101</v>
      </c>
      <c r="E60">
        <v>30.5778145627336</v>
      </c>
      <c r="F60">
        <v>16.7693945746874</v>
      </c>
      <c r="G60">
        <v>1.7361123203664901</v>
      </c>
      <c r="H60">
        <v>0.90680175491909099</v>
      </c>
      <c r="I60">
        <v>1.3810104326647299</v>
      </c>
      <c r="J60">
        <v>89.902741404209493</v>
      </c>
      <c r="K60">
        <v>56.533046572082803</v>
      </c>
      <c r="L60" t="s">
        <v>19</v>
      </c>
      <c r="M60" t="s">
        <v>37</v>
      </c>
      <c r="N60">
        <v>27</v>
      </c>
      <c r="O60">
        <v>72.4564845762403</v>
      </c>
      <c r="P60">
        <v>6.10612772427897</v>
      </c>
      <c r="Q60" t="s">
        <v>31</v>
      </c>
      <c r="R60">
        <v>58</v>
      </c>
      <c r="S60">
        <v>67.5333240953954</v>
      </c>
    </row>
    <row r="61" spans="1:19" x14ac:dyDescent="0.25">
      <c r="A61">
        <v>5297</v>
      </c>
      <c r="B61">
        <v>100.948327915243</v>
      </c>
      <c r="C61">
        <v>1.3484101085828599</v>
      </c>
      <c r="D61">
        <v>52.4037129299589</v>
      </c>
      <c r="E61">
        <v>33.174076495151198</v>
      </c>
      <c r="F61">
        <v>24.367037078562301</v>
      </c>
      <c r="G61">
        <v>1.84581279679967</v>
      </c>
      <c r="H61">
        <v>0.93817828181297902</v>
      </c>
      <c r="I61">
        <v>6.7018176425455298</v>
      </c>
      <c r="J61">
        <v>45.291180555628699</v>
      </c>
      <c r="K61">
        <v>68.840088834844707</v>
      </c>
      <c r="L61" t="s">
        <v>22</v>
      </c>
      <c r="M61" t="s">
        <v>30</v>
      </c>
      <c r="N61">
        <v>23</v>
      </c>
      <c r="O61">
        <v>75.203639622242306</v>
      </c>
      <c r="P61">
        <v>12.460842099502599</v>
      </c>
      <c r="Q61" t="s">
        <v>25</v>
      </c>
      <c r="R61">
        <v>59</v>
      </c>
      <c r="S61">
        <v>63.725104179525403</v>
      </c>
    </row>
    <row r="62" spans="1:19" x14ac:dyDescent="0.25">
      <c r="A62">
        <v>1995</v>
      </c>
      <c r="B62">
        <v>155.583112746512</v>
      </c>
      <c r="C62">
        <v>1.8999709509710201</v>
      </c>
      <c r="D62">
        <v>109.741222233988</v>
      </c>
      <c r="E62">
        <v>33.951810825862403</v>
      </c>
      <c r="F62">
        <v>23.454736821697399</v>
      </c>
      <c r="G62">
        <v>0.67751316035489395</v>
      </c>
      <c r="H62">
        <v>0.40586856985338898</v>
      </c>
      <c r="I62">
        <v>3.23682169534383</v>
      </c>
      <c r="J62">
        <v>24.0487824328304</v>
      </c>
      <c r="K62">
        <v>82.277888718801293</v>
      </c>
      <c r="L62" t="s">
        <v>22</v>
      </c>
      <c r="M62" t="s">
        <v>36</v>
      </c>
      <c r="N62">
        <v>33</v>
      </c>
      <c r="O62">
        <v>68.507535802930505</v>
      </c>
      <c r="P62">
        <v>6.6061546329095497</v>
      </c>
      <c r="Q62" t="s">
        <v>31</v>
      </c>
      <c r="R62">
        <v>60</v>
      </c>
      <c r="S62">
        <v>78.473289304690994</v>
      </c>
    </row>
    <row r="63" spans="1:19" x14ac:dyDescent="0.25">
      <c r="A63">
        <v>8629</v>
      </c>
      <c r="B63">
        <v>144.45194964826001</v>
      </c>
      <c r="C63">
        <v>0.69184469578170604</v>
      </c>
      <c r="D63">
        <v>59.380582043760697</v>
      </c>
      <c r="E63">
        <v>32.8535314414544</v>
      </c>
      <c r="F63">
        <v>26.7891981555413</v>
      </c>
      <c r="G63">
        <v>1.8271155173418001</v>
      </c>
      <c r="H63">
        <v>0.74250770200761196</v>
      </c>
      <c r="I63">
        <v>3.7373972903691799</v>
      </c>
      <c r="J63">
        <v>60.288957895663003</v>
      </c>
      <c r="K63">
        <v>82.630625703048096</v>
      </c>
      <c r="L63" t="s">
        <v>19</v>
      </c>
      <c r="M63" t="s">
        <v>20</v>
      </c>
      <c r="N63">
        <v>27</v>
      </c>
      <c r="O63">
        <v>83.632942406329306</v>
      </c>
      <c r="P63">
        <v>16.311543718391501</v>
      </c>
      <c r="Q63" t="s">
        <v>29</v>
      </c>
      <c r="R63">
        <v>61</v>
      </c>
      <c r="S63">
        <v>78.855769038627599</v>
      </c>
    </row>
    <row r="64" spans="1:19" x14ac:dyDescent="0.25">
      <c r="A64">
        <v>2016</v>
      </c>
      <c r="B64">
        <v>140.120594686277</v>
      </c>
      <c r="C64">
        <v>0.97315879042682296</v>
      </c>
      <c r="D64">
        <v>63.297244376570902</v>
      </c>
      <c r="E64">
        <v>32.450581936581003</v>
      </c>
      <c r="F64">
        <v>18.0455910415271</v>
      </c>
      <c r="G64">
        <v>0.77719295852557801</v>
      </c>
      <c r="H64">
        <v>0.62706166876739799</v>
      </c>
      <c r="I64">
        <v>7.9373306949788898</v>
      </c>
      <c r="J64">
        <v>113.52178101708699</v>
      </c>
      <c r="K64">
        <v>39.6381790753397</v>
      </c>
      <c r="L64" t="s">
        <v>22</v>
      </c>
      <c r="M64" t="s">
        <v>35</v>
      </c>
      <c r="N64">
        <v>30</v>
      </c>
      <c r="O64">
        <v>81.323625758657997</v>
      </c>
      <c r="P64">
        <v>14.210836137009</v>
      </c>
      <c r="Q64" t="s">
        <v>24</v>
      </c>
      <c r="R64">
        <v>62</v>
      </c>
      <c r="S64">
        <v>85.9157838939431</v>
      </c>
    </row>
    <row r="65" spans="1:19" x14ac:dyDescent="0.25">
      <c r="A65">
        <v>8869</v>
      </c>
      <c r="B65">
        <v>154.65381967891</v>
      </c>
      <c r="C65">
        <v>0.96609853921040301</v>
      </c>
      <c r="D65">
        <v>76.8467566897924</v>
      </c>
      <c r="E65">
        <v>32.8087653214249</v>
      </c>
      <c r="F65">
        <v>22.170040481140699</v>
      </c>
      <c r="G65">
        <v>1.1942084242199</v>
      </c>
      <c r="H65">
        <v>0.87291996968431596</v>
      </c>
      <c r="I65">
        <v>3.9449906484530799</v>
      </c>
      <c r="J65">
        <v>21.1765094366997</v>
      </c>
      <c r="K65">
        <v>86.433844735978894</v>
      </c>
      <c r="L65" t="s">
        <v>27</v>
      </c>
      <c r="M65" t="s">
        <v>32</v>
      </c>
      <c r="N65">
        <v>26</v>
      </c>
      <c r="O65">
        <v>70.104776664001605</v>
      </c>
      <c r="P65">
        <v>14.824353566452899</v>
      </c>
      <c r="Q65" t="s">
        <v>31</v>
      </c>
      <c r="R65">
        <v>63</v>
      </c>
      <c r="S65">
        <v>81.290175292069407</v>
      </c>
    </row>
    <row r="66" spans="1:19" x14ac:dyDescent="0.25">
      <c r="A66">
        <v>7439</v>
      </c>
      <c r="B66">
        <v>168.30948888925101</v>
      </c>
      <c r="C66">
        <v>1.97515379598678</v>
      </c>
      <c r="D66">
        <v>101.083208414295</v>
      </c>
      <c r="E66">
        <v>32.555300685119001</v>
      </c>
      <c r="F66">
        <v>15.174891022866801</v>
      </c>
      <c r="G66">
        <v>0.29091344749810699</v>
      </c>
      <c r="H66">
        <v>0.53849808610502203</v>
      </c>
      <c r="I66">
        <v>3.1797630281182698</v>
      </c>
      <c r="J66">
        <v>78.788569192978102</v>
      </c>
      <c r="K66">
        <v>16.865691151095401</v>
      </c>
      <c r="L66" t="s">
        <v>34</v>
      </c>
      <c r="M66" t="s">
        <v>35</v>
      </c>
      <c r="N66">
        <v>24</v>
      </c>
      <c r="O66">
        <v>61.569465132350103</v>
      </c>
      <c r="P66">
        <v>24.523807637574201</v>
      </c>
      <c r="Q66" t="s">
        <v>21</v>
      </c>
      <c r="R66">
        <v>64</v>
      </c>
      <c r="S66">
        <v>86.031317399249403</v>
      </c>
    </row>
    <row r="67" spans="1:19" x14ac:dyDescent="0.25">
      <c r="A67">
        <v>8892</v>
      </c>
      <c r="B67">
        <v>155.28740130036201</v>
      </c>
      <c r="C67">
        <v>2.3553066862909602</v>
      </c>
      <c r="D67">
        <v>87.079519531044397</v>
      </c>
      <c r="E67">
        <v>31.382343465671799</v>
      </c>
      <c r="F67">
        <v>25.507473909623499</v>
      </c>
      <c r="G67">
        <v>0.27898595906373802</v>
      </c>
      <c r="H67">
        <v>0.93956621901329096</v>
      </c>
      <c r="I67">
        <v>2.52151974220335</v>
      </c>
      <c r="J67">
        <v>70.139647859532403</v>
      </c>
      <c r="K67">
        <v>43.262667076212402</v>
      </c>
      <c r="L67" t="s">
        <v>19</v>
      </c>
      <c r="M67" t="s">
        <v>35</v>
      </c>
      <c r="N67">
        <v>21</v>
      </c>
      <c r="O67">
        <v>61.947531103690402</v>
      </c>
      <c r="P67">
        <v>18.724659409715599</v>
      </c>
      <c r="Q67" t="s">
        <v>21</v>
      </c>
      <c r="R67">
        <v>65</v>
      </c>
      <c r="S67">
        <v>77.560482810645695</v>
      </c>
    </row>
    <row r="68" spans="1:19" x14ac:dyDescent="0.25">
      <c r="A68">
        <v>7863</v>
      </c>
      <c r="B68">
        <v>98.182515373367096</v>
      </c>
      <c r="C68">
        <v>1.44777539073126</v>
      </c>
      <c r="D68">
        <v>78.297310007238195</v>
      </c>
      <c r="E68">
        <v>32.142383187611401</v>
      </c>
      <c r="F68">
        <v>24.594355902200601</v>
      </c>
      <c r="G68">
        <v>1.4966717829179601</v>
      </c>
      <c r="H68">
        <v>0.73753938324906099</v>
      </c>
      <c r="I68">
        <v>7.9737256196375998</v>
      </c>
      <c r="J68">
        <v>107.338416437104</v>
      </c>
      <c r="K68">
        <v>82.184914313163105</v>
      </c>
      <c r="L68" t="s">
        <v>34</v>
      </c>
      <c r="M68" t="s">
        <v>32</v>
      </c>
      <c r="N68">
        <v>36</v>
      </c>
      <c r="O68">
        <v>69.701129526781102</v>
      </c>
      <c r="P68">
        <v>24.4025847726042</v>
      </c>
      <c r="Q68" t="s">
        <v>29</v>
      </c>
      <c r="R68">
        <v>66</v>
      </c>
      <c r="S68">
        <v>66.528070643512095</v>
      </c>
    </row>
    <row r="69" spans="1:19" x14ac:dyDescent="0.25">
      <c r="A69">
        <v>8916</v>
      </c>
      <c r="B69">
        <v>109.40846066528501</v>
      </c>
      <c r="C69">
        <v>1.4155891384049899</v>
      </c>
      <c r="D69">
        <v>79.265770602362096</v>
      </c>
      <c r="E69">
        <v>33.6255358860165</v>
      </c>
      <c r="F69">
        <v>24.479025105137801</v>
      </c>
      <c r="G69">
        <v>1.0000639603600201</v>
      </c>
      <c r="H69">
        <v>0.83644557122585605</v>
      </c>
      <c r="I69">
        <v>2.1673563219102401</v>
      </c>
      <c r="J69">
        <v>28.400171452062501</v>
      </c>
      <c r="K69">
        <v>35.5977659862737</v>
      </c>
      <c r="L69" t="s">
        <v>27</v>
      </c>
      <c r="M69" t="s">
        <v>30</v>
      </c>
      <c r="N69">
        <v>21</v>
      </c>
      <c r="O69">
        <v>59.279755607625603</v>
      </c>
      <c r="P69">
        <v>31.010802158785001</v>
      </c>
      <c r="Q69" t="s">
        <v>25</v>
      </c>
      <c r="R69">
        <v>67</v>
      </c>
      <c r="S69">
        <v>59.597044185329402</v>
      </c>
    </row>
    <row r="70" spans="1:19" x14ac:dyDescent="0.25">
      <c r="A70">
        <v>9529</v>
      </c>
      <c r="B70">
        <v>122.503628446086</v>
      </c>
      <c r="C70">
        <v>1.5350260815565899</v>
      </c>
      <c r="D70">
        <v>70.870293372869298</v>
      </c>
      <c r="E70">
        <v>33.386014249651801</v>
      </c>
      <c r="F70">
        <v>22.008095156784702</v>
      </c>
      <c r="G70">
        <v>0.66132627566459101</v>
      </c>
      <c r="H70">
        <v>0.44707975405252198</v>
      </c>
      <c r="I70">
        <v>5.0837838422531796</v>
      </c>
      <c r="J70">
        <v>88.152602988664995</v>
      </c>
      <c r="K70">
        <v>35.4811087740988</v>
      </c>
      <c r="L70" t="s">
        <v>27</v>
      </c>
      <c r="M70" t="s">
        <v>30</v>
      </c>
      <c r="N70">
        <v>36</v>
      </c>
      <c r="O70">
        <v>70.151535701994106</v>
      </c>
      <c r="P70">
        <v>34.757327397073901</v>
      </c>
      <c r="Q70" t="s">
        <v>24</v>
      </c>
      <c r="R70">
        <v>68</v>
      </c>
      <c r="S70">
        <v>70.1214461462815</v>
      </c>
    </row>
    <row r="71" spans="1:19" x14ac:dyDescent="0.25">
      <c r="A71">
        <v>1878</v>
      </c>
      <c r="B71">
        <v>135.52182100421601</v>
      </c>
      <c r="C71">
        <v>2.08093915130409</v>
      </c>
      <c r="D71">
        <v>81.162790290370097</v>
      </c>
      <c r="E71">
        <v>33.2016717671601</v>
      </c>
      <c r="F71">
        <v>24.073864453943902</v>
      </c>
      <c r="G71">
        <v>0.54274429284483805</v>
      </c>
      <c r="H71">
        <v>0.50090183661737497</v>
      </c>
      <c r="I71">
        <v>5.5623710446947499</v>
      </c>
      <c r="J71">
        <v>88.0109698433277</v>
      </c>
      <c r="K71">
        <v>37.696671381141599</v>
      </c>
      <c r="L71" t="s">
        <v>27</v>
      </c>
      <c r="M71" t="s">
        <v>36</v>
      </c>
      <c r="N71">
        <v>36</v>
      </c>
      <c r="O71">
        <v>81.504764348908495</v>
      </c>
      <c r="P71">
        <v>16.881567059227201</v>
      </c>
      <c r="Q71" t="s">
        <v>31</v>
      </c>
      <c r="R71">
        <v>69</v>
      </c>
      <c r="S71">
        <v>76.737435219908406</v>
      </c>
    </row>
    <row r="72" spans="1:19" x14ac:dyDescent="0.25">
      <c r="A72">
        <v>5887</v>
      </c>
      <c r="B72">
        <v>145.35318040938199</v>
      </c>
      <c r="C72">
        <v>1.03632343290471</v>
      </c>
      <c r="D72">
        <v>20</v>
      </c>
      <c r="E72">
        <v>31.805821821775901</v>
      </c>
      <c r="F72">
        <v>30.021695541542901</v>
      </c>
      <c r="G72">
        <v>1.4059162835465899</v>
      </c>
      <c r="H72">
        <v>0.81712202016881097</v>
      </c>
      <c r="I72">
        <v>7.18650921417143</v>
      </c>
      <c r="J72">
        <v>86.908001686228303</v>
      </c>
      <c r="K72">
        <v>60.923503863519102</v>
      </c>
      <c r="L72" t="s">
        <v>19</v>
      </c>
      <c r="M72" t="s">
        <v>20</v>
      </c>
      <c r="N72">
        <v>29</v>
      </c>
      <c r="O72">
        <v>68.499894150252103</v>
      </c>
      <c r="P72">
        <v>22.277962579102098</v>
      </c>
      <c r="Q72" t="s">
        <v>25</v>
      </c>
      <c r="R72">
        <v>70</v>
      </c>
      <c r="S72">
        <v>81.880838168298197</v>
      </c>
    </row>
    <row r="73" spans="1:19" x14ac:dyDescent="0.25">
      <c r="A73">
        <v>5859</v>
      </c>
      <c r="B73">
        <v>120.48512373693001</v>
      </c>
      <c r="C73">
        <v>1.6191844913673901</v>
      </c>
      <c r="D73">
        <v>64.067850818604001</v>
      </c>
      <c r="E73">
        <v>32.782196205437202</v>
      </c>
      <c r="F73">
        <v>20.574528714789899</v>
      </c>
      <c r="G73">
        <v>0.20072277924561099</v>
      </c>
      <c r="H73">
        <v>0.412092587121628</v>
      </c>
      <c r="I73">
        <v>6.6995513409969503</v>
      </c>
      <c r="J73">
        <v>114.233449493503</v>
      </c>
      <c r="K73">
        <v>47.8749581710765</v>
      </c>
      <c r="L73" t="s">
        <v>27</v>
      </c>
      <c r="M73" t="s">
        <v>28</v>
      </c>
      <c r="N73">
        <v>30</v>
      </c>
      <c r="O73">
        <v>67.848417823517593</v>
      </c>
      <c r="P73">
        <v>16.761927917606901</v>
      </c>
      <c r="Q73" t="s">
        <v>25</v>
      </c>
      <c r="R73">
        <v>71</v>
      </c>
      <c r="S73">
        <v>72.807292687971497</v>
      </c>
    </row>
    <row r="74" spans="1:19" x14ac:dyDescent="0.25">
      <c r="A74">
        <v>7331</v>
      </c>
      <c r="B74">
        <v>138.73533528954101</v>
      </c>
      <c r="C74">
        <v>1.98759881489121</v>
      </c>
      <c r="D74">
        <v>74.826438698335593</v>
      </c>
      <c r="E74">
        <v>30.387521944268499</v>
      </c>
      <c r="F74">
        <v>22.6932259185504</v>
      </c>
      <c r="G74">
        <v>1.65060410455433</v>
      </c>
      <c r="H74">
        <v>0.84928289224158005</v>
      </c>
      <c r="I74">
        <v>8.2964860565065699</v>
      </c>
      <c r="J74">
        <v>102.30875290068801</v>
      </c>
      <c r="K74">
        <v>69.505112726500698</v>
      </c>
      <c r="L74" t="s">
        <v>19</v>
      </c>
      <c r="M74" t="s">
        <v>35</v>
      </c>
      <c r="N74">
        <v>21</v>
      </c>
      <c r="O74">
        <v>74.825544529414898</v>
      </c>
      <c r="P74">
        <v>26.1135953218377</v>
      </c>
      <c r="Q74" t="s">
        <v>31</v>
      </c>
      <c r="R74">
        <v>72</v>
      </c>
      <c r="S74">
        <v>82.342511126020597</v>
      </c>
    </row>
    <row r="75" spans="1:19" x14ac:dyDescent="0.25">
      <c r="A75">
        <v>9571</v>
      </c>
      <c r="B75">
        <v>119.892341352933</v>
      </c>
      <c r="C75">
        <v>1.7505470849699201</v>
      </c>
      <c r="D75">
        <v>46.979718327609802</v>
      </c>
      <c r="E75">
        <v>33.214171996662401</v>
      </c>
      <c r="F75">
        <v>16.5693685040929</v>
      </c>
      <c r="G75">
        <v>0.34264929103387098</v>
      </c>
      <c r="H75">
        <v>0.40767196028055103</v>
      </c>
      <c r="I75">
        <v>1.4027629053361399</v>
      </c>
      <c r="J75">
        <v>24.1972726243506</v>
      </c>
      <c r="K75">
        <v>82.118298192349897</v>
      </c>
      <c r="L75" t="s">
        <v>19</v>
      </c>
      <c r="M75" t="s">
        <v>23</v>
      </c>
      <c r="N75">
        <v>27</v>
      </c>
      <c r="O75">
        <v>72.198684475813195</v>
      </c>
      <c r="P75">
        <v>24.5575208935315</v>
      </c>
      <c r="Q75" t="s">
        <v>31</v>
      </c>
      <c r="R75">
        <v>73</v>
      </c>
      <c r="S75">
        <v>62.825805575544599</v>
      </c>
    </row>
    <row r="76" spans="1:19" x14ac:dyDescent="0.25">
      <c r="A76">
        <v>9684</v>
      </c>
      <c r="B76">
        <v>122.769643940161</v>
      </c>
      <c r="C76">
        <v>1.59479080829937</v>
      </c>
      <c r="D76">
        <v>77.726466356231199</v>
      </c>
      <c r="E76">
        <v>34.714629249376202</v>
      </c>
      <c r="F76">
        <v>17.658695192008299</v>
      </c>
      <c r="G76">
        <v>0.54468130683461502</v>
      </c>
      <c r="H76">
        <v>0.76141536148370004</v>
      </c>
      <c r="I76">
        <v>3.6679665230145702</v>
      </c>
      <c r="J76">
        <v>67.108285070451302</v>
      </c>
      <c r="K76">
        <v>65.564953120714506</v>
      </c>
      <c r="L76" t="s">
        <v>22</v>
      </c>
      <c r="M76" t="s">
        <v>35</v>
      </c>
      <c r="N76">
        <v>38</v>
      </c>
      <c r="O76">
        <v>58.813513699876403</v>
      </c>
      <c r="P76">
        <v>12.715688441502</v>
      </c>
      <c r="Q76" t="s">
        <v>31</v>
      </c>
      <c r="R76">
        <v>74</v>
      </c>
      <c r="S76">
        <v>64.3700429857562</v>
      </c>
    </row>
    <row r="77" spans="1:19" x14ac:dyDescent="0.25">
      <c r="A77">
        <v>8208</v>
      </c>
      <c r="B77">
        <v>106.866778063035</v>
      </c>
      <c r="C77">
        <v>2.0005230462835701</v>
      </c>
      <c r="D77">
        <v>65.910575580277495</v>
      </c>
      <c r="E77">
        <v>31.231041441549401</v>
      </c>
      <c r="F77">
        <v>22.4890664654665</v>
      </c>
      <c r="G77">
        <v>0.89522551153836105</v>
      </c>
      <c r="H77">
        <v>0.60080165612749303</v>
      </c>
      <c r="I77">
        <v>3.5212070689784101</v>
      </c>
      <c r="J77">
        <v>59.795305620133298</v>
      </c>
      <c r="K77">
        <v>30.3350040148181</v>
      </c>
      <c r="L77" t="s">
        <v>19</v>
      </c>
      <c r="M77" t="s">
        <v>28</v>
      </c>
      <c r="N77">
        <v>24</v>
      </c>
      <c r="O77">
        <v>64.358126602019098</v>
      </c>
      <c r="P77">
        <v>13.893035637962599</v>
      </c>
      <c r="Q77" t="s">
        <v>31</v>
      </c>
      <c r="R77">
        <v>75</v>
      </c>
      <c r="S77">
        <v>63.125559649863199</v>
      </c>
    </row>
    <row r="78" spans="1:19" x14ac:dyDescent="0.25">
      <c r="A78">
        <v>6276</v>
      </c>
      <c r="B78">
        <v>116.535335077781</v>
      </c>
      <c r="C78">
        <v>0.148383853500381</v>
      </c>
      <c r="D78">
        <v>105.109513966309</v>
      </c>
      <c r="E78">
        <v>32.296886792018697</v>
      </c>
      <c r="F78">
        <v>27.5196677335095</v>
      </c>
      <c r="G78">
        <v>1.0727457314889799</v>
      </c>
      <c r="H78">
        <v>0.73632216899555902</v>
      </c>
      <c r="I78">
        <v>2.3141521503289701</v>
      </c>
      <c r="J78">
        <v>51.014722109080203</v>
      </c>
      <c r="K78">
        <v>84.951142677037595</v>
      </c>
      <c r="L78" t="s">
        <v>27</v>
      </c>
      <c r="M78" t="s">
        <v>33</v>
      </c>
      <c r="N78">
        <v>22</v>
      </c>
      <c r="O78">
        <v>83.151634588148198</v>
      </c>
      <c r="P78">
        <v>29.088370858300301</v>
      </c>
      <c r="Q78" t="s">
        <v>21</v>
      </c>
      <c r="R78">
        <v>76</v>
      </c>
      <c r="S78">
        <v>61.1844491615729</v>
      </c>
    </row>
    <row r="79" spans="1:19" x14ac:dyDescent="0.25">
      <c r="A79">
        <v>3062</v>
      </c>
      <c r="B79">
        <v>107.966307887673</v>
      </c>
      <c r="C79">
        <v>1.8389376597654501</v>
      </c>
      <c r="D79">
        <v>101.460394504297</v>
      </c>
      <c r="E79">
        <v>33.394928134452101</v>
      </c>
      <c r="F79">
        <v>20.7185958787421</v>
      </c>
      <c r="G79">
        <v>0.83899120846509501</v>
      </c>
      <c r="H79">
        <v>0.78281727384401201</v>
      </c>
      <c r="I79">
        <v>3.6026042847079802</v>
      </c>
      <c r="J79">
        <v>65.1336725154097</v>
      </c>
      <c r="K79">
        <v>34.836965501060803</v>
      </c>
      <c r="L79" t="s">
        <v>19</v>
      </c>
      <c r="M79" t="s">
        <v>36</v>
      </c>
      <c r="N79">
        <v>34</v>
      </c>
      <c r="O79">
        <v>70.603561506211705</v>
      </c>
      <c r="P79">
        <v>13.606639097816201</v>
      </c>
      <c r="Q79" t="s">
        <v>25</v>
      </c>
      <c r="R79">
        <v>77</v>
      </c>
      <c r="S79">
        <v>59.4089406411778</v>
      </c>
    </row>
    <row r="80" spans="1:19" x14ac:dyDescent="0.25">
      <c r="A80">
        <v>1064</v>
      </c>
      <c r="B80">
        <v>115.48253494045299</v>
      </c>
      <c r="C80">
        <v>1.1729621584362799</v>
      </c>
      <c r="D80">
        <v>60.683888617636697</v>
      </c>
      <c r="E80">
        <v>34.503411161312897</v>
      </c>
      <c r="F80">
        <v>20.8204173534393</v>
      </c>
      <c r="G80">
        <v>0.777281896971729</v>
      </c>
      <c r="H80">
        <v>0.58836137055246696</v>
      </c>
      <c r="I80">
        <v>3.7878878272861298</v>
      </c>
      <c r="J80">
        <v>58.4194184925977</v>
      </c>
      <c r="K80">
        <v>26.242072149611801</v>
      </c>
      <c r="L80" t="s">
        <v>19</v>
      </c>
      <c r="M80" t="s">
        <v>37</v>
      </c>
      <c r="N80">
        <v>35</v>
      </c>
      <c r="O80">
        <v>59.948533542625803</v>
      </c>
      <c r="P80">
        <v>17.105637236013401</v>
      </c>
      <c r="Q80" t="s">
        <v>25</v>
      </c>
      <c r="R80">
        <v>78</v>
      </c>
      <c r="S80">
        <v>58.509073343717297</v>
      </c>
    </row>
    <row r="81" spans="1:19" x14ac:dyDescent="0.25">
      <c r="A81">
        <v>9006</v>
      </c>
      <c r="B81">
        <v>156.07283593215601</v>
      </c>
      <c r="C81">
        <v>0.58468355157177099</v>
      </c>
      <c r="D81">
        <v>66.983245768666094</v>
      </c>
      <c r="E81">
        <v>32.462130460439802</v>
      </c>
      <c r="F81">
        <v>19.965573777478099</v>
      </c>
      <c r="G81">
        <v>1.9350488217317301</v>
      </c>
      <c r="H81">
        <v>0.45937934646095901</v>
      </c>
      <c r="I81">
        <v>5.6969601573473003</v>
      </c>
      <c r="J81">
        <v>63.233389987866502</v>
      </c>
      <c r="K81">
        <v>21.747545914572001</v>
      </c>
      <c r="L81" t="s">
        <v>34</v>
      </c>
      <c r="M81" t="s">
        <v>37</v>
      </c>
      <c r="N81">
        <v>28</v>
      </c>
      <c r="O81">
        <v>66.465233729503495</v>
      </c>
      <c r="P81">
        <v>23.400327272261698</v>
      </c>
      <c r="Q81" t="s">
        <v>21</v>
      </c>
      <c r="R81">
        <v>79</v>
      </c>
      <c r="S81">
        <v>89.969162295307598</v>
      </c>
    </row>
    <row r="82" spans="1:19" x14ac:dyDescent="0.25">
      <c r="A82">
        <v>3568</v>
      </c>
      <c r="B82">
        <v>116.012022223361</v>
      </c>
      <c r="C82">
        <v>1.7556012997624899</v>
      </c>
      <c r="D82">
        <v>68.521048687832106</v>
      </c>
      <c r="E82">
        <v>32.169299604880898</v>
      </c>
      <c r="F82">
        <v>19.326216645778299</v>
      </c>
      <c r="G82">
        <v>1.3548434262380999</v>
      </c>
      <c r="H82">
        <v>0.43830522726154603</v>
      </c>
      <c r="I82">
        <v>6.9733403103363001</v>
      </c>
      <c r="J82">
        <v>117.926186560864</v>
      </c>
      <c r="K82">
        <v>57.2537805499624</v>
      </c>
      <c r="L82" t="s">
        <v>27</v>
      </c>
      <c r="M82" t="s">
        <v>28</v>
      </c>
      <c r="N82">
        <v>32</v>
      </c>
      <c r="O82">
        <v>53.739301867576003</v>
      </c>
      <c r="P82">
        <v>16.675395028099199</v>
      </c>
      <c r="Q82" t="s">
        <v>25</v>
      </c>
      <c r="R82">
        <v>80</v>
      </c>
      <c r="S82">
        <v>69.960682389670097</v>
      </c>
    </row>
    <row r="83" spans="1:19" x14ac:dyDescent="0.25">
      <c r="A83">
        <v>6463</v>
      </c>
      <c r="B83">
        <v>187.647641296747</v>
      </c>
      <c r="C83">
        <v>2.1868292725814702</v>
      </c>
      <c r="D83">
        <v>60.966810476807503</v>
      </c>
      <c r="E83">
        <v>30.637292229100701</v>
      </c>
      <c r="F83">
        <v>23.4748572785441</v>
      </c>
      <c r="G83">
        <v>0.24217931966129799</v>
      </c>
      <c r="H83">
        <v>0.72391481240940103</v>
      </c>
      <c r="I83">
        <v>4.4299046225063199</v>
      </c>
      <c r="J83">
        <v>28.863297474957999</v>
      </c>
      <c r="K83">
        <v>23.532184686048801</v>
      </c>
      <c r="L83" t="s">
        <v>19</v>
      </c>
      <c r="M83" t="s">
        <v>35</v>
      </c>
      <c r="N83">
        <v>38</v>
      </c>
      <c r="O83">
        <v>53.139823724086</v>
      </c>
      <c r="P83">
        <v>30.271721432305501</v>
      </c>
      <c r="Q83" t="s">
        <v>31</v>
      </c>
      <c r="R83">
        <v>81</v>
      </c>
      <c r="S83">
        <v>103.694397896315</v>
      </c>
    </row>
    <row r="84" spans="1:19" x14ac:dyDescent="0.25">
      <c r="A84">
        <v>3027</v>
      </c>
      <c r="B84">
        <v>144.86635801761699</v>
      </c>
      <c r="C84">
        <v>1.43127574268615</v>
      </c>
      <c r="D84">
        <v>73.900499680562504</v>
      </c>
      <c r="E84">
        <v>33.1241257551697</v>
      </c>
      <c r="F84">
        <v>14.513711774106699</v>
      </c>
      <c r="G84">
        <v>0.97431663519976297</v>
      </c>
      <c r="H84">
        <v>0.686360444553761</v>
      </c>
      <c r="I84">
        <v>7.4752320818204296</v>
      </c>
      <c r="J84">
        <v>112.22308698387199</v>
      </c>
      <c r="K84">
        <v>25.4081913084473</v>
      </c>
      <c r="L84" t="s">
        <v>22</v>
      </c>
      <c r="M84" t="s">
        <v>37</v>
      </c>
      <c r="N84">
        <v>39</v>
      </c>
      <c r="O84">
        <v>75.858169882972902</v>
      </c>
      <c r="P84">
        <v>26.264848044878701</v>
      </c>
      <c r="Q84" t="s">
        <v>24</v>
      </c>
      <c r="R84">
        <v>82</v>
      </c>
      <c r="S84">
        <v>85.361267240376904</v>
      </c>
    </row>
    <row r="85" spans="1:19" x14ac:dyDescent="0.25">
      <c r="A85">
        <v>3695</v>
      </c>
      <c r="B85">
        <v>138.69672247389701</v>
      </c>
      <c r="C85">
        <v>1.9764372736014599</v>
      </c>
      <c r="D85">
        <v>54.834358622248097</v>
      </c>
      <c r="E85">
        <v>35.450491248172398</v>
      </c>
      <c r="F85">
        <v>28.404697883333601</v>
      </c>
      <c r="G85">
        <v>1.77501565953914</v>
      </c>
      <c r="H85">
        <v>0.80821055501662198</v>
      </c>
      <c r="I85">
        <v>4.0254880472162196</v>
      </c>
      <c r="J85">
        <v>68.023671347102606</v>
      </c>
      <c r="K85">
        <v>37.502286044662199</v>
      </c>
      <c r="L85" t="s">
        <v>19</v>
      </c>
      <c r="M85" t="s">
        <v>28</v>
      </c>
      <c r="N85">
        <v>24</v>
      </c>
      <c r="O85">
        <v>67.964226644564704</v>
      </c>
      <c r="P85">
        <v>10.9266447864482</v>
      </c>
      <c r="Q85" t="s">
        <v>25</v>
      </c>
      <c r="R85">
        <v>83</v>
      </c>
      <c r="S85">
        <v>72.531346618777306</v>
      </c>
    </row>
    <row r="86" spans="1:19" x14ac:dyDescent="0.25">
      <c r="A86">
        <v>6258</v>
      </c>
      <c r="B86">
        <v>117.83284439637499</v>
      </c>
      <c r="C86">
        <v>2.3061391289943201</v>
      </c>
      <c r="D86">
        <v>47.387693301249399</v>
      </c>
      <c r="E86">
        <v>33.332830154357602</v>
      </c>
      <c r="F86">
        <v>18.6728885093526</v>
      </c>
      <c r="G86">
        <v>0.74262113553920195</v>
      </c>
      <c r="H86">
        <v>0.68035453050216499</v>
      </c>
      <c r="I86">
        <v>3.61255309583284</v>
      </c>
      <c r="J86">
        <v>82.374224549954107</v>
      </c>
      <c r="K86">
        <v>36.123975726334699</v>
      </c>
      <c r="L86" t="s">
        <v>19</v>
      </c>
      <c r="M86" t="s">
        <v>32</v>
      </c>
      <c r="N86">
        <v>35</v>
      </c>
      <c r="O86">
        <v>72.151015070910802</v>
      </c>
      <c r="P86">
        <v>13.315947107842099</v>
      </c>
      <c r="Q86" t="s">
        <v>24</v>
      </c>
      <c r="R86">
        <v>84</v>
      </c>
      <c r="S86">
        <v>61.727731212017602</v>
      </c>
    </row>
    <row r="87" spans="1:19" x14ac:dyDescent="0.25">
      <c r="A87">
        <v>6618</v>
      </c>
      <c r="B87">
        <v>149.00619758817899</v>
      </c>
      <c r="C87">
        <v>2.1574572267920198</v>
      </c>
      <c r="D87">
        <v>82.454224478005301</v>
      </c>
      <c r="E87">
        <v>32.9732652249795</v>
      </c>
      <c r="F87">
        <v>25.609517427190699</v>
      </c>
      <c r="G87">
        <v>0.37020142059389799</v>
      </c>
      <c r="H87">
        <v>0.63234518451698296</v>
      </c>
      <c r="I87">
        <v>5.8706925027132097</v>
      </c>
      <c r="J87">
        <v>103.018296661769</v>
      </c>
      <c r="K87">
        <v>60.317963274910603</v>
      </c>
      <c r="L87" t="s">
        <v>34</v>
      </c>
      <c r="M87" t="s">
        <v>30</v>
      </c>
      <c r="N87">
        <v>23</v>
      </c>
      <c r="O87">
        <v>77.263079292673396</v>
      </c>
      <c r="P87">
        <v>22.700492329697799</v>
      </c>
      <c r="Q87" t="s">
        <v>24</v>
      </c>
      <c r="R87">
        <v>85</v>
      </c>
      <c r="S87">
        <v>85.266157053549904</v>
      </c>
    </row>
    <row r="88" spans="1:19" x14ac:dyDescent="0.25">
      <c r="A88">
        <v>7736</v>
      </c>
      <c r="B88">
        <v>123.487243475244</v>
      </c>
      <c r="C88">
        <v>2.3199822646856898</v>
      </c>
      <c r="D88">
        <v>82.590591684436205</v>
      </c>
      <c r="E88">
        <v>33.386498772920298</v>
      </c>
      <c r="F88">
        <v>15.650007013030599</v>
      </c>
      <c r="G88">
        <v>1.5650925888618501</v>
      </c>
      <c r="H88">
        <v>0.61894794802992603</v>
      </c>
      <c r="I88">
        <v>1.2134472427521099</v>
      </c>
      <c r="J88">
        <v>56.046302914925498</v>
      </c>
      <c r="K88">
        <v>76.255895960451099</v>
      </c>
      <c r="L88" t="s">
        <v>27</v>
      </c>
      <c r="M88" t="s">
        <v>26</v>
      </c>
      <c r="N88">
        <v>35</v>
      </c>
      <c r="O88">
        <v>70.715790862015695</v>
      </c>
      <c r="P88">
        <v>17.583808755328299</v>
      </c>
      <c r="Q88" t="s">
        <v>21</v>
      </c>
      <c r="R88">
        <v>86</v>
      </c>
      <c r="S88">
        <v>62.607165548104099</v>
      </c>
    </row>
    <row r="89" spans="1:19" x14ac:dyDescent="0.25">
      <c r="A89">
        <v>1391</v>
      </c>
      <c r="B89">
        <v>137.44019629290699</v>
      </c>
      <c r="C89">
        <v>1.87106374553594</v>
      </c>
      <c r="D89">
        <v>53.913684806800099</v>
      </c>
      <c r="E89">
        <v>32.986689595261602</v>
      </c>
      <c r="F89">
        <v>25.344200652731001</v>
      </c>
      <c r="G89">
        <v>1.2908248974849399</v>
      </c>
      <c r="H89">
        <v>0.41454579642871697</v>
      </c>
      <c r="I89">
        <v>1.7181021127060001</v>
      </c>
      <c r="J89">
        <v>63.042190808796597</v>
      </c>
      <c r="K89">
        <v>72.101224215216902</v>
      </c>
      <c r="L89" t="s">
        <v>27</v>
      </c>
      <c r="M89" t="s">
        <v>30</v>
      </c>
      <c r="N89">
        <v>33</v>
      </c>
      <c r="O89">
        <v>73.864816494219397</v>
      </c>
      <c r="P89">
        <v>2.4755279618987598</v>
      </c>
      <c r="Q89" t="s">
        <v>29</v>
      </c>
      <c r="R89">
        <v>87</v>
      </c>
      <c r="S89">
        <v>62.484191572394501</v>
      </c>
    </row>
    <row r="90" spans="1:19" x14ac:dyDescent="0.25">
      <c r="A90">
        <v>6892</v>
      </c>
      <c r="B90">
        <v>186.20169076537499</v>
      </c>
      <c r="C90">
        <v>1.53771681945079</v>
      </c>
      <c r="D90">
        <v>87.9071086152519</v>
      </c>
      <c r="E90">
        <v>32.024382753287803</v>
      </c>
      <c r="F90">
        <v>25.359723039072399</v>
      </c>
      <c r="G90">
        <v>1.2265625140876999</v>
      </c>
      <c r="H90">
        <v>0.58455646093316105</v>
      </c>
      <c r="I90">
        <v>4.76172589227874</v>
      </c>
      <c r="J90">
        <v>60.9518480278713</v>
      </c>
      <c r="K90">
        <v>34.686334103735703</v>
      </c>
      <c r="L90" t="s">
        <v>22</v>
      </c>
      <c r="M90" t="s">
        <v>35</v>
      </c>
      <c r="N90">
        <v>19</v>
      </c>
      <c r="O90">
        <v>70.058472833093802</v>
      </c>
      <c r="P90">
        <v>10.2329370228492</v>
      </c>
      <c r="Q90" t="s">
        <v>25</v>
      </c>
      <c r="R90">
        <v>88</v>
      </c>
      <c r="S90">
        <v>94.249154067139699</v>
      </c>
    </row>
    <row r="91" spans="1:19" x14ac:dyDescent="0.25">
      <c r="A91">
        <v>4561</v>
      </c>
      <c r="B91">
        <v>133.07880200550699</v>
      </c>
      <c r="C91">
        <v>0.69901709405141499</v>
      </c>
      <c r="D91">
        <v>57.368445416693298</v>
      </c>
      <c r="E91">
        <v>33.987935898813198</v>
      </c>
      <c r="F91">
        <v>23.921010360029399</v>
      </c>
      <c r="G91">
        <v>0.29643780729333402</v>
      </c>
      <c r="H91">
        <v>0.93681108663847101</v>
      </c>
      <c r="I91">
        <v>9.4862144025257997</v>
      </c>
      <c r="J91">
        <v>57.473102253575902</v>
      </c>
      <c r="K91">
        <v>33.398287348948401</v>
      </c>
      <c r="L91" t="s">
        <v>22</v>
      </c>
      <c r="M91" t="s">
        <v>28</v>
      </c>
      <c r="N91">
        <v>36</v>
      </c>
      <c r="O91">
        <v>78.291184686643703</v>
      </c>
      <c r="P91">
        <v>19.872762377368801</v>
      </c>
      <c r="Q91" t="s">
        <v>21</v>
      </c>
      <c r="R91">
        <v>89</v>
      </c>
      <c r="S91">
        <v>85.517021932232794</v>
      </c>
    </row>
    <row r="92" spans="1:19" x14ac:dyDescent="0.25">
      <c r="A92">
        <v>7184</v>
      </c>
      <c r="B92">
        <v>157.98546652571301</v>
      </c>
      <c r="C92">
        <v>1.3769687559350201</v>
      </c>
      <c r="D92">
        <v>75.063304760759607</v>
      </c>
      <c r="E92">
        <v>33.270913827734098</v>
      </c>
      <c r="F92">
        <v>17.027857391001</v>
      </c>
      <c r="G92">
        <v>0.452898217631931</v>
      </c>
      <c r="H92">
        <v>0.88045556692489801</v>
      </c>
      <c r="I92">
        <v>7.4936060185908104</v>
      </c>
      <c r="J92">
        <v>112.552932164689</v>
      </c>
      <c r="K92">
        <v>87.434364758022497</v>
      </c>
      <c r="L92" t="s">
        <v>22</v>
      </c>
      <c r="M92" t="s">
        <v>33</v>
      </c>
      <c r="N92">
        <v>18</v>
      </c>
      <c r="O92">
        <v>82.187578715214897</v>
      </c>
      <c r="P92">
        <v>25.124390333697601</v>
      </c>
      <c r="Q92" t="s">
        <v>21</v>
      </c>
      <c r="R92">
        <v>90</v>
      </c>
      <c r="S92">
        <v>89.073983333648897</v>
      </c>
    </row>
    <row r="93" spans="1:19" x14ac:dyDescent="0.25">
      <c r="A93">
        <v>4099</v>
      </c>
      <c r="B93">
        <v>120.936471497482</v>
      </c>
      <c r="C93">
        <v>1.0783767023419</v>
      </c>
      <c r="D93">
        <v>86.406880252249096</v>
      </c>
      <c r="E93">
        <v>33.021135902320303</v>
      </c>
      <c r="F93">
        <v>23.247740947990302</v>
      </c>
      <c r="G93">
        <v>1.3205889131835999</v>
      </c>
      <c r="H93">
        <v>0.581157936868819</v>
      </c>
      <c r="I93">
        <v>1.79313912550501</v>
      </c>
      <c r="J93">
        <v>102.89298911930101</v>
      </c>
      <c r="K93">
        <v>15.617718119397001</v>
      </c>
      <c r="L93" t="s">
        <v>19</v>
      </c>
      <c r="M93" t="s">
        <v>37</v>
      </c>
      <c r="N93">
        <v>28</v>
      </c>
      <c r="O93">
        <v>69.596565516144693</v>
      </c>
      <c r="P93">
        <v>25.238776297496798</v>
      </c>
      <c r="Q93" t="s">
        <v>24</v>
      </c>
      <c r="R93">
        <v>91</v>
      </c>
      <c r="S93">
        <v>59.267373623431801</v>
      </c>
    </row>
    <row r="94" spans="1:19" x14ac:dyDescent="0.25">
      <c r="A94">
        <v>7278</v>
      </c>
      <c r="B94">
        <v>134.30023019006001</v>
      </c>
      <c r="C94">
        <v>2.5854713587489</v>
      </c>
      <c r="D94">
        <v>69.3277487059257</v>
      </c>
      <c r="E94">
        <v>31.829560767266099</v>
      </c>
      <c r="F94">
        <v>16.084719076328</v>
      </c>
      <c r="G94">
        <v>0.574082914625904</v>
      </c>
      <c r="H94">
        <v>0.72328747278650396</v>
      </c>
      <c r="I94">
        <v>8.6168621150278604</v>
      </c>
      <c r="J94">
        <v>30.8999989862976</v>
      </c>
      <c r="K94">
        <v>80.979039979516102</v>
      </c>
      <c r="L94" t="s">
        <v>19</v>
      </c>
      <c r="M94" t="s">
        <v>37</v>
      </c>
      <c r="N94">
        <v>37</v>
      </c>
      <c r="O94">
        <v>69.261087722183802</v>
      </c>
      <c r="P94">
        <v>33.702695640833099</v>
      </c>
      <c r="Q94" t="s">
        <v>25</v>
      </c>
      <c r="R94">
        <v>92</v>
      </c>
      <c r="S94">
        <v>84.800896673819494</v>
      </c>
    </row>
    <row r="95" spans="1:19" x14ac:dyDescent="0.25">
      <c r="A95">
        <v>9392</v>
      </c>
      <c r="B95">
        <v>170.41601271271</v>
      </c>
      <c r="C95">
        <v>1.4120570937838299</v>
      </c>
      <c r="D95">
        <v>79.094818242822598</v>
      </c>
      <c r="E95">
        <v>34.564209518321697</v>
      </c>
      <c r="F95">
        <v>20.736183724519002</v>
      </c>
      <c r="G95">
        <v>1.10732614354716</v>
      </c>
      <c r="H95">
        <v>0.86601321004452103</v>
      </c>
      <c r="I95">
        <v>7.5907069354736203</v>
      </c>
      <c r="J95">
        <v>30.812335247709601</v>
      </c>
      <c r="K95">
        <v>29.979638934180301</v>
      </c>
      <c r="L95" t="s">
        <v>22</v>
      </c>
      <c r="M95" t="s">
        <v>37</v>
      </c>
      <c r="N95">
        <v>22</v>
      </c>
      <c r="O95">
        <v>70.561280093839798</v>
      </c>
      <c r="P95">
        <v>12.468311498835501</v>
      </c>
      <c r="Q95" t="s">
        <v>21</v>
      </c>
      <c r="R95">
        <v>93</v>
      </c>
      <c r="S95">
        <v>95.568010494906702</v>
      </c>
    </row>
    <row r="96" spans="1:19" x14ac:dyDescent="0.25">
      <c r="A96">
        <v>4104</v>
      </c>
      <c r="B96">
        <v>122.46065884424399</v>
      </c>
      <c r="C96">
        <v>1.56160240339224</v>
      </c>
      <c r="D96">
        <v>59.671407122248503</v>
      </c>
      <c r="E96">
        <v>33.797643294399698</v>
      </c>
      <c r="F96">
        <v>27.147065504776599</v>
      </c>
      <c r="G96">
        <v>1.1807870348528999</v>
      </c>
      <c r="H96">
        <v>0.64270088521253699</v>
      </c>
      <c r="I96">
        <v>6.4985187313238697</v>
      </c>
      <c r="J96">
        <v>62.786951485299099</v>
      </c>
      <c r="K96">
        <v>86.046324231732498</v>
      </c>
      <c r="L96" t="s">
        <v>27</v>
      </c>
      <c r="M96" t="s">
        <v>28</v>
      </c>
      <c r="N96">
        <v>33</v>
      </c>
      <c r="O96">
        <v>67.155797375477306</v>
      </c>
      <c r="P96">
        <v>12.8509265617172</v>
      </c>
      <c r="Q96" t="s">
        <v>31</v>
      </c>
      <c r="R96">
        <v>94</v>
      </c>
      <c r="S96">
        <v>70.022667743052807</v>
      </c>
    </row>
    <row r="97" spans="1:19" x14ac:dyDescent="0.25">
      <c r="A97">
        <v>8215</v>
      </c>
      <c r="B97">
        <v>171.24897115993801</v>
      </c>
      <c r="C97">
        <v>1.7757426880202301</v>
      </c>
      <c r="D97">
        <v>66.070668331438</v>
      </c>
      <c r="E97">
        <v>32.3364949951592</v>
      </c>
      <c r="F97">
        <v>25.983509635353698</v>
      </c>
      <c r="G97">
        <v>0.71031294248769095</v>
      </c>
      <c r="H97">
        <v>0.40987682506258299</v>
      </c>
      <c r="I97">
        <v>8.3826366454825898</v>
      </c>
      <c r="J97">
        <v>29.865737673280901</v>
      </c>
      <c r="K97">
        <v>40.6730463620639</v>
      </c>
      <c r="L97" t="s">
        <v>27</v>
      </c>
      <c r="M97" t="s">
        <v>30</v>
      </c>
      <c r="N97">
        <v>18</v>
      </c>
      <c r="O97">
        <v>64.797756167922401</v>
      </c>
      <c r="P97">
        <v>17.7973747947186</v>
      </c>
      <c r="Q97" t="s">
        <v>21</v>
      </c>
      <c r="R97">
        <v>95</v>
      </c>
      <c r="S97">
        <v>103.474404421784</v>
      </c>
    </row>
    <row r="98" spans="1:19" x14ac:dyDescent="0.25">
      <c r="A98">
        <v>3454</v>
      </c>
      <c r="B98">
        <v>149.15503870910899</v>
      </c>
      <c r="C98">
        <v>1.5218012231862199</v>
      </c>
      <c r="D98">
        <v>65.882811382393101</v>
      </c>
      <c r="E98">
        <v>34.202189824418298</v>
      </c>
      <c r="F98">
        <v>22.075914712702101</v>
      </c>
      <c r="G98">
        <v>1.9071652799746801</v>
      </c>
      <c r="H98">
        <v>0.440980754000252</v>
      </c>
      <c r="I98">
        <v>4.6369886296866101</v>
      </c>
      <c r="J98">
        <v>81.909309527111901</v>
      </c>
      <c r="K98">
        <v>48.026383041993903</v>
      </c>
      <c r="L98" t="s">
        <v>22</v>
      </c>
      <c r="M98" t="s">
        <v>33</v>
      </c>
      <c r="N98">
        <v>36</v>
      </c>
      <c r="O98">
        <v>76.386688754245895</v>
      </c>
      <c r="P98">
        <v>4.5922113422323996</v>
      </c>
      <c r="Q98" t="s">
        <v>31</v>
      </c>
      <c r="R98">
        <v>96</v>
      </c>
      <c r="S98">
        <v>77.881716283477701</v>
      </c>
    </row>
    <row r="99" spans="1:19" x14ac:dyDescent="0.25">
      <c r="A99">
        <v>9996</v>
      </c>
      <c r="B99">
        <v>123.750664482114</v>
      </c>
      <c r="C99">
        <v>2.34752552021537</v>
      </c>
      <c r="D99">
        <v>55.068433069195201</v>
      </c>
      <c r="E99">
        <v>32.402914993937699</v>
      </c>
      <c r="F99">
        <v>17.125967120385699</v>
      </c>
      <c r="G99">
        <v>1.7164353923040301</v>
      </c>
      <c r="H99">
        <v>0.68071599674178795</v>
      </c>
      <c r="I99">
        <v>2.9935094576846701</v>
      </c>
      <c r="J99">
        <v>34.369160726173298</v>
      </c>
      <c r="K99">
        <v>68.034046045828504</v>
      </c>
      <c r="L99" t="s">
        <v>34</v>
      </c>
      <c r="M99" t="s">
        <v>28</v>
      </c>
      <c r="N99">
        <v>31</v>
      </c>
      <c r="O99">
        <v>64.808562440002504</v>
      </c>
      <c r="P99">
        <v>17.9753981855925</v>
      </c>
      <c r="Q99" t="s">
        <v>29</v>
      </c>
      <c r="R99">
        <v>97</v>
      </c>
      <c r="S99">
        <v>61.339842793410398</v>
      </c>
    </row>
    <row r="100" spans="1:19" x14ac:dyDescent="0.25">
      <c r="A100">
        <v>3731</v>
      </c>
      <c r="B100">
        <v>147.64815478111001</v>
      </c>
      <c r="C100">
        <v>1.1886753191327699</v>
      </c>
      <c r="D100">
        <v>66.464516737684306</v>
      </c>
      <c r="E100">
        <v>32.061595808986702</v>
      </c>
      <c r="F100">
        <v>25.2279385608709</v>
      </c>
      <c r="G100">
        <v>1.5002723137390299</v>
      </c>
      <c r="H100">
        <v>0.93319165662173298</v>
      </c>
      <c r="I100">
        <v>5.6082105019788298</v>
      </c>
      <c r="J100">
        <v>72.237326396680103</v>
      </c>
      <c r="K100">
        <v>59.075178860494503</v>
      </c>
      <c r="L100" t="s">
        <v>27</v>
      </c>
      <c r="M100" t="s">
        <v>35</v>
      </c>
      <c r="N100">
        <v>20</v>
      </c>
      <c r="O100">
        <v>64.347161779513797</v>
      </c>
      <c r="P100">
        <v>16.435961191874799</v>
      </c>
      <c r="Q100" t="s">
        <v>31</v>
      </c>
      <c r="R100">
        <v>98</v>
      </c>
      <c r="S100">
        <v>76.251915603700297</v>
      </c>
    </row>
    <row r="101" spans="1:19" x14ac:dyDescent="0.25">
      <c r="A101">
        <v>9154</v>
      </c>
      <c r="B101">
        <v>154.45108899253401</v>
      </c>
      <c r="C101">
        <v>1.5973037276186199</v>
      </c>
      <c r="D101">
        <v>39.027634022725003</v>
      </c>
      <c r="E101">
        <v>32.088356259023598</v>
      </c>
      <c r="F101">
        <v>22.096906188490099</v>
      </c>
      <c r="G101">
        <v>0.34038895953693599</v>
      </c>
      <c r="H101">
        <v>0.78126524822037702</v>
      </c>
      <c r="I101">
        <v>5.9395758003412604</v>
      </c>
      <c r="J101">
        <v>20.721994700371699</v>
      </c>
      <c r="K101">
        <v>38.845449728011701</v>
      </c>
      <c r="L101" t="s">
        <v>27</v>
      </c>
      <c r="M101" t="s">
        <v>36</v>
      </c>
      <c r="N101">
        <v>19</v>
      </c>
      <c r="O101">
        <v>75.186962033524907</v>
      </c>
      <c r="P101">
        <v>24.333742868202201</v>
      </c>
      <c r="Q101" t="s">
        <v>31</v>
      </c>
      <c r="R101">
        <v>99</v>
      </c>
      <c r="S101">
        <v>89.036725452619393</v>
      </c>
    </row>
    <row r="102" spans="1:19" x14ac:dyDescent="0.25">
      <c r="A102">
        <v>6056</v>
      </c>
      <c r="B102">
        <v>147.43619924434299</v>
      </c>
      <c r="C102">
        <v>1.1287647071509701</v>
      </c>
      <c r="D102">
        <v>60.176925057157902</v>
      </c>
      <c r="E102">
        <v>30.874717736294201</v>
      </c>
      <c r="F102">
        <v>10.398422008847801</v>
      </c>
      <c r="G102">
        <v>0.39103403475623499</v>
      </c>
      <c r="H102">
        <v>0.43900390529121303</v>
      </c>
      <c r="I102">
        <v>5.8449373480892</v>
      </c>
      <c r="J102">
        <v>51.659634841264598</v>
      </c>
      <c r="K102">
        <v>56.5373186900867</v>
      </c>
      <c r="L102" t="s">
        <v>22</v>
      </c>
      <c r="M102" t="s">
        <v>35</v>
      </c>
      <c r="N102">
        <v>22</v>
      </c>
      <c r="O102">
        <v>75.800876724138902</v>
      </c>
      <c r="P102">
        <v>25.692164788488501</v>
      </c>
      <c r="Q102" t="s">
        <v>24</v>
      </c>
      <c r="R102">
        <v>100</v>
      </c>
      <c r="S102">
        <v>79.334662770587997</v>
      </c>
    </row>
    <row r="103" spans="1:19" x14ac:dyDescent="0.25">
      <c r="A103">
        <v>9110</v>
      </c>
      <c r="B103">
        <v>103.59550560219</v>
      </c>
      <c r="C103">
        <v>0.83998874438964699</v>
      </c>
      <c r="D103">
        <v>64.302490132606493</v>
      </c>
      <c r="E103">
        <v>33.565850856501797</v>
      </c>
      <c r="F103">
        <v>25.9131491315825</v>
      </c>
      <c r="G103">
        <v>1.08700642255692</v>
      </c>
      <c r="H103">
        <v>0.50414848168552395</v>
      </c>
      <c r="I103">
        <v>6.0856641233209396</v>
      </c>
      <c r="J103">
        <v>87.719072367265497</v>
      </c>
      <c r="K103">
        <v>69.803016327216397</v>
      </c>
      <c r="L103" t="s">
        <v>27</v>
      </c>
      <c r="M103" t="s">
        <v>26</v>
      </c>
      <c r="N103">
        <v>34</v>
      </c>
      <c r="O103">
        <v>86.667772287175296</v>
      </c>
      <c r="P103">
        <v>20.858188496339601</v>
      </c>
      <c r="Q103" t="s">
        <v>21</v>
      </c>
      <c r="R103">
        <v>101</v>
      </c>
      <c r="S103">
        <v>62.852742513453997</v>
      </c>
    </row>
    <row r="104" spans="1:19" x14ac:dyDescent="0.25">
      <c r="A104">
        <v>4840</v>
      </c>
      <c r="B104">
        <v>120.45725648350199</v>
      </c>
      <c r="C104">
        <v>1.19411545454735</v>
      </c>
      <c r="D104">
        <v>64.876404950092393</v>
      </c>
      <c r="E104">
        <v>30.802626145993901</v>
      </c>
      <c r="F104">
        <v>21.8788358306515</v>
      </c>
      <c r="G104">
        <v>0.48928402854377401</v>
      </c>
      <c r="H104">
        <v>0.82422772876926698</v>
      </c>
      <c r="I104">
        <v>9.5383442641526202</v>
      </c>
      <c r="J104">
        <v>68.403894022784797</v>
      </c>
      <c r="K104">
        <v>18.175120942686899</v>
      </c>
      <c r="L104" t="s">
        <v>19</v>
      </c>
      <c r="M104" t="s">
        <v>36</v>
      </c>
      <c r="N104">
        <v>35</v>
      </c>
      <c r="O104">
        <v>77.757310807539298</v>
      </c>
      <c r="P104">
        <v>18.022994966767602</v>
      </c>
      <c r="Q104" t="s">
        <v>29</v>
      </c>
      <c r="R104">
        <v>102</v>
      </c>
      <c r="S104">
        <v>75.089184234283906</v>
      </c>
    </row>
    <row r="105" spans="1:19" x14ac:dyDescent="0.25">
      <c r="A105">
        <v>2028</v>
      </c>
      <c r="B105">
        <v>130.04962728896899</v>
      </c>
      <c r="C105">
        <v>1.4814816014757901</v>
      </c>
      <c r="D105">
        <v>65.170051082584393</v>
      </c>
      <c r="E105">
        <v>31.525867402481001</v>
      </c>
      <c r="F105">
        <v>28.012256239915299</v>
      </c>
      <c r="G105">
        <v>1.96087783435305</v>
      </c>
      <c r="H105">
        <v>0.86279186797593399</v>
      </c>
      <c r="I105">
        <v>9.1202106078660794</v>
      </c>
      <c r="J105">
        <v>117.826948599898</v>
      </c>
      <c r="K105">
        <v>15.839947894177801</v>
      </c>
      <c r="L105" t="s">
        <v>19</v>
      </c>
      <c r="M105" t="s">
        <v>35</v>
      </c>
      <c r="N105">
        <v>18</v>
      </c>
      <c r="O105">
        <v>74.616220806646396</v>
      </c>
      <c r="P105">
        <v>20.9121235317116</v>
      </c>
      <c r="Q105" t="s">
        <v>21</v>
      </c>
      <c r="R105">
        <v>103</v>
      </c>
      <c r="S105">
        <v>81.234360220239793</v>
      </c>
    </row>
    <row r="106" spans="1:19" x14ac:dyDescent="0.25">
      <c r="A106">
        <v>8385</v>
      </c>
      <c r="B106">
        <v>133.511331417999</v>
      </c>
      <c r="C106">
        <v>1.2853488877413699</v>
      </c>
      <c r="D106">
        <v>68.7647160027974</v>
      </c>
      <c r="E106">
        <v>30.509294389105701</v>
      </c>
      <c r="F106">
        <v>16.523647405785901</v>
      </c>
      <c r="G106">
        <v>0.48533642124933701</v>
      </c>
      <c r="H106">
        <v>0.73973202240372404</v>
      </c>
      <c r="I106">
        <v>8.8814533290304496</v>
      </c>
      <c r="J106">
        <v>107.41037960662101</v>
      </c>
      <c r="K106">
        <v>49.355020430466801</v>
      </c>
      <c r="L106" t="s">
        <v>27</v>
      </c>
      <c r="M106" t="s">
        <v>33</v>
      </c>
      <c r="N106">
        <v>32</v>
      </c>
      <c r="O106">
        <v>75.770753829891106</v>
      </c>
      <c r="P106">
        <v>11.657377046352</v>
      </c>
      <c r="Q106" t="s">
        <v>31</v>
      </c>
      <c r="R106">
        <v>104</v>
      </c>
      <c r="S106">
        <v>82.447747097247102</v>
      </c>
    </row>
    <row r="107" spans="1:19" x14ac:dyDescent="0.25">
      <c r="A107">
        <v>1502</v>
      </c>
      <c r="B107">
        <v>147.413441951013</v>
      </c>
      <c r="C107">
        <v>1.15378951006307</v>
      </c>
      <c r="D107">
        <v>79.588830361721193</v>
      </c>
      <c r="E107">
        <v>32.8967163686509</v>
      </c>
      <c r="F107">
        <v>10</v>
      </c>
      <c r="G107">
        <v>1.07744210383515</v>
      </c>
      <c r="H107">
        <v>0.75443274329639898</v>
      </c>
      <c r="I107">
        <v>8.2127512981776398</v>
      </c>
      <c r="J107">
        <v>55.907077904315102</v>
      </c>
      <c r="K107">
        <v>24.8877463352635</v>
      </c>
      <c r="L107" t="s">
        <v>19</v>
      </c>
      <c r="M107" t="s">
        <v>20</v>
      </c>
      <c r="N107">
        <v>39</v>
      </c>
      <c r="O107">
        <v>66.816931151810707</v>
      </c>
      <c r="P107">
        <v>17.338584889580002</v>
      </c>
      <c r="Q107" t="s">
        <v>31</v>
      </c>
      <c r="R107">
        <v>105</v>
      </c>
      <c r="S107">
        <v>82.734243207303095</v>
      </c>
    </row>
    <row r="108" spans="1:19" x14ac:dyDescent="0.25">
      <c r="A108">
        <v>7910</v>
      </c>
      <c r="B108">
        <v>138.554020018665</v>
      </c>
      <c r="C108">
        <v>0.79684126816408296</v>
      </c>
      <c r="D108">
        <v>87.490341482650393</v>
      </c>
      <c r="E108">
        <v>32.819615447673698</v>
      </c>
      <c r="F108">
        <v>23.395419291725901</v>
      </c>
      <c r="G108">
        <v>0.85541790231470904</v>
      </c>
      <c r="H108">
        <v>0.41558559771086101</v>
      </c>
      <c r="I108">
        <v>9.4908529653875604</v>
      </c>
      <c r="J108">
        <v>24.548654147227399</v>
      </c>
      <c r="K108">
        <v>64.825821859853505</v>
      </c>
      <c r="L108" t="s">
        <v>34</v>
      </c>
      <c r="M108" t="s">
        <v>20</v>
      </c>
      <c r="N108">
        <v>26</v>
      </c>
      <c r="O108">
        <v>72.497720295187094</v>
      </c>
      <c r="P108">
        <v>18.134128150977901</v>
      </c>
      <c r="Q108" t="s">
        <v>21</v>
      </c>
      <c r="R108">
        <v>106</v>
      </c>
      <c r="S108">
        <v>84.277228463897103</v>
      </c>
    </row>
    <row r="109" spans="1:19" x14ac:dyDescent="0.25">
      <c r="A109">
        <v>7938</v>
      </c>
      <c r="B109">
        <v>108.293112825797</v>
      </c>
      <c r="C109">
        <v>1.4584472136856499</v>
      </c>
      <c r="D109">
        <v>57.004695463034601</v>
      </c>
      <c r="E109">
        <v>32.607964544176298</v>
      </c>
      <c r="F109">
        <v>23.457818383409801</v>
      </c>
      <c r="G109">
        <v>1.3508955586173701</v>
      </c>
      <c r="H109">
        <v>0.85569164276982901</v>
      </c>
      <c r="I109">
        <v>1.8864517751146199</v>
      </c>
      <c r="J109">
        <v>104.562630011501</v>
      </c>
      <c r="K109">
        <v>31.053934217057499</v>
      </c>
      <c r="L109" t="s">
        <v>27</v>
      </c>
      <c r="M109" t="s">
        <v>20</v>
      </c>
      <c r="N109">
        <v>22</v>
      </c>
      <c r="O109">
        <v>72.877135460003501</v>
      </c>
      <c r="P109">
        <v>17.399318312056799</v>
      </c>
      <c r="Q109" t="s">
        <v>29</v>
      </c>
      <c r="R109">
        <v>107</v>
      </c>
      <c r="S109">
        <v>53.386776176095999</v>
      </c>
    </row>
    <row r="110" spans="1:19" x14ac:dyDescent="0.25">
      <c r="A110">
        <v>5488</v>
      </c>
      <c r="B110">
        <v>142.603957020119</v>
      </c>
      <c r="C110">
        <v>0.747639812984498</v>
      </c>
      <c r="D110">
        <v>45.935982892217098</v>
      </c>
      <c r="E110">
        <v>31.748906766395301</v>
      </c>
      <c r="F110">
        <v>13.5466418619677</v>
      </c>
      <c r="G110">
        <v>0.43226553600096401</v>
      </c>
      <c r="H110">
        <v>0.83355136449395595</v>
      </c>
      <c r="I110">
        <v>3.3861093530116499</v>
      </c>
      <c r="J110">
        <v>111.12343103146701</v>
      </c>
      <c r="K110">
        <v>47.463833009675298</v>
      </c>
      <c r="L110" t="s">
        <v>22</v>
      </c>
      <c r="M110" t="s">
        <v>26</v>
      </c>
      <c r="N110">
        <v>30</v>
      </c>
      <c r="O110">
        <v>63.663423787683101</v>
      </c>
      <c r="P110">
        <v>16.631792241353399</v>
      </c>
      <c r="Q110" t="s">
        <v>29</v>
      </c>
      <c r="R110">
        <v>108</v>
      </c>
      <c r="S110">
        <v>70.945219849667396</v>
      </c>
    </row>
    <row r="111" spans="1:19" x14ac:dyDescent="0.25">
      <c r="A111">
        <v>1206</v>
      </c>
      <c r="B111">
        <v>147.21171490567599</v>
      </c>
      <c r="C111">
        <v>1.8800279818448</v>
      </c>
      <c r="D111">
        <v>49.1591117551379</v>
      </c>
      <c r="E111">
        <v>31.593319495875999</v>
      </c>
      <c r="F111">
        <v>17.107502270666899</v>
      </c>
      <c r="G111">
        <v>0.97456957047630299</v>
      </c>
      <c r="H111">
        <v>0.54246932925684099</v>
      </c>
      <c r="I111">
        <v>5.4555035108912602</v>
      </c>
      <c r="J111">
        <v>102.062739341903</v>
      </c>
      <c r="K111">
        <v>29.825320265570099</v>
      </c>
      <c r="L111" t="s">
        <v>19</v>
      </c>
      <c r="M111" t="s">
        <v>26</v>
      </c>
      <c r="N111">
        <v>36</v>
      </c>
      <c r="O111">
        <v>67.608444776453894</v>
      </c>
      <c r="P111">
        <v>13.0298464995975</v>
      </c>
      <c r="Q111" t="s">
        <v>24</v>
      </c>
      <c r="R111">
        <v>109</v>
      </c>
      <c r="S111">
        <v>79.2479710484333</v>
      </c>
    </row>
    <row r="112" spans="1:19" x14ac:dyDescent="0.25">
      <c r="A112">
        <v>6134</v>
      </c>
      <c r="B112">
        <v>146.19580895862001</v>
      </c>
      <c r="C112">
        <v>1.54121987646725</v>
      </c>
      <c r="D112">
        <v>60.255941576101399</v>
      </c>
      <c r="E112">
        <v>33.5572438362558</v>
      </c>
      <c r="F112">
        <v>35.776088718599503</v>
      </c>
      <c r="G112">
        <v>0.69446905905285805</v>
      </c>
      <c r="H112">
        <v>0.78977219598102799</v>
      </c>
      <c r="I112">
        <v>8.6188104381106392</v>
      </c>
      <c r="J112">
        <v>32.794994091976399</v>
      </c>
      <c r="K112">
        <v>56.136268931184297</v>
      </c>
      <c r="L112" t="s">
        <v>34</v>
      </c>
      <c r="M112" t="s">
        <v>20</v>
      </c>
      <c r="N112">
        <v>27</v>
      </c>
      <c r="O112">
        <v>75.619139250923695</v>
      </c>
      <c r="P112">
        <v>9.7951791260315897</v>
      </c>
      <c r="Q112" t="s">
        <v>31</v>
      </c>
      <c r="R112">
        <v>110</v>
      </c>
      <c r="S112">
        <v>84.515883577093504</v>
      </c>
    </row>
    <row r="113" spans="1:19" x14ac:dyDescent="0.25">
      <c r="A113">
        <v>6977</v>
      </c>
      <c r="B113">
        <v>156.61561451109199</v>
      </c>
      <c r="C113">
        <v>0.77122425026753405</v>
      </c>
      <c r="D113">
        <v>62.961573643669801</v>
      </c>
      <c r="E113">
        <v>32.3393376819498</v>
      </c>
      <c r="F113">
        <v>20.471946929230899</v>
      </c>
      <c r="G113">
        <v>1.79795274440903</v>
      </c>
      <c r="H113">
        <v>0.51817003353374802</v>
      </c>
      <c r="I113">
        <v>5.5464914037045903</v>
      </c>
      <c r="J113">
        <v>119.79151344122801</v>
      </c>
      <c r="K113">
        <v>23.704009453842598</v>
      </c>
      <c r="L113" t="s">
        <v>34</v>
      </c>
      <c r="M113" t="s">
        <v>32</v>
      </c>
      <c r="N113">
        <v>37</v>
      </c>
      <c r="O113">
        <v>67.851925763886101</v>
      </c>
      <c r="P113">
        <v>16.3592779465259</v>
      </c>
      <c r="Q113" t="s">
        <v>31</v>
      </c>
      <c r="R113">
        <v>111</v>
      </c>
      <c r="S113">
        <v>87.492752204529907</v>
      </c>
    </row>
    <row r="114" spans="1:19" x14ac:dyDescent="0.25">
      <c r="A114">
        <v>8721</v>
      </c>
      <c r="B114">
        <v>151.67844309097799</v>
      </c>
      <c r="C114">
        <v>1.3453954614750601</v>
      </c>
      <c r="D114">
        <v>54.600078676050799</v>
      </c>
      <c r="E114">
        <v>33.379629985843302</v>
      </c>
      <c r="F114">
        <v>25.654794881880999</v>
      </c>
      <c r="G114">
        <v>0.27305428184245101</v>
      </c>
      <c r="H114">
        <v>0.42218158857833199</v>
      </c>
      <c r="I114">
        <v>7.7323126540742901</v>
      </c>
      <c r="J114">
        <v>45.858422155277303</v>
      </c>
      <c r="K114">
        <v>16.733013959061001</v>
      </c>
      <c r="L114" t="s">
        <v>19</v>
      </c>
      <c r="M114" t="s">
        <v>37</v>
      </c>
      <c r="N114">
        <v>38</v>
      </c>
      <c r="O114">
        <v>72.892572402398002</v>
      </c>
      <c r="P114">
        <v>22.754797290783799</v>
      </c>
      <c r="Q114" t="s">
        <v>24</v>
      </c>
      <c r="R114">
        <v>112</v>
      </c>
      <c r="S114">
        <v>86.253250261797703</v>
      </c>
    </row>
    <row r="115" spans="1:19" x14ac:dyDescent="0.25">
      <c r="A115">
        <v>8035</v>
      </c>
      <c r="B115">
        <v>144.18360158456801</v>
      </c>
      <c r="C115">
        <v>1.1239217972047</v>
      </c>
      <c r="D115">
        <v>44.077666715002103</v>
      </c>
      <c r="E115">
        <v>31.937701576650898</v>
      </c>
      <c r="F115">
        <v>18.746700863158001</v>
      </c>
      <c r="G115">
        <v>1.84470948921162</v>
      </c>
      <c r="H115">
        <v>0.51062509842470705</v>
      </c>
      <c r="I115">
        <v>2.2506391472402401</v>
      </c>
      <c r="J115">
        <v>92.420491280836998</v>
      </c>
      <c r="K115">
        <v>18.8348728580022</v>
      </c>
      <c r="L115" t="s">
        <v>34</v>
      </c>
      <c r="M115" t="s">
        <v>36</v>
      </c>
      <c r="N115">
        <v>31</v>
      </c>
      <c r="O115">
        <v>75.174379860842393</v>
      </c>
      <c r="P115">
        <v>4.1007603196845004</v>
      </c>
      <c r="Q115" t="s">
        <v>21</v>
      </c>
      <c r="R115">
        <v>113</v>
      </c>
      <c r="S115">
        <v>72.015764449908005</v>
      </c>
    </row>
    <row r="116" spans="1:19" x14ac:dyDescent="0.25">
      <c r="A116">
        <v>2484</v>
      </c>
      <c r="B116">
        <v>133.59668577082701</v>
      </c>
      <c r="C116">
        <v>1.6595872552095901</v>
      </c>
      <c r="D116">
        <v>60.877583450516198</v>
      </c>
      <c r="E116">
        <v>33.217275291325301</v>
      </c>
      <c r="F116">
        <v>11.548485505734201</v>
      </c>
      <c r="G116">
        <v>1.6993894493954</v>
      </c>
      <c r="H116">
        <v>0.49824588221486399</v>
      </c>
      <c r="I116">
        <v>3.2717243167890402</v>
      </c>
      <c r="J116">
        <v>110.803487633572</v>
      </c>
      <c r="K116">
        <v>86.5693831136482</v>
      </c>
      <c r="L116" t="s">
        <v>27</v>
      </c>
      <c r="M116" t="s">
        <v>36</v>
      </c>
      <c r="N116">
        <v>39</v>
      </c>
      <c r="O116">
        <v>74.801147193265606</v>
      </c>
      <c r="P116">
        <v>14.0217467723963</v>
      </c>
      <c r="Q116" t="s">
        <v>31</v>
      </c>
      <c r="R116">
        <v>114</v>
      </c>
      <c r="S116">
        <v>70.744268832402895</v>
      </c>
    </row>
    <row r="117" spans="1:19" x14ac:dyDescent="0.25">
      <c r="A117">
        <v>8858</v>
      </c>
      <c r="B117">
        <v>101.78078132968</v>
      </c>
      <c r="C117">
        <v>2.1702252230115699</v>
      </c>
      <c r="D117">
        <v>73.628532402279404</v>
      </c>
      <c r="E117">
        <v>34.563933644779198</v>
      </c>
      <c r="F117">
        <v>21.148708766020398</v>
      </c>
      <c r="G117">
        <v>0.73562728959346702</v>
      </c>
      <c r="H117">
        <v>0.58576139820416595</v>
      </c>
      <c r="I117">
        <v>7.5859848553390501</v>
      </c>
      <c r="J117">
        <v>43.568711433070902</v>
      </c>
      <c r="K117">
        <v>25.671466395820101</v>
      </c>
      <c r="L117" t="s">
        <v>34</v>
      </c>
      <c r="M117" t="s">
        <v>37</v>
      </c>
      <c r="N117">
        <v>38</v>
      </c>
      <c r="O117">
        <v>81.845202413455794</v>
      </c>
      <c r="P117">
        <v>34.552768431160501</v>
      </c>
      <c r="Q117" t="s">
        <v>21</v>
      </c>
      <c r="R117">
        <v>115</v>
      </c>
      <c r="S117">
        <v>62.784597083854599</v>
      </c>
    </row>
    <row r="118" spans="1:19" x14ac:dyDescent="0.25">
      <c r="A118">
        <v>1863</v>
      </c>
      <c r="B118">
        <v>143.592364382651</v>
      </c>
      <c r="C118">
        <v>0.56241376517712705</v>
      </c>
      <c r="D118">
        <v>81.900589316711205</v>
      </c>
      <c r="E118">
        <v>33.703398960471297</v>
      </c>
      <c r="F118">
        <v>20.671977198569401</v>
      </c>
      <c r="G118">
        <v>1.6207231784187801</v>
      </c>
      <c r="H118">
        <v>0.63014722344650198</v>
      </c>
      <c r="I118">
        <v>2.4826060799895102</v>
      </c>
      <c r="J118">
        <v>110.82585546770601</v>
      </c>
      <c r="K118">
        <v>68.135868985262604</v>
      </c>
      <c r="L118" t="s">
        <v>19</v>
      </c>
      <c r="M118" t="s">
        <v>30</v>
      </c>
      <c r="N118">
        <v>29</v>
      </c>
      <c r="O118">
        <v>63.349747982988703</v>
      </c>
      <c r="P118">
        <v>16.456185858055001</v>
      </c>
      <c r="Q118" t="s">
        <v>29</v>
      </c>
      <c r="R118">
        <v>116</v>
      </c>
      <c r="S118">
        <v>70.704665234343395</v>
      </c>
    </row>
    <row r="119" spans="1:19" x14ac:dyDescent="0.25">
      <c r="A119">
        <v>3790</v>
      </c>
      <c r="B119">
        <v>139.153753743262</v>
      </c>
      <c r="C119">
        <v>1.5575130395737</v>
      </c>
      <c r="D119">
        <v>58.851538937833503</v>
      </c>
      <c r="E119">
        <v>32.505103418140202</v>
      </c>
      <c r="F119">
        <v>20.0006088066581</v>
      </c>
      <c r="G119">
        <v>0.25618440860974501</v>
      </c>
      <c r="H119">
        <v>0.67969639032373896</v>
      </c>
      <c r="I119">
        <v>4.1622034118943398</v>
      </c>
      <c r="J119">
        <v>50.948157919486697</v>
      </c>
      <c r="K119">
        <v>20.094465316711901</v>
      </c>
      <c r="L119" t="s">
        <v>34</v>
      </c>
      <c r="M119" t="s">
        <v>32</v>
      </c>
      <c r="N119">
        <v>28</v>
      </c>
      <c r="O119">
        <v>81.140148851891396</v>
      </c>
      <c r="P119">
        <v>19.2107980196187</v>
      </c>
      <c r="Q119" t="s">
        <v>25</v>
      </c>
      <c r="R119">
        <v>117</v>
      </c>
      <c r="S119">
        <v>74.218399909628104</v>
      </c>
    </row>
    <row r="120" spans="1:19" x14ac:dyDescent="0.25">
      <c r="A120">
        <v>8408</v>
      </c>
      <c r="B120">
        <v>140.43157674390699</v>
      </c>
      <c r="C120">
        <v>1.41993360221667</v>
      </c>
      <c r="D120">
        <v>61.740043557131301</v>
      </c>
      <c r="E120">
        <v>33.308638764427101</v>
      </c>
      <c r="F120">
        <v>21.426795822468002</v>
      </c>
      <c r="G120">
        <v>1.9403579905281001</v>
      </c>
      <c r="H120">
        <v>0.66221463152958004</v>
      </c>
      <c r="I120">
        <v>3.3837963203221402</v>
      </c>
      <c r="J120">
        <v>117.641322238405</v>
      </c>
      <c r="K120">
        <v>23.112026417638599</v>
      </c>
      <c r="L120" t="s">
        <v>19</v>
      </c>
      <c r="M120" t="s">
        <v>20</v>
      </c>
      <c r="N120">
        <v>24</v>
      </c>
      <c r="O120">
        <v>71.794210288822299</v>
      </c>
      <c r="P120">
        <v>32.709830509366597</v>
      </c>
      <c r="Q120" t="s">
        <v>24</v>
      </c>
      <c r="R120">
        <v>118</v>
      </c>
      <c r="S120">
        <v>75.785956737623806</v>
      </c>
    </row>
    <row r="121" spans="1:19" x14ac:dyDescent="0.25">
      <c r="A121">
        <v>9755</v>
      </c>
      <c r="B121">
        <v>109.465028483593</v>
      </c>
      <c r="C121">
        <v>1.83567003822523</v>
      </c>
      <c r="D121">
        <v>51.466033823053699</v>
      </c>
      <c r="E121">
        <v>32.711201790563699</v>
      </c>
      <c r="F121">
        <v>23.3213413582281</v>
      </c>
      <c r="G121">
        <v>1.14787089666162</v>
      </c>
      <c r="H121">
        <v>0.54887103328090903</v>
      </c>
      <c r="I121">
        <v>4.1487552480023</v>
      </c>
      <c r="J121">
        <v>48.126002038047403</v>
      </c>
      <c r="K121">
        <v>53.165718855700099</v>
      </c>
      <c r="L121" t="s">
        <v>19</v>
      </c>
      <c r="M121" t="s">
        <v>37</v>
      </c>
      <c r="N121">
        <v>34</v>
      </c>
      <c r="O121">
        <v>74.672384387800705</v>
      </c>
      <c r="P121">
        <v>20.555482183374298</v>
      </c>
      <c r="Q121" t="s">
        <v>31</v>
      </c>
      <c r="R121">
        <v>119</v>
      </c>
      <c r="S121">
        <v>60.694775267086698</v>
      </c>
    </row>
    <row r="122" spans="1:19" x14ac:dyDescent="0.25">
      <c r="A122">
        <v>6116</v>
      </c>
      <c r="B122">
        <v>113.378869191834</v>
      </c>
      <c r="C122">
        <v>1.60659831411884</v>
      </c>
      <c r="D122">
        <v>69.371216592504396</v>
      </c>
      <c r="E122">
        <v>33.009456221633599</v>
      </c>
      <c r="F122">
        <v>21.249415243730901</v>
      </c>
      <c r="G122">
        <v>0.74590584691780104</v>
      </c>
      <c r="H122">
        <v>0.41604386771574098</v>
      </c>
      <c r="I122">
        <v>7.3749164417017301</v>
      </c>
      <c r="J122">
        <v>115.34358247578299</v>
      </c>
      <c r="K122">
        <v>49.865319761575698</v>
      </c>
      <c r="L122" t="s">
        <v>34</v>
      </c>
      <c r="M122" t="s">
        <v>28</v>
      </c>
      <c r="N122">
        <v>35</v>
      </c>
      <c r="O122">
        <v>73.575613758575699</v>
      </c>
      <c r="P122">
        <v>20.7381481992999</v>
      </c>
      <c r="Q122" t="s">
        <v>24</v>
      </c>
      <c r="R122">
        <v>120</v>
      </c>
      <c r="S122">
        <v>73.341607562483404</v>
      </c>
    </row>
    <row r="123" spans="1:19" x14ac:dyDescent="0.25">
      <c r="A123">
        <v>7019</v>
      </c>
      <c r="B123">
        <v>156.06305706665799</v>
      </c>
      <c r="C123">
        <v>1.1240153341305901</v>
      </c>
      <c r="D123">
        <v>53.031427316183702</v>
      </c>
      <c r="E123">
        <v>32.609266737421798</v>
      </c>
      <c r="F123">
        <v>15.6799691602631</v>
      </c>
      <c r="G123">
        <v>0.85264978267041802</v>
      </c>
      <c r="H123">
        <v>0.73280589223043202</v>
      </c>
      <c r="I123">
        <v>4.3106246302852096</v>
      </c>
      <c r="J123">
        <v>25.3544650892674</v>
      </c>
      <c r="K123">
        <v>86.368523207990194</v>
      </c>
      <c r="L123" t="s">
        <v>19</v>
      </c>
      <c r="M123" t="s">
        <v>36</v>
      </c>
      <c r="N123">
        <v>24</v>
      </c>
      <c r="O123">
        <v>73.170829481281501</v>
      </c>
      <c r="P123">
        <v>10.7188266075489</v>
      </c>
      <c r="Q123" t="s">
        <v>29</v>
      </c>
      <c r="R123">
        <v>121</v>
      </c>
      <c r="S123">
        <v>81.649451594511504</v>
      </c>
    </row>
    <row r="124" spans="1:19" x14ac:dyDescent="0.25">
      <c r="A124">
        <v>2757</v>
      </c>
      <c r="B124">
        <v>134.20889692286599</v>
      </c>
      <c r="C124">
        <v>1.34047303216669</v>
      </c>
      <c r="D124">
        <v>81.462556264824002</v>
      </c>
      <c r="E124">
        <v>32.802797752937501</v>
      </c>
      <c r="F124">
        <v>24.4309239578096</v>
      </c>
      <c r="G124">
        <v>0.31952963622889502</v>
      </c>
      <c r="H124">
        <v>0.61765965641604403</v>
      </c>
      <c r="I124">
        <v>5.9973699034714603</v>
      </c>
      <c r="J124">
        <v>90.927201166981305</v>
      </c>
      <c r="K124">
        <v>85.862658976555295</v>
      </c>
      <c r="L124" t="s">
        <v>19</v>
      </c>
      <c r="M124" t="s">
        <v>28</v>
      </c>
      <c r="N124">
        <v>37</v>
      </c>
      <c r="O124">
        <v>62.901031856230603</v>
      </c>
      <c r="P124">
        <v>20.5025870899455</v>
      </c>
      <c r="Q124" t="s">
        <v>29</v>
      </c>
      <c r="R124">
        <v>122</v>
      </c>
      <c r="S124">
        <v>77.787213374563294</v>
      </c>
    </row>
    <row r="125" spans="1:19" x14ac:dyDescent="0.25">
      <c r="A125">
        <v>8574</v>
      </c>
      <c r="B125">
        <v>148.630013947452</v>
      </c>
      <c r="C125">
        <v>1.10198707159825</v>
      </c>
      <c r="D125">
        <v>34.282670161317697</v>
      </c>
      <c r="E125">
        <v>33.254512023689003</v>
      </c>
      <c r="F125">
        <v>12.2531412233878</v>
      </c>
      <c r="G125">
        <v>1.98082912527567</v>
      </c>
      <c r="H125">
        <v>0.56426968656315202</v>
      </c>
      <c r="I125">
        <v>1.89938689348968</v>
      </c>
      <c r="J125">
        <v>73.211113383700294</v>
      </c>
      <c r="K125">
        <v>73.470648190684798</v>
      </c>
      <c r="L125" t="s">
        <v>22</v>
      </c>
      <c r="M125" t="s">
        <v>37</v>
      </c>
      <c r="N125">
        <v>23</v>
      </c>
      <c r="O125">
        <v>74.378285273283296</v>
      </c>
      <c r="P125">
        <v>17.881623322494399</v>
      </c>
      <c r="Q125" t="s">
        <v>29</v>
      </c>
      <c r="R125">
        <v>123</v>
      </c>
      <c r="S125">
        <v>71.7620280019039</v>
      </c>
    </row>
    <row r="126" spans="1:19" x14ac:dyDescent="0.25">
      <c r="A126">
        <v>7374</v>
      </c>
      <c r="B126">
        <v>135.566367522609</v>
      </c>
      <c r="C126">
        <v>2.0380035692992902</v>
      </c>
      <c r="D126">
        <v>62.807406550950702</v>
      </c>
      <c r="E126">
        <v>31.807969560501601</v>
      </c>
      <c r="F126">
        <v>11.7482127135789</v>
      </c>
      <c r="G126">
        <v>0.27072550127124601</v>
      </c>
      <c r="H126">
        <v>0.87681757355678103</v>
      </c>
      <c r="I126">
        <v>8.2451592391116506</v>
      </c>
      <c r="J126">
        <v>67.787707712273004</v>
      </c>
      <c r="K126">
        <v>60.157637259551201</v>
      </c>
      <c r="L126" t="s">
        <v>27</v>
      </c>
      <c r="M126" t="s">
        <v>37</v>
      </c>
      <c r="N126">
        <v>28</v>
      </c>
      <c r="O126">
        <v>56.489348653057498</v>
      </c>
      <c r="P126">
        <v>25.399307954601301</v>
      </c>
      <c r="Q126" t="s">
        <v>29</v>
      </c>
      <c r="R126">
        <v>124</v>
      </c>
      <c r="S126">
        <v>84.183772989614297</v>
      </c>
    </row>
    <row r="127" spans="1:19" x14ac:dyDescent="0.25">
      <c r="A127">
        <v>7892</v>
      </c>
      <c r="B127">
        <v>135.595122789914</v>
      </c>
      <c r="C127">
        <v>1.51065582433597</v>
      </c>
      <c r="D127">
        <v>76.022146783834799</v>
      </c>
      <c r="E127">
        <v>31.780945407611998</v>
      </c>
      <c r="F127">
        <v>25.6959024735078</v>
      </c>
      <c r="G127">
        <v>1.3788328216661401</v>
      </c>
      <c r="H127">
        <v>0.81070881928898697</v>
      </c>
      <c r="I127">
        <v>4.3289976308331202</v>
      </c>
      <c r="J127">
        <v>42.349431425584001</v>
      </c>
      <c r="K127">
        <v>49.122023804475802</v>
      </c>
      <c r="L127" t="s">
        <v>19</v>
      </c>
      <c r="M127" t="s">
        <v>35</v>
      </c>
      <c r="N127">
        <v>29</v>
      </c>
      <c r="O127">
        <v>84.762128451500701</v>
      </c>
      <c r="P127">
        <v>28.218582117427498</v>
      </c>
      <c r="Q127" t="s">
        <v>25</v>
      </c>
      <c r="R127">
        <v>125</v>
      </c>
      <c r="S127">
        <v>80.190195462397597</v>
      </c>
    </row>
    <row r="128" spans="1:19" x14ac:dyDescent="0.25">
      <c r="A128">
        <v>2678</v>
      </c>
      <c r="B128">
        <v>153.76567611951899</v>
      </c>
      <c r="C128">
        <v>2.4505953428764999</v>
      </c>
      <c r="D128">
        <v>73.67669032645</v>
      </c>
      <c r="E128">
        <v>31.3337489354025</v>
      </c>
      <c r="F128">
        <v>24.535101360676698</v>
      </c>
      <c r="G128">
        <v>0.99692466987162498</v>
      </c>
      <c r="H128">
        <v>0.87177105160484303</v>
      </c>
      <c r="I128">
        <v>6.8368074313000804</v>
      </c>
      <c r="J128">
        <v>90.559578977649196</v>
      </c>
      <c r="K128">
        <v>41.713390074631498</v>
      </c>
      <c r="L128" t="s">
        <v>27</v>
      </c>
      <c r="M128" t="s">
        <v>35</v>
      </c>
      <c r="N128">
        <v>33</v>
      </c>
      <c r="O128">
        <v>71.054556399556702</v>
      </c>
      <c r="P128">
        <v>18.242495280379998</v>
      </c>
      <c r="Q128" t="s">
        <v>21</v>
      </c>
      <c r="R128">
        <v>126</v>
      </c>
      <c r="S128">
        <v>88.739564727820905</v>
      </c>
    </row>
    <row r="129" spans="1:19" x14ac:dyDescent="0.25">
      <c r="A129">
        <v>4242</v>
      </c>
      <c r="B129">
        <v>124.679105435652</v>
      </c>
      <c r="C129">
        <v>1.46966959309268</v>
      </c>
      <c r="D129">
        <v>123.860673279609</v>
      </c>
      <c r="E129">
        <v>31.079674674595498</v>
      </c>
      <c r="F129">
        <v>21.7130231746298</v>
      </c>
      <c r="G129">
        <v>1.9080491927396801</v>
      </c>
      <c r="H129">
        <v>0.67224053709185305</v>
      </c>
      <c r="I129">
        <v>7.5285064149564898</v>
      </c>
      <c r="J129">
        <v>39.080949144630701</v>
      </c>
      <c r="K129">
        <v>86.031566023166604</v>
      </c>
      <c r="L129" t="s">
        <v>22</v>
      </c>
      <c r="M129" t="s">
        <v>33</v>
      </c>
      <c r="N129">
        <v>36</v>
      </c>
      <c r="O129">
        <v>77.279765333131806</v>
      </c>
      <c r="P129">
        <v>21.056767617472001</v>
      </c>
      <c r="Q129" t="s">
        <v>21</v>
      </c>
      <c r="R129">
        <v>127</v>
      </c>
      <c r="S129">
        <v>78.945070974981107</v>
      </c>
    </row>
    <row r="130" spans="1:19" x14ac:dyDescent="0.25">
      <c r="A130">
        <v>5636</v>
      </c>
      <c r="B130">
        <v>136.922415538819</v>
      </c>
      <c r="C130">
        <v>1.1457966165447599</v>
      </c>
      <c r="D130">
        <v>76.996000491358103</v>
      </c>
      <c r="E130">
        <v>31.539260769335399</v>
      </c>
      <c r="F130">
        <v>15.0227574762246</v>
      </c>
      <c r="G130">
        <v>0.64279953255223099</v>
      </c>
      <c r="H130">
        <v>0.472012188669727</v>
      </c>
      <c r="I130">
        <v>2.8869482990052999</v>
      </c>
      <c r="J130">
        <v>75.284179598476797</v>
      </c>
      <c r="K130">
        <v>60.218160856851398</v>
      </c>
      <c r="L130" t="s">
        <v>22</v>
      </c>
      <c r="M130" t="s">
        <v>33</v>
      </c>
      <c r="N130">
        <v>36</v>
      </c>
      <c r="O130">
        <v>73.454538866377305</v>
      </c>
      <c r="P130">
        <v>2.8810051900473699</v>
      </c>
      <c r="Q130" t="s">
        <v>25</v>
      </c>
      <c r="R130">
        <v>128</v>
      </c>
      <c r="S130">
        <v>67.781184412030299</v>
      </c>
    </row>
    <row r="131" spans="1:19" x14ac:dyDescent="0.25">
      <c r="A131">
        <v>2059</v>
      </c>
      <c r="B131">
        <v>125.75449422589899</v>
      </c>
      <c r="C131">
        <v>0.74314280369358598</v>
      </c>
      <c r="D131">
        <v>49.918908063159698</v>
      </c>
      <c r="E131">
        <v>33.191355008164898</v>
      </c>
      <c r="F131">
        <v>18.460445296629601</v>
      </c>
      <c r="G131">
        <v>1.15775628308842</v>
      </c>
      <c r="H131">
        <v>0.78292178986669902</v>
      </c>
      <c r="I131">
        <v>8.9620748645801491</v>
      </c>
      <c r="J131">
        <v>45.324536304025003</v>
      </c>
      <c r="K131">
        <v>58.430439576449501</v>
      </c>
      <c r="L131" t="s">
        <v>22</v>
      </c>
      <c r="M131" t="s">
        <v>26</v>
      </c>
      <c r="N131">
        <v>28</v>
      </c>
      <c r="O131">
        <v>68.2926800717307</v>
      </c>
      <c r="P131">
        <v>0.114785362095901</v>
      </c>
      <c r="Q131" t="s">
        <v>21</v>
      </c>
      <c r="R131">
        <v>129</v>
      </c>
      <c r="S131">
        <v>79.315542200384698</v>
      </c>
    </row>
    <row r="132" spans="1:19" x14ac:dyDescent="0.25">
      <c r="A132">
        <v>7668</v>
      </c>
      <c r="B132">
        <v>126.310075451353</v>
      </c>
      <c r="C132">
        <v>0.59843016187202702</v>
      </c>
      <c r="D132">
        <v>68.090715058218507</v>
      </c>
      <c r="E132">
        <v>31.9286549814097</v>
      </c>
      <c r="F132">
        <v>20.6862662615674</v>
      </c>
      <c r="G132">
        <v>1.06824117544895</v>
      </c>
      <c r="H132">
        <v>0.51334057896544605</v>
      </c>
      <c r="I132">
        <v>6.5460182644625702</v>
      </c>
      <c r="J132">
        <v>115.562137978135</v>
      </c>
      <c r="K132">
        <v>32.392584132668603</v>
      </c>
      <c r="L132" t="s">
        <v>22</v>
      </c>
      <c r="M132" t="s">
        <v>26</v>
      </c>
      <c r="N132">
        <v>33</v>
      </c>
      <c r="O132">
        <v>63.674003480494299</v>
      </c>
      <c r="P132">
        <v>26.745537518317001</v>
      </c>
      <c r="Q132" t="s">
        <v>29</v>
      </c>
      <c r="R132">
        <v>130</v>
      </c>
      <c r="S132">
        <v>77.664473557206193</v>
      </c>
    </row>
    <row r="133" spans="1:19" x14ac:dyDescent="0.25">
      <c r="A133">
        <v>4157</v>
      </c>
      <c r="B133">
        <v>128.81655753062699</v>
      </c>
      <c r="C133">
        <v>0.70793202849725501</v>
      </c>
      <c r="D133">
        <v>34.475073330670902</v>
      </c>
      <c r="E133">
        <v>33.616337357077299</v>
      </c>
      <c r="F133">
        <v>14.0205301571294</v>
      </c>
      <c r="G133">
        <v>1.46515959929018</v>
      </c>
      <c r="H133">
        <v>0.642676318000444</v>
      </c>
      <c r="I133">
        <v>4.8585262757633298</v>
      </c>
      <c r="J133">
        <v>22.863119383565198</v>
      </c>
      <c r="K133">
        <v>18.502336341383401</v>
      </c>
      <c r="L133" t="s">
        <v>27</v>
      </c>
      <c r="M133" t="s">
        <v>20</v>
      </c>
      <c r="N133">
        <v>29</v>
      </c>
      <c r="O133">
        <v>62.157302127904899</v>
      </c>
      <c r="P133">
        <v>-1.95917531392155</v>
      </c>
      <c r="Q133" t="s">
        <v>21</v>
      </c>
      <c r="R133">
        <v>131</v>
      </c>
      <c r="S133">
        <v>69.369833128903906</v>
      </c>
    </row>
    <row r="134" spans="1:19" x14ac:dyDescent="0.25">
      <c r="A134">
        <v>6915</v>
      </c>
      <c r="B134">
        <v>139.44267543267401</v>
      </c>
      <c r="C134">
        <v>1.63356332550574</v>
      </c>
      <c r="D134">
        <v>68.388005014064703</v>
      </c>
      <c r="E134">
        <v>33.041656498503002</v>
      </c>
      <c r="F134">
        <v>18.304856709883801</v>
      </c>
      <c r="G134">
        <v>0.32241841751435601</v>
      </c>
      <c r="H134">
        <v>0.435750433921888</v>
      </c>
      <c r="I134">
        <v>2.64101665220397</v>
      </c>
      <c r="J134">
        <v>39.972828011123603</v>
      </c>
      <c r="K134">
        <v>85.889143481965803</v>
      </c>
      <c r="L134" t="s">
        <v>34</v>
      </c>
      <c r="M134" t="s">
        <v>35</v>
      </c>
      <c r="N134">
        <v>25</v>
      </c>
      <c r="O134">
        <v>74.234932115022403</v>
      </c>
      <c r="P134">
        <v>20.618690138839899</v>
      </c>
      <c r="Q134" t="s">
        <v>24</v>
      </c>
      <c r="R134">
        <v>132</v>
      </c>
      <c r="S134">
        <v>71.2994995826012</v>
      </c>
    </row>
    <row r="135" spans="1:19" x14ac:dyDescent="0.25">
      <c r="A135">
        <v>3693</v>
      </c>
      <c r="B135">
        <v>125.42502756672999</v>
      </c>
      <c r="C135">
        <v>1.7543625116149599</v>
      </c>
      <c r="D135">
        <v>53.338878859984803</v>
      </c>
      <c r="E135">
        <v>30.637794943874301</v>
      </c>
      <c r="F135">
        <v>25.261651690883301</v>
      </c>
      <c r="G135">
        <v>0.54882043404203795</v>
      </c>
      <c r="H135">
        <v>0.85391962133263999</v>
      </c>
      <c r="I135">
        <v>9.4807084411108598</v>
      </c>
      <c r="J135">
        <v>44.231060638744701</v>
      </c>
      <c r="K135">
        <v>38.530144413348999</v>
      </c>
      <c r="L135" t="s">
        <v>34</v>
      </c>
      <c r="M135" t="s">
        <v>20</v>
      </c>
      <c r="N135">
        <v>20</v>
      </c>
      <c r="O135">
        <v>73.8159369203903</v>
      </c>
      <c r="P135">
        <v>16.610758603293</v>
      </c>
      <c r="Q135" t="s">
        <v>21</v>
      </c>
      <c r="R135">
        <v>133</v>
      </c>
      <c r="S135">
        <v>75.333159005451407</v>
      </c>
    </row>
    <row r="136" spans="1:19" x14ac:dyDescent="0.25">
      <c r="A136">
        <v>4627</v>
      </c>
      <c r="B136">
        <v>160.11512251146999</v>
      </c>
      <c r="C136">
        <v>0.70940464898393296</v>
      </c>
      <c r="D136">
        <v>88.307805511203199</v>
      </c>
      <c r="E136">
        <v>33.785970701065999</v>
      </c>
      <c r="F136">
        <v>29.136526821446001</v>
      </c>
      <c r="G136">
        <v>0.58621667616712902</v>
      </c>
      <c r="H136">
        <v>0.46926735257612501</v>
      </c>
      <c r="I136">
        <v>7.7956138371846198</v>
      </c>
      <c r="J136">
        <v>61.406782576781602</v>
      </c>
      <c r="K136">
        <v>48.194176749334403</v>
      </c>
      <c r="L136" t="s">
        <v>27</v>
      </c>
      <c r="M136" t="s">
        <v>37</v>
      </c>
      <c r="N136">
        <v>19</v>
      </c>
      <c r="O136">
        <v>72.467587870983607</v>
      </c>
      <c r="P136">
        <v>27.8508212769453</v>
      </c>
      <c r="Q136" t="s">
        <v>24</v>
      </c>
      <c r="R136">
        <v>134</v>
      </c>
      <c r="S136">
        <v>92.659922098602195</v>
      </c>
    </row>
    <row r="137" spans="1:19" x14ac:dyDescent="0.25">
      <c r="A137">
        <v>6450</v>
      </c>
      <c r="B137">
        <v>117.107853955609</v>
      </c>
      <c r="C137">
        <v>1.9475191570380499</v>
      </c>
      <c r="D137">
        <v>59.009194508089301</v>
      </c>
      <c r="E137">
        <v>33.972958374709997</v>
      </c>
      <c r="F137">
        <v>19.902826236707199</v>
      </c>
      <c r="G137">
        <v>1.52867135871504</v>
      </c>
      <c r="H137">
        <v>0.89670362887711996</v>
      </c>
      <c r="I137">
        <v>2.8722210645992399</v>
      </c>
      <c r="J137">
        <v>43.273024187005298</v>
      </c>
      <c r="K137">
        <v>23.597995768928001</v>
      </c>
      <c r="L137" t="s">
        <v>19</v>
      </c>
      <c r="M137" t="s">
        <v>20</v>
      </c>
      <c r="N137">
        <v>23</v>
      </c>
      <c r="O137">
        <v>67.057870401229806</v>
      </c>
      <c r="P137">
        <v>17.718597885552899</v>
      </c>
      <c r="Q137" t="s">
        <v>31</v>
      </c>
      <c r="R137">
        <v>135</v>
      </c>
      <c r="S137">
        <v>63.4235785342916</v>
      </c>
    </row>
    <row r="138" spans="1:19" x14ac:dyDescent="0.25">
      <c r="A138">
        <v>2663</v>
      </c>
      <c r="B138">
        <v>131.262567116772</v>
      </c>
      <c r="C138">
        <v>1.25846947415828</v>
      </c>
      <c r="D138">
        <v>67.664681684095001</v>
      </c>
      <c r="E138">
        <v>31.8073647901981</v>
      </c>
      <c r="F138">
        <v>25.782441771580402</v>
      </c>
      <c r="G138">
        <v>0.540449653388132</v>
      </c>
      <c r="H138">
        <v>0.87532683124385602</v>
      </c>
      <c r="I138">
        <v>4.0393969725180199</v>
      </c>
      <c r="J138">
        <v>69.134909026878503</v>
      </c>
      <c r="K138">
        <v>77.769324743196904</v>
      </c>
      <c r="L138" t="s">
        <v>27</v>
      </c>
      <c r="M138" t="s">
        <v>37</v>
      </c>
      <c r="N138">
        <v>33</v>
      </c>
      <c r="O138">
        <v>71.305887320844505</v>
      </c>
      <c r="P138">
        <v>32.418029302540901</v>
      </c>
      <c r="Q138" t="s">
        <v>24</v>
      </c>
      <c r="R138">
        <v>136</v>
      </c>
      <c r="S138">
        <v>69.926804012731594</v>
      </c>
    </row>
    <row r="139" spans="1:19" x14ac:dyDescent="0.25">
      <c r="A139">
        <v>6592</v>
      </c>
      <c r="B139">
        <v>126.205378834516</v>
      </c>
      <c r="C139">
        <v>1.5733965059927699</v>
      </c>
      <c r="D139">
        <v>57.2888431719119</v>
      </c>
      <c r="E139">
        <v>33.504229851473902</v>
      </c>
      <c r="F139">
        <v>12.4296996470626</v>
      </c>
      <c r="G139">
        <v>1.23228517500375</v>
      </c>
      <c r="H139">
        <v>0.65552052044158504</v>
      </c>
      <c r="I139">
        <v>8.2870683227926598</v>
      </c>
      <c r="J139">
        <v>107.246552325853</v>
      </c>
      <c r="K139">
        <v>17.072387464194701</v>
      </c>
      <c r="L139" t="s">
        <v>19</v>
      </c>
      <c r="M139" t="s">
        <v>36</v>
      </c>
      <c r="N139">
        <v>37</v>
      </c>
      <c r="O139">
        <v>64.617172813274195</v>
      </c>
      <c r="P139">
        <v>16.368812609334299</v>
      </c>
      <c r="Q139" t="s">
        <v>24</v>
      </c>
      <c r="R139">
        <v>137</v>
      </c>
      <c r="S139">
        <v>73.6499984486816</v>
      </c>
    </row>
    <row r="140" spans="1:19" x14ac:dyDescent="0.25">
      <c r="A140">
        <v>8392</v>
      </c>
      <c r="B140">
        <v>163.939557687074</v>
      </c>
      <c r="C140">
        <v>2.3061103141277099</v>
      </c>
      <c r="D140">
        <v>104.77702703706601</v>
      </c>
      <c r="E140">
        <v>31.9722021151089</v>
      </c>
      <c r="F140">
        <v>25.297256205568001</v>
      </c>
      <c r="G140">
        <v>0.58743887690171603</v>
      </c>
      <c r="H140">
        <v>0.80940251236719396</v>
      </c>
      <c r="I140">
        <v>7.2610989689380503</v>
      </c>
      <c r="J140">
        <v>91.206342140917002</v>
      </c>
      <c r="K140">
        <v>77.549307157432196</v>
      </c>
      <c r="L140" t="s">
        <v>19</v>
      </c>
      <c r="M140" t="s">
        <v>35</v>
      </c>
      <c r="N140">
        <v>32</v>
      </c>
      <c r="O140">
        <v>62.553418581024303</v>
      </c>
      <c r="P140">
        <v>27.170791215471201</v>
      </c>
      <c r="Q140" t="s">
        <v>29</v>
      </c>
      <c r="R140">
        <v>138</v>
      </c>
      <c r="S140">
        <v>94.005401767639697</v>
      </c>
    </row>
    <row r="141" spans="1:19" x14ac:dyDescent="0.25">
      <c r="A141">
        <v>2306</v>
      </c>
      <c r="B141">
        <v>138.931095530231</v>
      </c>
      <c r="C141">
        <v>1.94841965793276</v>
      </c>
      <c r="D141">
        <v>63.575144677641703</v>
      </c>
      <c r="E141">
        <v>33.117204452098001</v>
      </c>
      <c r="F141">
        <v>17.980257926362501</v>
      </c>
      <c r="G141">
        <v>1.7509249101511599</v>
      </c>
      <c r="H141">
        <v>0.740694790599984</v>
      </c>
      <c r="I141">
        <v>7.8920586344415096</v>
      </c>
      <c r="J141">
        <v>77.996198053511094</v>
      </c>
      <c r="K141">
        <v>25.521375959097501</v>
      </c>
      <c r="L141" t="s">
        <v>34</v>
      </c>
      <c r="M141" t="s">
        <v>33</v>
      </c>
      <c r="N141">
        <v>31</v>
      </c>
      <c r="O141">
        <v>65.7814018748645</v>
      </c>
      <c r="P141">
        <v>6.0141085639683602</v>
      </c>
      <c r="Q141" t="s">
        <v>29</v>
      </c>
      <c r="R141">
        <v>139</v>
      </c>
      <c r="S141">
        <v>81.879738669232196</v>
      </c>
    </row>
    <row r="142" spans="1:19" x14ac:dyDescent="0.25">
      <c r="A142">
        <v>7776</v>
      </c>
      <c r="B142">
        <v>155.63689078937199</v>
      </c>
      <c r="C142">
        <v>1.3657346760470801</v>
      </c>
      <c r="D142">
        <v>106.651140869584</v>
      </c>
      <c r="E142">
        <v>31.482601911654001</v>
      </c>
      <c r="F142">
        <v>23.536728083539799</v>
      </c>
      <c r="G142">
        <v>1.8959338180813401</v>
      </c>
      <c r="H142">
        <v>0.84169160328575898</v>
      </c>
      <c r="I142">
        <v>4.9708099199163902</v>
      </c>
      <c r="J142">
        <v>28.900317798267899</v>
      </c>
      <c r="K142">
        <v>81.492308447336399</v>
      </c>
      <c r="L142" t="s">
        <v>22</v>
      </c>
      <c r="M142" t="s">
        <v>20</v>
      </c>
      <c r="N142">
        <v>19</v>
      </c>
      <c r="O142">
        <v>66.133357381954298</v>
      </c>
      <c r="P142">
        <v>-0.41630122469766201</v>
      </c>
      <c r="Q142" t="s">
        <v>29</v>
      </c>
      <c r="R142">
        <v>140</v>
      </c>
      <c r="S142">
        <v>77.290033211165095</v>
      </c>
    </row>
    <row r="143" spans="1:19" x14ac:dyDescent="0.25">
      <c r="A143">
        <v>6864</v>
      </c>
      <c r="B143">
        <v>105.28879253926</v>
      </c>
      <c r="C143">
        <v>1.05440388729235</v>
      </c>
      <c r="D143">
        <v>86.283035242365301</v>
      </c>
      <c r="E143">
        <v>30.848272256958499</v>
      </c>
      <c r="F143">
        <v>20.761237908801402</v>
      </c>
      <c r="G143">
        <v>1.1332873548960301</v>
      </c>
      <c r="H143">
        <v>0.63749280543225095</v>
      </c>
      <c r="I143">
        <v>7.4482863637795003</v>
      </c>
      <c r="J143">
        <v>89.399210838927502</v>
      </c>
      <c r="K143">
        <v>69.732947800211804</v>
      </c>
      <c r="L143" t="s">
        <v>34</v>
      </c>
      <c r="M143" t="s">
        <v>35</v>
      </c>
      <c r="N143">
        <v>37</v>
      </c>
      <c r="O143">
        <v>79.713621049459803</v>
      </c>
      <c r="P143">
        <v>17.774302717850901</v>
      </c>
      <c r="Q143" t="s">
        <v>24</v>
      </c>
      <c r="R143">
        <v>141</v>
      </c>
      <c r="S143">
        <v>66.337739209891097</v>
      </c>
    </row>
    <row r="144" spans="1:19" x14ac:dyDescent="0.25">
      <c r="A144">
        <v>8526</v>
      </c>
      <c r="B144">
        <v>140.341005317385</v>
      </c>
      <c r="C144">
        <v>0.42409229933534698</v>
      </c>
      <c r="D144">
        <v>79.641334546707697</v>
      </c>
      <c r="E144">
        <v>32.540619372464398</v>
      </c>
      <c r="F144">
        <v>28.602070048919099</v>
      </c>
      <c r="G144">
        <v>0.83415599157651998</v>
      </c>
      <c r="H144">
        <v>0.83219466633439199</v>
      </c>
      <c r="I144">
        <v>4.4784435057752203</v>
      </c>
      <c r="J144">
        <v>36.6414284310939</v>
      </c>
      <c r="K144">
        <v>27.350269688047799</v>
      </c>
      <c r="L144" t="s">
        <v>34</v>
      </c>
      <c r="M144" t="s">
        <v>36</v>
      </c>
      <c r="N144">
        <v>35</v>
      </c>
      <c r="O144">
        <v>57.0797596167695</v>
      </c>
      <c r="P144">
        <v>6.7952290379504303</v>
      </c>
      <c r="Q144" t="s">
        <v>25</v>
      </c>
      <c r="R144">
        <v>142</v>
      </c>
      <c r="S144">
        <v>74.818465955709698</v>
      </c>
    </row>
    <row r="145" spans="1:19" x14ac:dyDescent="0.25">
      <c r="A145">
        <v>9901</v>
      </c>
      <c r="B145">
        <v>152.79261591246799</v>
      </c>
      <c r="C145">
        <v>1.14042334037879</v>
      </c>
      <c r="D145">
        <v>77.374662946350398</v>
      </c>
      <c r="E145">
        <v>32.851525264470197</v>
      </c>
      <c r="F145">
        <v>17.627821758300399</v>
      </c>
      <c r="G145">
        <v>0.62130399503149802</v>
      </c>
      <c r="H145">
        <v>0.654351249385831</v>
      </c>
      <c r="I145">
        <v>2.90136625244376</v>
      </c>
      <c r="J145">
        <v>98.636738596169707</v>
      </c>
      <c r="K145">
        <v>57.4363494644601</v>
      </c>
      <c r="L145" t="s">
        <v>27</v>
      </c>
      <c r="M145" t="s">
        <v>28</v>
      </c>
      <c r="N145">
        <v>31</v>
      </c>
      <c r="O145">
        <v>67.735752728105993</v>
      </c>
      <c r="P145">
        <v>17.5205880191678</v>
      </c>
      <c r="Q145" t="s">
        <v>29</v>
      </c>
      <c r="R145">
        <v>143</v>
      </c>
      <c r="S145">
        <v>81.548191578006296</v>
      </c>
    </row>
    <row r="146" spans="1:19" x14ac:dyDescent="0.25">
      <c r="A146">
        <v>6575</v>
      </c>
      <c r="B146">
        <v>136.64567978550801</v>
      </c>
      <c r="C146">
        <v>1.3944348805861499</v>
      </c>
      <c r="D146">
        <v>77.875945964324998</v>
      </c>
      <c r="E146">
        <v>32.522784367662403</v>
      </c>
      <c r="F146">
        <v>25.138031487809101</v>
      </c>
      <c r="G146">
        <v>0.28960580274147801</v>
      </c>
      <c r="H146">
        <v>0.917531183313536</v>
      </c>
      <c r="I146">
        <v>6.6940933135722398</v>
      </c>
      <c r="J146">
        <v>45.005675851015297</v>
      </c>
      <c r="K146">
        <v>38.449223576641401</v>
      </c>
      <c r="L146" t="s">
        <v>27</v>
      </c>
      <c r="M146" t="s">
        <v>33</v>
      </c>
      <c r="N146">
        <v>35</v>
      </c>
      <c r="O146">
        <v>73.058771061936795</v>
      </c>
      <c r="P146">
        <v>14.6944353263053</v>
      </c>
      <c r="Q146" t="s">
        <v>29</v>
      </c>
      <c r="R146">
        <v>144</v>
      </c>
      <c r="S146">
        <v>76.969666490954395</v>
      </c>
    </row>
    <row r="147" spans="1:19" x14ac:dyDescent="0.25">
      <c r="A147">
        <v>6530</v>
      </c>
      <c r="B147">
        <v>156.309607501307</v>
      </c>
      <c r="C147">
        <v>1.0064102364244001</v>
      </c>
      <c r="D147">
        <v>31.446548413087701</v>
      </c>
      <c r="E147">
        <v>31.5791633301329</v>
      </c>
      <c r="F147">
        <v>20.602462683517299</v>
      </c>
      <c r="G147">
        <v>0.68330013715549098</v>
      </c>
      <c r="H147">
        <v>0.66750465545383098</v>
      </c>
      <c r="I147">
        <v>9.7841253303891396</v>
      </c>
      <c r="J147">
        <v>61.704872832089997</v>
      </c>
      <c r="K147">
        <v>28.367482418368699</v>
      </c>
      <c r="L147" t="s">
        <v>19</v>
      </c>
      <c r="M147" t="s">
        <v>32</v>
      </c>
      <c r="N147">
        <v>19</v>
      </c>
      <c r="O147">
        <v>83.884276062674999</v>
      </c>
      <c r="P147">
        <v>22.8411462396428</v>
      </c>
      <c r="Q147" t="s">
        <v>24</v>
      </c>
      <c r="R147">
        <v>145</v>
      </c>
      <c r="S147">
        <v>101.16652486731699</v>
      </c>
    </row>
    <row r="148" spans="1:19" x14ac:dyDescent="0.25">
      <c r="A148">
        <v>5413</v>
      </c>
      <c r="B148">
        <v>124.654230997992</v>
      </c>
      <c r="C148">
        <v>1.43437151645384</v>
      </c>
      <c r="D148">
        <v>64.422332116984805</v>
      </c>
      <c r="E148">
        <v>32.5201211254426</v>
      </c>
      <c r="F148">
        <v>21.208472609951599</v>
      </c>
      <c r="G148">
        <v>1.3776244039015699</v>
      </c>
      <c r="H148">
        <v>0.65444059956355105</v>
      </c>
      <c r="I148">
        <v>3.7954087425579601</v>
      </c>
      <c r="J148">
        <v>55.0470202317927</v>
      </c>
      <c r="K148">
        <v>79.438664955833104</v>
      </c>
      <c r="L148" t="s">
        <v>27</v>
      </c>
      <c r="M148" t="s">
        <v>23</v>
      </c>
      <c r="N148">
        <v>18</v>
      </c>
      <c r="O148">
        <v>63.140526191371599</v>
      </c>
      <c r="P148">
        <v>9.4850082585882909</v>
      </c>
      <c r="Q148" t="s">
        <v>31</v>
      </c>
      <c r="R148">
        <v>146</v>
      </c>
      <c r="S148">
        <v>66.174471291191793</v>
      </c>
    </row>
    <row r="149" spans="1:19" x14ac:dyDescent="0.25">
      <c r="A149">
        <v>4748</v>
      </c>
      <c r="B149">
        <v>163.186948803711</v>
      </c>
      <c r="C149">
        <v>1.5384259414793799</v>
      </c>
      <c r="D149">
        <v>86.903159423686404</v>
      </c>
      <c r="E149">
        <v>33.3231537030968</v>
      </c>
      <c r="F149">
        <v>21.080730534203902</v>
      </c>
      <c r="G149">
        <v>1.1605104763565699</v>
      </c>
      <c r="H149">
        <v>0.83178952385993199</v>
      </c>
      <c r="I149">
        <v>5.1487263299128498</v>
      </c>
      <c r="J149">
        <v>105.881391467485</v>
      </c>
      <c r="K149">
        <v>45.264207488042203</v>
      </c>
      <c r="L149" t="s">
        <v>19</v>
      </c>
      <c r="M149" t="s">
        <v>35</v>
      </c>
      <c r="N149">
        <v>37</v>
      </c>
      <c r="O149">
        <v>59.072658342030003</v>
      </c>
      <c r="P149">
        <v>21.3972317475944</v>
      </c>
      <c r="Q149" t="s">
        <v>31</v>
      </c>
      <c r="R149">
        <v>147</v>
      </c>
      <c r="S149">
        <v>84.184692882918796</v>
      </c>
    </row>
    <row r="150" spans="1:19" x14ac:dyDescent="0.25">
      <c r="A150">
        <v>1663</v>
      </c>
      <c r="B150">
        <v>180.977962472385</v>
      </c>
      <c r="C150">
        <v>1.38757200909596</v>
      </c>
      <c r="D150">
        <v>69.022056330517799</v>
      </c>
      <c r="E150">
        <v>32.9461283638529</v>
      </c>
      <c r="F150">
        <v>17.7716344775294</v>
      </c>
      <c r="G150">
        <v>1.8992743009056601</v>
      </c>
      <c r="H150">
        <v>0.85186773046845998</v>
      </c>
      <c r="I150">
        <v>7.0660123396286796</v>
      </c>
      <c r="J150">
        <v>32.654445871340798</v>
      </c>
      <c r="K150">
        <v>44.890778577403601</v>
      </c>
      <c r="L150" t="s">
        <v>19</v>
      </c>
      <c r="M150" t="s">
        <v>30</v>
      </c>
      <c r="N150">
        <v>19</v>
      </c>
      <c r="O150">
        <v>73.783989264307394</v>
      </c>
      <c r="P150">
        <v>24.911594696019499</v>
      </c>
      <c r="Q150" t="s">
        <v>21</v>
      </c>
      <c r="R150">
        <v>148</v>
      </c>
      <c r="S150">
        <v>99.400416542312897</v>
      </c>
    </row>
    <row r="151" spans="1:19" x14ac:dyDescent="0.25">
      <c r="A151">
        <v>2998</v>
      </c>
      <c r="B151">
        <v>127.74322879120599</v>
      </c>
      <c r="C151">
        <v>1.1749987095882699</v>
      </c>
      <c r="D151">
        <v>41.896203063928397</v>
      </c>
      <c r="E151">
        <v>33.219001236719002</v>
      </c>
      <c r="F151">
        <v>21.929505170466602</v>
      </c>
      <c r="G151">
        <v>0.91329907248506104</v>
      </c>
      <c r="H151">
        <v>0.70496901287664304</v>
      </c>
      <c r="I151">
        <v>5.8735565391023901</v>
      </c>
      <c r="J151">
        <v>76.564488238478802</v>
      </c>
      <c r="K151">
        <v>27.741500610496502</v>
      </c>
      <c r="L151" t="s">
        <v>22</v>
      </c>
      <c r="M151" t="s">
        <v>35</v>
      </c>
      <c r="N151">
        <v>26</v>
      </c>
      <c r="O151">
        <v>69.318864083780994</v>
      </c>
      <c r="P151">
        <v>16.354359994238401</v>
      </c>
      <c r="Q151" t="s">
        <v>31</v>
      </c>
      <c r="R151">
        <v>149</v>
      </c>
      <c r="S151">
        <v>69.382761044091794</v>
      </c>
    </row>
    <row r="152" spans="1:19" x14ac:dyDescent="0.25">
      <c r="A152">
        <v>8994</v>
      </c>
      <c r="B152">
        <v>126.08994957198399</v>
      </c>
      <c r="C152">
        <v>1.5843273359833601</v>
      </c>
      <c r="D152">
        <v>68.951910988450607</v>
      </c>
      <c r="E152">
        <v>32.1958617594549</v>
      </c>
      <c r="F152">
        <v>21.686758889390799</v>
      </c>
      <c r="G152">
        <v>1.4489540161911101</v>
      </c>
      <c r="H152">
        <v>0.49888879742229097</v>
      </c>
      <c r="I152">
        <v>8.5908501613814394</v>
      </c>
      <c r="J152">
        <v>34.206160944306198</v>
      </c>
      <c r="K152">
        <v>43.729925706433399</v>
      </c>
      <c r="L152" t="s">
        <v>22</v>
      </c>
      <c r="M152" t="s">
        <v>37</v>
      </c>
      <c r="N152">
        <v>26</v>
      </c>
      <c r="O152">
        <v>66.233615334933702</v>
      </c>
      <c r="P152">
        <v>21.8258486088918</v>
      </c>
      <c r="Q152" t="s">
        <v>29</v>
      </c>
      <c r="R152">
        <v>150</v>
      </c>
      <c r="S152">
        <v>78.233034019437994</v>
      </c>
    </row>
    <row r="153" spans="1:19" x14ac:dyDescent="0.25">
      <c r="A153">
        <v>2495</v>
      </c>
      <c r="B153">
        <v>164.067689542354</v>
      </c>
      <c r="C153">
        <v>1.7209703247846999</v>
      </c>
      <c r="D153">
        <v>104.082110325109</v>
      </c>
      <c r="E153">
        <v>34.406061497659302</v>
      </c>
      <c r="F153">
        <v>23.2062012420336</v>
      </c>
      <c r="G153">
        <v>1.08078094545521</v>
      </c>
      <c r="H153">
        <v>0.65726702702666795</v>
      </c>
      <c r="I153">
        <v>7.8556843582256404</v>
      </c>
      <c r="J153">
        <v>90.479583613218594</v>
      </c>
      <c r="K153">
        <v>80.371263474663706</v>
      </c>
      <c r="L153" t="s">
        <v>34</v>
      </c>
      <c r="M153" t="s">
        <v>32</v>
      </c>
      <c r="N153">
        <v>33</v>
      </c>
      <c r="O153">
        <v>71.501023150384995</v>
      </c>
      <c r="P153">
        <v>10.1714487603015</v>
      </c>
      <c r="Q153" t="s">
        <v>25</v>
      </c>
      <c r="R153">
        <v>151</v>
      </c>
      <c r="S153">
        <v>94.255230081860802</v>
      </c>
    </row>
    <row r="154" spans="1:19" x14ac:dyDescent="0.25">
      <c r="A154">
        <v>4304</v>
      </c>
      <c r="B154">
        <v>166.59144291461399</v>
      </c>
      <c r="C154">
        <v>0.95480046127857698</v>
      </c>
      <c r="D154">
        <v>94.937834310694299</v>
      </c>
      <c r="E154">
        <v>31.588591996134198</v>
      </c>
      <c r="F154">
        <v>22.422525728464301</v>
      </c>
      <c r="G154">
        <v>1.12263718866358</v>
      </c>
      <c r="H154">
        <v>0.93243987660032301</v>
      </c>
      <c r="I154">
        <v>1.52467483476121</v>
      </c>
      <c r="J154">
        <v>110.507812779448</v>
      </c>
      <c r="K154">
        <v>42.234653286722597</v>
      </c>
      <c r="L154" t="s">
        <v>22</v>
      </c>
      <c r="M154" t="s">
        <v>30</v>
      </c>
      <c r="N154">
        <v>28</v>
      </c>
      <c r="O154">
        <v>74.894753656479907</v>
      </c>
      <c r="P154">
        <v>14.938756724227501</v>
      </c>
      <c r="Q154" t="s">
        <v>21</v>
      </c>
      <c r="R154">
        <v>152</v>
      </c>
      <c r="S154">
        <v>81.204090585234198</v>
      </c>
    </row>
    <row r="155" spans="1:19" x14ac:dyDescent="0.25">
      <c r="A155">
        <v>4763</v>
      </c>
      <c r="B155">
        <v>124.54279945693401</v>
      </c>
      <c r="C155">
        <v>2.20546618987313</v>
      </c>
      <c r="D155">
        <v>68.7599198126793</v>
      </c>
      <c r="E155">
        <v>33.585072356504</v>
      </c>
      <c r="F155">
        <v>25.989972748061099</v>
      </c>
      <c r="G155">
        <v>0.68199376628741104</v>
      </c>
      <c r="H155">
        <v>0.81414240617155098</v>
      </c>
      <c r="I155">
        <v>9.9857911053139592</v>
      </c>
      <c r="J155">
        <v>63.460765386725299</v>
      </c>
      <c r="K155">
        <v>86.370267187484103</v>
      </c>
      <c r="L155" t="s">
        <v>19</v>
      </c>
      <c r="M155" t="s">
        <v>20</v>
      </c>
      <c r="N155">
        <v>23</v>
      </c>
      <c r="O155">
        <v>73.896319757110106</v>
      </c>
      <c r="P155">
        <v>7.2634365739160298</v>
      </c>
      <c r="Q155" t="s">
        <v>25</v>
      </c>
      <c r="R155">
        <v>153</v>
      </c>
      <c r="S155">
        <v>76.155876700983399</v>
      </c>
    </row>
    <row r="156" spans="1:19" x14ac:dyDescent="0.25">
      <c r="A156">
        <v>6232</v>
      </c>
      <c r="B156">
        <v>126.59626365808199</v>
      </c>
      <c r="C156">
        <v>1.4507059338578601</v>
      </c>
      <c r="D156">
        <v>89.028985541161703</v>
      </c>
      <c r="E156">
        <v>34.418269311551903</v>
      </c>
      <c r="F156">
        <v>26.6175430802368</v>
      </c>
      <c r="G156">
        <v>1.01891139831559</v>
      </c>
      <c r="H156">
        <v>0.84613943213352205</v>
      </c>
      <c r="I156">
        <v>7.7716220834751999</v>
      </c>
      <c r="J156">
        <v>68.809226026497498</v>
      </c>
      <c r="K156">
        <v>85.973167440628998</v>
      </c>
      <c r="L156" t="s">
        <v>27</v>
      </c>
      <c r="M156" t="s">
        <v>36</v>
      </c>
      <c r="N156">
        <v>29</v>
      </c>
      <c r="O156">
        <v>70.413813313765004</v>
      </c>
      <c r="P156">
        <v>36.710180248382599</v>
      </c>
      <c r="Q156" t="s">
        <v>25</v>
      </c>
      <c r="R156">
        <v>154</v>
      </c>
      <c r="S156">
        <v>75.142841482134202</v>
      </c>
    </row>
    <row r="157" spans="1:19" x14ac:dyDescent="0.25">
      <c r="A157">
        <v>2853</v>
      </c>
      <c r="B157">
        <v>129.36430782278899</v>
      </c>
      <c r="C157">
        <v>1.50942481147242</v>
      </c>
      <c r="D157">
        <v>62.6698595926389</v>
      </c>
      <c r="E157">
        <v>33.577089711298598</v>
      </c>
      <c r="F157">
        <v>16.746883390860901</v>
      </c>
      <c r="G157">
        <v>1.0474129946228701</v>
      </c>
      <c r="H157">
        <v>0.41805402435058198</v>
      </c>
      <c r="I157">
        <v>8.77512984664701</v>
      </c>
      <c r="J157">
        <v>112.742283648276</v>
      </c>
      <c r="K157">
        <v>25.8673994480509</v>
      </c>
      <c r="L157" t="s">
        <v>22</v>
      </c>
      <c r="M157" t="s">
        <v>30</v>
      </c>
      <c r="N157">
        <v>20</v>
      </c>
      <c r="O157">
        <v>78.534443778273499</v>
      </c>
      <c r="P157">
        <v>27.830351031284099</v>
      </c>
      <c r="Q157" t="s">
        <v>29</v>
      </c>
      <c r="R157">
        <v>155</v>
      </c>
      <c r="S157">
        <v>82.5698608746617</v>
      </c>
    </row>
    <row r="158" spans="1:19" x14ac:dyDescent="0.25">
      <c r="A158">
        <v>7585</v>
      </c>
      <c r="B158">
        <v>108.110989779314</v>
      </c>
      <c r="C158">
        <v>1.85410721162827</v>
      </c>
      <c r="D158">
        <v>35.9225682634656</v>
      </c>
      <c r="E158">
        <v>32.756970927522197</v>
      </c>
      <c r="F158">
        <v>26.343862502953801</v>
      </c>
      <c r="G158">
        <v>1.47195653914808</v>
      </c>
      <c r="H158">
        <v>0.65732270444878704</v>
      </c>
      <c r="I158">
        <v>6.86077940885811</v>
      </c>
      <c r="J158">
        <v>72.099138864935696</v>
      </c>
      <c r="K158">
        <v>28.2983440141983</v>
      </c>
      <c r="L158" t="s">
        <v>22</v>
      </c>
      <c r="M158" t="s">
        <v>20</v>
      </c>
      <c r="N158">
        <v>29</v>
      </c>
      <c r="O158">
        <v>69.579161882114207</v>
      </c>
      <c r="P158">
        <v>31.280954220482901</v>
      </c>
      <c r="Q158" t="s">
        <v>24</v>
      </c>
      <c r="R158">
        <v>156</v>
      </c>
      <c r="S158">
        <v>69.985903710033597</v>
      </c>
    </row>
    <row r="159" spans="1:19" x14ac:dyDescent="0.25">
      <c r="A159">
        <v>2291</v>
      </c>
      <c r="B159">
        <v>116.626961070316</v>
      </c>
      <c r="C159">
        <v>1.6166080656317501</v>
      </c>
      <c r="D159">
        <v>51.510680237408899</v>
      </c>
      <c r="E159">
        <v>32.366043544004398</v>
      </c>
      <c r="F159">
        <v>16.068317864450702</v>
      </c>
      <c r="G159">
        <v>1.893151998535</v>
      </c>
      <c r="H159">
        <v>0.75564162351165498</v>
      </c>
      <c r="I159">
        <v>8.7065661524208604</v>
      </c>
      <c r="J159">
        <v>68.759843804956006</v>
      </c>
      <c r="K159">
        <v>79.700555274891599</v>
      </c>
      <c r="L159" t="s">
        <v>22</v>
      </c>
      <c r="M159" t="s">
        <v>20</v>
      </c>
      <c r="N159">
        <v>18</v>
      </c>
      <c r="O159">
        <v>68.344967079765098</v>
      </c>
      <c r="P159">
        <v>27.715511524135501</v>
      </c>
      <c r="Q159" t="s">
        <v>24</v>
      </c>
      <c r="R159">
        <v>157</v>
      </c>
      <c r="S159">
        <v>73.980630333343299</v>
      </c>
    </row>
    <row r="160" spans="1:19" x14ac:dyDescent="0.25">
      <c r="A160">
        <v>4581</v>
      </c>
      <c r="B160">
        <v>114.917184664958</v>
      </c>
      <c r="C160">
        <v>1.9765683169566199</v>
      </c>
      <c r="D160">
        <v>101.257775370163</v>
      </c>
      <c r="E160">
        <v>34.243305181255501</v>
      </c>
      <c r="F160">
        <v>24.939279440688601</v>
      </c>
      <c r="G160">
        <v>0.79277829946850698</v>
      </c>
      <c r="H160">
        <v>0.85651797599544099</v>
      </c>
      <c r="I160">
        <v>2.0114467743583799</v>
      </c>
      <c r="J160">
        <v>77.832910270430403</v>
      </c>
      <c r="K160">
        <v>44.457068919353901</v>
      </c>
      <c r="L160" t="s">
        <v>22</v>
      </c>
      <c r="M160" t="s">
        <v>20</v>
      </c>
      <c r="N160">
        <v>26</v>
      </c>
      <c r="O160">
        <v>73.711133616745002</v>
      </c>
      <c r="P160">
        <v>12.694726074940901</v>
      </c>
      <c r="Q160" t="s">
        <v>24</v>
      </c>
      <c r="R160">
        <v>158</v>
      </c>
      <c r="S160">
        <v>50.641237080752298</v>
      </c>
    </row>
    <row r="161" spans="1:19" x14ac:dyDescent="0.25">
      <c r="A161">
        <v>8554</v>
      </c>
      <c r="B161">
        <v>119.644048697917</v>
      </c>
      <c r="C161">
        <v>1.6435620826009101</v>
      </c>
      <c r="D161">
        <v>64.520138363413906</v>
      </c>
      <c r="E161">
        <v>31.292430089685901</v>
      </c>
      <c r="F161">
        <v>25.098693923514301</v>
      </c>
      <c r="G161">
        <v>0.27596084344633698</v>
      </c>
      <c r="H161">
        <v>0.42710050947052403</v>
      </c>
      <c r="I161">
        <v>4.1296405200338402</v>
      </c>
      <c r="J161">
        <v>88.922973636295197</v>
      </c>
      <c r="K161">
        <v>15.3280486712257</v>
      </c>
      <c r="L161" t="s">
        <v>19</v>
      </c>
      <c r="M161" t="s">
        <v>37</v>
      </c>
      <c r="N161">
        <v>37</v>
      </c>
      <c r="O161">
        <v>57.915763016448501</v>
      </c>
      <c r="P161">
        <v>5.7238293485931901</v>
      </c>
      <c r="Q161" t="s">
        <v>31</v>
      </c>
      <c r="R161">
        <v>159</v>
      </c>
      <c r="S161">
        <v>60.629762124045001</v>
      </c>
    </row>
    <row r="162" spans="1:19" x14ac:dyDescent="0.25">
      <c r="A162">
        <v>8280</v>
      </c>
      <c r="B162">
        <v>134.306302252264</v>
      </c>
      <c r="C162">
        <v>1.19378131267978</v>
      </c>
      <c r="D162">
        <v>65.132320412499595</v>
      </c>
      <c r="E162">
        <v>31.8358508875444</v>
      </c>
      <c r="F162">
        <v>12.443415541687401</v>
      </c>
      <c r="G162">
        <v>1.0933312259011501</v>
      </c>
      <c r="H162">
        <v>0.86884138710303005</v>
      </c>
      <c r="I162">
        <v>8.8877884924404302</v>
      </c>
      <c r="J162">
        <v>30.6883375087031</v>
      </c>
      <c r="K162">
        <v>35.5403864779028</v>
      </c>
      <c r="L162" t="s">
        <v>19</v>
      </c>
      <c r="M162" t="s">
        <v>30</v>
      </c>
      <c r="N162">
        <v>39</v>
      </c>
      <c r="O162">
        <v>72.926042317160906</v>
      </c>
      <c r="P162">
        <v>14.607415127886499</v>
      </c>
      <c r="Q162" t="s">
        <v>24</v>
      </c>
      <c r="R162">
        <v>160</v>
      </c>
      <c r="S162">
        <v>85.060896012023207</v>
      </c>
    </row>
    <row r="163" spans="1:19" x14ac:dyDescent="0.25">
      <c r="A163">
        <v>2636</v>
      </c>
      <c r="B163">
        <v>139.68429465073001</v>
      </c>
      <c r="C163">
        <v>1.6807517626030499</v>
      </c>
      <c r="D163">
        <v>64.003236074502297</v>
      </c>
      <c r="E163">
        <v>32.522930681409903</v>
      </c>
      <c r="F163">
        <v>22.464896232647</v>
      </c>
      <c r="G163">
        <v>1.1800303978685001</v>
      </c>
      <c r="H163">
        <v>0.70162051520805102</v>
      </c>
      <c r="I163">
        <v>2.81489690140203</v>
      </c>
      <c r="J163">
        <v>102.11105277415101</v>
      </c>
      <c r="K163">
        <v>59.822174489666999</v>
      </c>
      <c r="L163" t="s">
        <v>34</v>
      </c>
      <c r="M163" t="s">
        <v>26</v>
      </c>
      <c r="N163">
        <v>23</v>
      </c>
      <c r="O163">
        <v>65.574248545803499</v>
      </c>
      <c r="P163">
        <v>21.802454992237799</v>
      </c>
      <c r="Q163" t="s">
        <v>29</v>
      </c>
      <c r="R163">
        <v>161</v>
      </c>
      <c r="S163">
        <v>69.955635041006403</v>
      </c>
    </row>
    <row r="164" spans="1:19" x14ac:dyDescent="0.25">
      <c r="A164">
        <v>4696</v>
      </c>
      <c r="B164">
        <v>166.01000985628099</v>
      </c>
      <c r="C164">
        <v>0.928136896339669</v>
      </c>
      <c r="D164">
        <v>108.08273179146001</v>
      </c>
      <c r="E164">
        <v>34.485184509014303</v>
      </c>
      <c r="F164">
        <v>19.657519433198399</v>
      </c>
      <c r="G164">
        <v>0.50319299203744705</v>
      </c>
      <c r="H164">
        <v>0.50852268381683297</v>
      </c>
      <c r="I164">
        <v>1.7041788872201999</v>
      </c>
      <c r="J164">
        <v>63.5505027453259</v>
      </c>
      <c r="K164">
        <v>74.944947446997602</v>
      </c>
      <c r="L164" t="s">
        <v>27</v>
      </c>
      <c r="M164" t="s">
        <v>36</v>
      </c>
      <c r="N164">
        <v>28</v>
      </c>
      <c r="O164">
        <v>57.360116872495801</v>
      </c>
      <c r="P164">
        <v>15.677977953280299</v>
      </c>
      <c r="Q164" t="s">
        <v>31</v>
      </c>
      <c r="R164">
        <v>162</v>
      </c>
      <c r="S164">
        <v>79.571800335799793</v>
      </c>
    </row>
    <row r="165" spans="1:19" x14ac:dyDescent="0.25">
      <c r="A165">
        <v>1698</v>
      </c>
      <c r="B165">
        <v>115.032919185224</v>
      </c>
      <c r="C165">
        <v>1.55427985288826</v>
      </c>
      <c r="D165">
        <v>102.51917830724101</v>
      </c>
      <c r="E165">
        <v>33.455721163249002</v>
      </c>
      <c r="F165">
        <v>18.2061737103231</v>
      </c>
      <c r="G165">
        <v>1.56883629129692</v>
      </c>
      <c r="H165">
        <v>0.57449036904733497</v>
      </c>
      <c r="I165">
        <v>8.0930704595069702</v>
      </c>
      <c r="J165">
        <v>27.234850989748502</v>
      </c>
      <c r="K165">
        <v>25.004146281994402</v>
      </c>
      <c r="L165" t="s">
        <v>34</v>
      </c>
      <c r="M165" t="s">
        <v>28</v>
      </c>
      <c r="N165">
        <v>20</v>
      </c>
      <c r="O165">
        <v>71.401475839692907</v>
      </c>
      <c r="P165">
        <v>0.121651153998023</v>
      </c>
      <c r="Q165" t="s">
        <v>24</v>
      </c>
      <c r="R165">
        <v>163</v>
      </c>
      <c r="S165">
        <v>71.7104696987453</v>
      </c>
    </row>
    <row r="166" spans="1:19" x14ac:dyDescent="0.25">
      <c r="A166">
        <v>5737</v>
      </c>
      <c r="B166">
        <v>154.686447969531</v>
      </c>
      <c r="C166">
        <v>1.4833850046777599</v>
      </c>
      <c r="D166">
        <v>114.375604668962</v>
      </c>
      <c r="E166">
        <v>31.838345089787701</v>
      </c>
      <c r="F166">
        <v>28.754261653495</v>
      </c>
      <c r="G166">
        <v>1.9728723951946801</v>
      </c>
      <c r="H166">
        <v>0.555061253463358</v>
      </c>
      <c r="I166">
        <v>8.5193754007896594</v>
      </c>
      <c r="J166">
        <v>98.618266919821295</v>
      </c>
      <c r="K166">
        <v>23.290602331255101</v>
      </c>
      <c r="L166" t="s">
        <v>34</v>
      </c>
      <c r="M166" t="s">
        <v>35</v>
      </c>
      <c r="N166">
        <v>21</v>
      </c>
      <c r="O166">
        <v>64.333819941649594</v>
      </c>
      <c r="P166">
        <v>23.976599650548501</v>
      </c>
      <c r="Q166" t="s">
        <v>25</v>
      </c>
      <c r="R166">
        <v>164</v>
      </c>
      <c r="S166">
        <v>90.754924901074602</v>
      </c>
    </row>
    <row r="167" spans="1:19" x14ac:dyDescent="0.25">
      <c r="A167">
        <v>1854</v>
      </c>
      <c r="B167">
        <v>130.72022311548901</v>
      </c>
      <c r="C167">
        <v>1.39594157136373</v>
      </c>
      <c r="D167">
        <v>66.819095791998905</v>
      </c>
      <c r="E167">
        <v>32.627630753538099</v>
      </c>
      <c r="F167">
        <v>18.7316042968129</v>
      </c>
      <c r="G167">
        <v>1.9023944906152199</v>
      </c>
      <c r="H167">
        <v>0.69197246885866104</v>
      </c>
      <c r="I167">
        <v>2.4638699637090999</v>
      </c>
      <c r="J167">
        <v>57.694997168627197</v>
      </c>
      <c r="K167">
        <v>84.156949017924802</v>
      </c>
      <c r="L167" t="s">
        <v>22</v>
      </c>
      <c r="M167" t="s">
        <v>37</v>
      </c>
      <c r="N167">
        <v>27</v>
      </c>
      <c r="O167">
        <v>55.084125690960398</v>
      </c>
      <c r="P167">
        <v>5.2143207262120397</v>
      </c>
      <c r="Q167" t="s">
        <v>29</v>
      </c>
      <c r="R167">
        <v>165</v>
      </c>
      <c r="S167">
        <v>69.481383863154406</v>
      </c>
    </row>
    <row r="168" spans="1:19" x14ac:dyDescent="0.25">
      <c r="A168">
        <v>9164</v>
      </c>
      <c r="B168">
        <v>134.010725806951</v>
      </c>
      <c r="C168">
        <v>1.4357312442805299</v>
      </c>
      <c r="D168">
        <v>75.912489774941903</v>
      </c>
      <c r="E168">
        <v>32.262812227084403</v>
      </c>
      <c r="F168">
        <v>17.968115354409701</v>
      </c>
      <c r="G168">
        <v>0.55479086988257398</v>
      </c>
      <c r="H168">
        <v>0.42842712395112198</v>
      </c>
      <c r="I168">
        <v>8.6891138450444299</v>
      </c>
      <c r="J168">
        <v>30.036749509505299</v>
      </c>
      <c r="K168">
        <v>71.336127586693607</v>
      </c>
      <c r="L168" t="s">
        <v>27</v>
      </c>
      <c r="M168" t="s">
        <v>33</v>
      </c>
      <c r="N168">
        <v>36</v>
      </c>
      <c r="O168">
        <v>61.030880407338003</v>
      </c>
      <c r="P168">
        <v>14.6212803734209</v>
      </c>
      <c r="Q168" t="s">
        <v>29</v>
      </c>
      <c r="R168">
        <v>166</v>
      </c>
      <c r="S168">
        <v>80.485840517118007</v>
      </c>
    </row>
    <row r="169" spans="1:19" x14ac:dyDescent="0.25">
      <c r="A169">
        <v>6855</v>
      </c>
      <c r="B169">
        <v>148.496389843332</v>
      </c>
      <c r="C169">
        <v>0.55907547725118001</v>
      </c>
      <c r="D169">
        <v>39.667149011584101</v>
      </c>
      <c r="E169">
        <v>32.148253209319698</v>
      </c>
      <c r="F169">
        <v>22.3784747000254</v>
      </c>
      <c r="G169">
        <v>1.7756538318213599</v>
      </c>
      <c r="H169">
        <v>0.48719488717495701</v>
      </c>
      <c r="I169">
        <v>7.1809101603745198</v>
      </c>
      <c r="J169">
        <v>83.377903954325006</v>
      </c>
      <c r="K169">
        <v>59.233470058355799</v>
      </c>
      <c r="L169" t="s">
        <v>22</v>
      </c>
      <c r="M169" t="s">
        <v>28</v>
      </c>
      <c r="N169">
        <v>23</v>
      </c>
      <c r="O169">
        <v>81.517210537629694</v>
      </c>
      <c r="P169">
        <v>31.9502748497104</v>
      </c>
      <c r="Q169" t="s">
        <v>21</v>
      </c>
      <c r="R169">
        <v>167</v>
      </c>
      <c r="S169">
        <v>84.041172973023905</v>
      </c>
    </row>
    <row r="170" spans="1:19" x14ac:dyDescent="0.25">
      <c r="A170">
        <v>8392</v>
      </c>
      <c r="B170">
        <v>112.545559568754</v>
      </c>
      <c r="C170">
        <v>1.2256375461295099</v>
      </c>
      <c r="D170">
        <v>99.538688522365405</v>
      </c>
      <c r="E170">
        <v>34.174667470268098</v>
      </c>
      <c r="F170">
        <v>25.427948731491998</v>
      </c>
      <c r="G170">
        <v>1.46808854554103</v>
      </c>
      <c r="H170">
        <v>0.84698117385668004</v>
      </c>
      <c r="I170">
        <v>5.6807441489492501</v>
      </c>
      <c r="J170">
        <v>108.013135343364</v>
      </c>
      <c r="K170">
        <v>72.689009249694607</v>
      </c>
      <c r="L170" t="s">
        <v>19</v>
      </c>
      <c r="M170" t="s">
        <v>36</v>
      </c>
      <c r="N170">
        <v>18</v>
      </c>
      <c r="O170">
        <v>63.546436249005801</v>
      </c>
      <c r="P170">
        <v>18.392533903906799</v>
      </c>
      <c r="Q170" t="s">
        <v>29</v>
      </c>
      <c r="R170">
        <v>168</v>
      </c>
      <c r="S170">
        <v>69.264750874987996</v>
      </c>
    </row>
    <row r="171" spans="1:19" x14ac:dyDescent="0.25">
      <c r="A171">
        <v>7528</v>
      </c>
      <c r="B171">
        <v>142.64819492368099</v>
      </c>
      <c r="C171">
        <v>1.5464224505705499</v>
      </c>
      <c r="D171">
        <v>46.644408974641301</v>
      </c>
      <c r="E171">
        <v>31.353908244883701</v>
      </c>
      <c r="F171">
        <v>21.291757069949298</v>
      </c>
      <c r="G171">
        <v>1.01692381485244</v>
      </c>
      <c r="H171">
        <v>0.47293219491074601</v>
      </c>
      <c r="I171">
        <v>8.4722517350324598</v>
      </c>
      <c r="J171">
        <v>108.775350941398</v>
      </c>
      <c r="K171">
        <v>47.164077097997797</v>
      </c>
      <c r="L171" t="s">
        <v>34</v>
      </c>
      <c r="M171" t="s">
        <v>37</v>
      </c>
      <c r="N171">
        <v>25</v>
      </c>
      <c r="O171">
        <v>70.583747080574895</v>
      </c>
      <c r="P171">
        <v>26.6132722845412</v>
      </c>
      <c r="Q171" t="s">
        <v>25</v>
      </c>
      <c r="R171">
        <v>169</v>
      </c>
      <c r="S171">
        <v>86.631579222194304</v>
      </c>
    </row>
    <row r="172" spans="1:19" x14ac:dyDescent="0.25">
      <c r="A172">
        <v>6249</v>
      </c>
      <c r="B172">
        <v>138.32904416426101</v>
      </c>
      <c r="C172">
        <v>1.5799281959986999</v>
      </c>
      <c r="D172">
        <v>74.3355112752525</v>
      </c>
      <c r="E172">
        <v>34.930537026881197</v>
      </c>
      <c r="F172">
        <v>27.831852728346199</v>
      </c>
      <c r="G172">
        <v>1.1730997897845099</v>
      </c>
      <c r="H172">
        <v>0.52836794820196897</v>
      </c>
      <c r="I172">
        <v>4.7732432438706898</v>
      </c>
      <c r="J172">
        <v>115.766347480897</v>
      </c>
      <c r="K172">
        <v>71.884181048184502</v>
      </c>
      <c r="L172" t="s">
        <v>27</v>
      </c>
      <c r="M172" t="s">
        <v>28</v>
      </c>
      <c r="N172">
        <v>25</v>
      </c>
      <c r="O172">
        <v>59.326971458849599</v>
      </c>
      <c r="P172">
        <v>20.7745595473694</v>
      </c>
      <c r="Q172" t="s">
        <v>29</v>
      </c>
      <c r="R172">
        <v>170</v>
      </c>
      <c r="S172">
        <v>72.480937069305895</v>
      </c>
    </row>
    <row r="173" spans="1:19" x14ac:dyDescent="0.25">
      <c r="A173">
        <v>6172</v>
      </c>
      <c r="B173">
        <v>144.84902528016201</v>
      </c>
      <c r="C173">
        <v>0.98616242953702005</v>
      </c>
      <c r="D173">
        <v>48.053949447343101</v>
      </c>
      <c r="E173">
        <v>33.993875628221502</v>
      </c>
      <c r="F173">
        <v>24.654878309820401</v>
      </c>
      <c r="G173">
        <v>1.7292803149684199</v>
      </c>
      <c r="H173">
        <v>0.649353833082286</v>
      </c>
      <c r="I173">
        <v>2.74594560601057</v>
      </c>
      <c r="J173">
        <v>106.770545976668</v>
      </c>
      <c r="K173">
        <v>42.885224345590103</v>
      </c>
      <c r="L173" t="s">
        <v>19</v>
      </c>
      <c r="M173" t="s">
        <v>35</v>
      </c>
      <c r="N173">
        <v>23</v>
      </c>
      <c r="O173">
        <v>84.807428778014099</v>
      </c>
      <c r="P173">
        <v>9.9287808975502898</v>
      </c>
      <c r="Q173" t="s">
        <v>21</v>
      </c>
      <c r="R173">
        <v>171</v>
      </c>
      <c r="S173">
        <v>74.125917263919803</v>
      </c>
    </row>
    <row r="174" spans="1:19" x14ac:dyDescent="0.25">
      <c r="A174">
        <v>2707</v>
      </c>
      <c r="B174">
        <v>140.783372878156</v>
      </c>
      <c r="C174">
        <v>2.1328539204323498</v>
      </c>
      <c r="D174">
        <v>58.222663465225999</v>
      </c>
      <c r="E174">
        <v>34.309034004724403</v>
      </c>
      <c r="F174">
        <v>11.108943401342801</v>
      </c>
      <c r="G174">
        <v>1.06424289134907</v>
      </c>
      <c r="H174">
        <v>0.68441648846233105</v>
      </c>
      <c r="I174">
        <v>3.5636740894955201</v>
      </c>
      <c r="J174">
        <v>20.214091934547501</v>
      </c>
      <c r="K174">
        <v>33.307092936945097</v>
      </c>
      <c r="L174" t="s">
        <v>34</v>
      </c>
      <c r="M174" t="s">
        <v>20</v>
      </c>
      <c r="N174">
        <v>34</v>
      </c>
      <c r="O174">
        <v>68.554694467779896</v>
      </c>
      <c r="P174">
        <v>23.8345338446975</v>
      </c>
      <c r="Q174" t="s">
        <v>29</v>
      </c>
      <c r="R174">
        <v>172</v>
      </c>
      <c r="S174">
        <v>73.809619539100396</v>
      </c>
    </row>
    <row r="175" spans="1:19" x14ac:dyDescent="0.25">
      <c r="A175">
        <v>6791</v>
      </c>
      <c r="B175">
        <v>184.10600279821699</v>
      </c>
      <c r="C175">
        <v>1.06691257589274</v>
      </c>
      <c r="D175">
        <v>53.254751379005903</v>
      </c>
      <c r="E175">
        <v>32.444472585569599</v>
      </c>
      <c r="F175">
        <v>19.3526651824649</v>
      </c>
      <c r="G175">
        <v>0.87177326438922798</v>
      </c>
      <c r="H175">
        <v>0.81998576378778698</v>
      </c>
      <c r="I175">
        <v>5.54647616463983</v>
      </c>
      <c r="J175">
        <v>58.024116641338999</v>
      </c>
      <c r="K175">
        <v>69.676006596972599</v>
      </c>
      <c r="L175" t="s">
        <v>27</v>
      </c>
      <c r="M175" t="s">
        <v>32</v>
      </c>
      <c r="N175">
        <v>36</v>
      </c>
      <c r="O175">
        <v>62.527569751190498</v>
      </c>
      <c r="P175">
        <v>17.494195686327501</v>
      </c>
      <c r="Q175" t="s">
        <v>29</v>
      </c>
      <c r="R175">
        <v>173</v>
      </c>
      <c r="S175">
        <v>94.031734205237896</v>
      </c>
    </row>
    <row r="176" spans="1:19" x14ac:dyDescent="0.25">
      <c r="A176">
        <v>6535</v>
      </c>
      <c r="B176">
        <v>122.245200314973</v>
      </c>
      <c r="C176">
        <v>1.98472860026336</v>
      </c>
      <c r="D176">
        <v>57.842494786483599</v>
      </c>
      <c r="E176">
        <v>32.820071137105003</v>
      </c>
      <c r="F176">
        <v>19.190789503241501</v>
      </c>
      <c r="G176">
        <v>1.08784548744677</v>
      </c>
      <c r="H176">
        <v>0.64603283466640304</v>
      </c>
      <c r="I176">
        <v>5.7819771340585797</v>
      </c>
      <c r="J176">
        <v>101.85425799055</v>
      </c>
      <c r="K176">
        <v>46.475421911795102</v>
      </c>
      <c r="L176" t="s">
        <v>34</v>
      </c>
      <c r="M176" t="s">
        <v>20</v>
      </c>
      <c r="N176">
        <v>18</v>
      </c>
      <c r="O176">
        <v>75.080754559026801</v>
      </c>
      <c r="P176">
        <v>6.1133562493491702</v>
      </c>
      <c r="Q176" t="s">
        <v>21</v>
      </c>
      <c r="R176">
        <v>174</v>
      </c>
      <c r="S176">
        <v>69.345058485605904</v>
      </c>
    </row>
    <row r="177" spans="1:19" x14ac:dyDescent="0.25">
      <c r="A177">
        <v>5931</v>
      </c>
      <c r="B177">
        <v>124.380060899963</v>
      </c>
      <c r="C177">
        <v>1.7135971809358399</v>
      </c>
      <c r="D177">
        <v>59.217545937020397</v>
      </c>
      <c r="E177">
        <v>31.2802178225703</v>
      </c>
      <c r="F177">
        <v>24.396804767147099</v>
      </c>
      <c r="G177">
        <v>1.2424336472630799</v>
      </c>
      <c r="H177">
        <v>0.83442554156954596</v>
      </c>
      <c r="I177">
        <v>8.2502274379711</v>
      </c>
      <c r="J177">
        <v>56.625300599847399</v>
      </c>
      <c r="K177">
        <v>88.6032828244646</v>
      </c>
      <c r="L177" t="s">
        <v>27</v>
      </c>
      <c r="M177" t="s">
        <v>36</v>
      </c>
      <c r="N177">
        <v>32</v>
      </c>
      <c r="O177">
        <v>84.401595136400104</v>
      </c>
      <c r="P177">
        <v>4.7706982287098398</v>
      </c>
      <c r="Q177" t="s">
        <v>29</v>
      </c>
      <c r="R177">
        <v>175</v>
      </c>
      <c r="S177">
        <v>74.733801203158393</v>
      </c>
    </row>
    <row r="178" spans="1:19" x14ac:dyDescent="0.25">
      <c r="A178">
        <v>4510</v>
      </c>
      <c r="B178">
        <v>122.53718947150401</v>
      </c>
      <c r="C178">
        <v>1.17688634507809</v>
      </c>
      <c r="D178">
        <v>59.034624101498402</v>
      </c>
      <c r="E178">
        <v>32.370405111519801</v>
      </c>
      <c r="F178">
        <v>10</v>
      </c>
      <c r="G178">
        <v>0.54033977680102796</v>
      </c>
      <c r="H178">
        <v>0.74009046887500096</v>
      </c>
      <c r="I178">
        <v>8.1221745128710001</v>
      </c>
      <c r="J178">
        <v>80.154850637970597</v>
      </c>
      <c r="K178">
        <v>41.2113886731075</v>
      </c>
      <c r="L178" t="s">
        <v>34</v>
      </c>
      <c r="M178" t="s">
        <v>35</v>
      </c>
      <c r="N178">
        <v>30</v>
      </c>
      <c r="O178">
        <v>64.733925194133406</v>
      </c>
      <c r="P178">
        <v>21.0661540362266</v>
      </c>
      <c r="Q178" t="s">
        <v>31</v>
      </c>
      <c r="R178">
        <v>176</v>
      </c>
      <c r="S178">
        <v>70.829266938727798</v>
      </c>
    </row>
    <row r="179" spans="1:19" x14ac:dyDescent="0.25">
      <c r="A179">
        <v>1202</v>
      </c>
      <c r="B179">
        <v>123.890457616794</v>
      </c>
      <c r="C179">
        <v>2.3876554463047501</v>
      </c>
      <c r="D179">
        <v>86.666678235606099</v>
      </c>
      <c r="E179">
        <v>33.592385817171703</v>
      </c>
      <c r="F179">
        <v>34.745048543588602</v>
      </c>
      <c r="G179">
        <v>1.82163391448058</v>
      </c>
      <c r="H179">
        <v>0.46220485668310202</v>
      </c>
      <c r="I179">
        <v>6.2322990148411703</v>
      </c>
      <c r="J179">
        <v>80.631694737453202</v>
      </c>
      <c r="K179">
        <v>84.129556539829906</v>
      </c>
      <c r="L179" t="s">
        <v>22</v>
      </c>
      <c r="M179" t="s">
        <v>28</v>
      </c>
      <c r="N179">
        <v>38</v>
      </c>
      <c r="O179">
        <v>62.367641891916101</v>
      </c>
      <c r="P179">
        <v>35.130760302999803</v>
      </c>
      <c r="Q179" t="s">
        <v>29</v>
      </c>
      <c r="R179">
        <v>177</v>
      </c>
      <c r="S179">
        <v>71.2157796450375</v>
      </c>
    </row>
    <row r="180" spans="1:19" x14ac:dyDescent="0.25">
      <c r="A180">
        <v>5218</v>
      </c>
      <c r="B180">
        <v>122.25225745386901</v>
      </c>
      <c r="C180">
        <v>0.90318158412175997</v>
      </c>
      <c r="D180">
        <v>47.902744138749597</v>
      </c>
      <c r="E180">
        <v>34.555275674137597</v>
      </c>
      <c r="F180">
        <v>24.655130474471001</v>
      </c>
      <c r="G180">
        <v>1.4135365078933</v>
      </c>
      <c r="H180">
        <v>0.485982291116061</v>
      </c>
      <c r="I180">
        <v>8.0270693502892794</v>
      </c>
      <c r="J180">
        <v>56.502530403882297</v>
      </c>
      <c r="K180">
        <v>84.972191142530903</v>
      </c>
      <c r="L180" t="s">
        <v>34</v>
      </c>
      <c r="M180" t="s">
        <v>23</v>
      </c>
      <c r="N180">
        <v>20</v>
      </c>
      <c r="O180">
        <v>86.3612853764281</v>
      </c>
      <c r="P180">
        <v>9.3899704870968197</v>
      </c>
      <c r="Q180" t="s">
        <v>24</v>
      </c>
      <c r="R180">
        <v>178</v>
      </c>
      <c r="S180">
        <v>79.666856357949598</v>
      </c>
    </row>
    <row r="181" spans="1:19" x14ac:dyDescent="0.25">
      <c r="A181">
        <v>9958</v>
      </c>
      <c r="B181">
        <v>158.78033062215101</v>
      </c>
      <c r="C181">
        <v>1.959577086805</v>
      </c>
      <c r="D181">
        <v>74.410828540277294</v>
      </c>
      <c r="E181">
        <v>31.671411819837001</v>
      </c>
      <c r="F181">
        <v>22.744384019588399</v>
      </c>
      <c r="G181">
        <v>1.3398840512074801</v>
      </c>
      <c r="H181">
        <v>0.64036854899737305</v>
      </c>
      <c r="I181">
        <v>2.72596112464303</v>
      </c>
      <c r="J181">
        <v>110.44739272812799</v>
      </c>
      <c r="K181">
        <v>33.138971029855902</v>
      </c>
      <c r="L181" t="s">
        <v>34</v>
      </c>
      <c r="M181" t="s">
        <v>32</v>
      </c>
      <c r="N181">
        <v>19</v>
      </c>
      <c r="O181">
        <v>67.018575649923093</v>
      </c>
      <c r="P181">
        <v>10.344229115390499</v>
      </c>
      <c r="Q181" t="s">
        <v>24</v>
      </c>
      <c r="R181">
        <v>179</v>
      </c>
      <c r="S181">
        <v>79.521372591142097</v>
      </c>
    </row>
    <row r="182" spans="1:19" x14ac:dyDescent="0.25">
      <c r="A182">
        <v>5389</v>
      </c>
      <c r="B182">
        <v>163.41008495979699</v>
      </c>
      <c r="C182">
        <v>2.0002911590214798</v>
      </c>
      <c r="D182">
        <v>94.359183046111099</v>
      </c>
      <c r="E182">
        <v>32.561392875617599</v>
      </c>
      <c r="F182">
        <v>27.9078385820957</v>
      </c>
      <c r="G182">
        <v>0.37909320712514799</v>
      </c>
      <c r="H182">
        <v>0.61828916619897101</v>
      </c>
      <c r="I182">
        <v>1.4505807438396401</v>
      </c>
      <c r="J182">
        <v>70.322834538611701</v>
      </c>
      <c r="K182">
        <v>74.866588619100995</v>
      </c>
      <c r="L182" t="s">
        <v>27</v>
      </c>
      <c r="M182" t="s">
        <v>20</v>
      </c>
      <c r="N182">
        <v>20</v>
      </c>
      <c r="O182">
        <v>66.107180769735706</v>
      </c>
      <c r="P182">
        <v>21.1823708547381</v>
      </c>
      <c r="Q182" t="s">
        <v>31</v>
      </c>
      <c r="R182">
        <v>180</v>
      </c>
      <c r="S182">
        <v>83.907799147818096</v>
      </c>
    </row>
    <row r="183" spans="1:19" x14ac:dyDescent="0.25">
      <c r="A183">
        <v>3327</v>
      </c>
      <c r="B183">
        <v>123.58507412501</v>
      </c>
      <c r="C183">
        <v>1.16468989546167</v>
      </c>
      <c r="D183">
        <v>59.736072709731999</v>
      </c>
      <c r="E183">
        <v>32.818440935720901</v>
      </c>
      <c r="F183">
        <v>33.718270264063101</v>
      </c>
      <c r="G183">
        <v>1.2875130887106601</v>
      </c>
      <c r="H183">
        <v>0.80894934830051202</v>
      </c>
      <c r="I183">
        <v>8.8627044037122999</v>
      </c>
      <c r="J183">
        <v>66.478420593750002</v>
      </c>
      <c r="K183">
        <v>47.480587885842297</v>
      </c>
      <c r="L183" t="s">
        <v>27</v>
      </c>
      <c r="M183" t="s">
        <v>26</v>
      </c>
      <c r="N183">
        <v>26</v>
      </c>
      <c r="O183">
        <v>50.844958796754803</v>
      </c>
      <c r="P183">
        <v>7.4885788307954497</v>
      </c>
      <c r="Q183" t="s">
        <v>29</v>
      </c>
      <c r="R183">
        <v>181</v>
      </c>
      <c r="S183">
        <v>77.285724073258393</v>
      </c>
    </row>
    <row r="184" spans="1:19" x14ac:dyDescent="0.25">
      <c r="A184">
        <v>9004</v>
      </c>
      <c r="B184">
        <v>118.35288853791501</v>
      </c>
      <c r="C184">
        <v>2.1962326500321598</v>
      </c>
      <c r="D184">
        <v>55.6416221850479</v>
      </c>
      <c r="E184">
        <v>31.325052957369</v>
      </c>
      <c r="F184">
        <v>26.353733222942001</v>
      </c>
      <c r="G184">
        <v>0.41772919202928599</v>
      </c>
      <c r="H184">
        <v>0.71940542688854303</v>
      </c>
      <c r="I184">
        <v>1.67999044386492</v>
      </c>
      <c r="J184">
        <v>119.751374566189</v>
      </c>
      <c r="K184">
        <v>83.814354542276106</v>
      </c>
      <c r="L184" t="s">
        <v>22</v>
      </c>
      <c r="M184" t="s">
        <v>28</v>
      </c>
      <c r="N184">
        <v>33</v>
      </c>
      <c r="O184">
        <v>67.730690046860303</v>
      </c>
      <c r="P184">
        <v>36.832389996151001</v>
      </c>
      <c r="Q184" t="s">
        <v>25</v>
      </c>
      <c r="R184">
        <v>182</v>
      </c>
      <c r="S184">
        <v>65.744943365814606</v>
      </c>
    </row>
    <row r="185" spans="1:19" x14ac:dyDescent="0.25">
      <c r="A185">
        <v>3931</v>
      </c>
      <c r="B185">
        <v>144.42831112772799</v>
      </c>
      <c r="C185">
        <v>1.3749767427005199</v>
      </c>
      <c r="D185">
        <v>65.389507496394899</v>
      </c>
      <c r="E185">
        <v>33.709619090110003</v>
      </c>
      <c r="F185">
        <v>26.744065482358099</v>
      </c>
      <c r="G185">
        <v>0.34165581535171802</v>
      </c>
      <c r="H185">
        <v>0.61347319455123706</v>
      </c>
      <c r="I185">
        <v>3.2201958676959701</v>
      </c>
      <c r="J185">
        <v>69.350036407261598</v>
      </c>
      <c r="K185">
        <v>48.759320447642899</v>
      </c>
      <c r="L185" t="s">
        <v>27</v>
      </c>
      <c r="M185" t="s">
        <v>20</v>
      </c>
      <c r="N185">
        <v>30</v>
      </c>
      <c r="O185">
        <v>57.152433296966997</v>
      </c>
      <c r="P185">
        <v>11.074632482273399</v>
      </c>
      <c r="Q185" t="s">
        <v>29</v>
      </c>
      <c r="R185">
        <v>183</v>
      </c>
      <c r="S185">
        <v>75.485865739422394</v>
      </c>
    </row>
    <row r="186" spans="1:19" x14ac:dyDescent="0.25">
      <c r="A186">
        <v>8777</v>
      </c>
      <c r="B186">
        <v>123.95553911438</v>
      </c>
      <c r="C186">
        <v>1.6443468146399201</v>
      </c>
      <c r="D186">
        <v>93.594504167214197</v>
      </c>
      <c r="E186">
        <v>32.131211601908802</v>
      </c>
      <c r="F186">
        <v>22.6534501223219</v>
      </c>
      <c r="G186">
        <v>1.1491596121562999</v>
      </c>
      <c r="H186">
        <v>0.49391815589771199</v>
      </c>
      <c r="I186">
        <v>7.2578705466194604</v>
      </c>
      <c r="J186">
        <v>37.8398251928581</v>
      </c>
      <c r="K186">
        <v>70.822778800302402</v>
      </c>
      <c r="L186" t="s">
        <v>34</v>
      </c>
      <c r="M186" t="s">
        <v>28</v>
      </c>
      <c r="N186">
        <v>36</v>
      </c>
      <c r="O186">
        <v>63.519255062814501</v>
      </c>
      <c r="P186">
        <v>14.008461344376499</v>
      </c>
      <c r="Q186" t="s">
        <v>24</v>
      </c>
      <c r="R186">
        <v>184</v>
      </c>
      <c r="S186">
        <v>71.082640288989296</v>
      </c>
    </row>
    <row r="187" spans="1:19" x14ac:dyDescent="0.25">
      <c r="A187">
        <v>1197</v>
      </c>
      <c r="B187">
        <v>147.65863635510999</v>
      </c>
      <c r="C187">
        <v>1.6301609193856099</v>
      </c>
      <c r="D187">
        <v>73.882152619067099</v>
      </c>
      <c r="E187">
        <v>32.765531578587499</v>
      </c>
      <c r="F187">
        <v>21.292371233165198</v>
      </c>
      <c r="G187">
        <v>0.92501396128369096</v>
      </c>
      <c r="H187">
        <v>0.52476040627902198</v>
      </c>
      <c r="I187">
        <v>4.6850314386457796</v>
      </c>
      <c r="J187">
        <v>71.306942286343798</v>
      </c>
      <c r="K187">
        <v>50.0225556872848</v>
      </c>
      <c r="L187" t="s">
        <v>27</v>
      </c>
      <c r="M187" t="s">
        <v>32</v>
      </c>
      <c r="N187">
        <v>35</v>
      </c>
      <c r="O187">
        <v>51.885586929406998</v>
      </c>
      <c r="P187">
        <v>11.5636681270081</v>
      </c>
      <c r="Q187" t="s">
        <v>21</v>
      </c>
      <c r="R187">
        <v>185</v>
      </c>
      <c r="S187">
        <v>80.450619313201003</v>
      </c>
    </row>
    <row r="188" spans="1:19" x14ac:dyDescent="0.25">
      <c r="A188">
        <v>8125</v>
      </c>
      <c r="B188">
        <v>139.058460417026</v>
      </c>
      <c r="C188">
        <v>1.43284562926472</v>
      </c>
      <c r="D188">
        <v>59.375714107847998</v>
      </c>
      <c r="E188">
        <v>32.457660753705703</v>
      </c>
      <c r="F188">
        <v>19.621022779975402</v>
      </c>
      <c r="G188">
        <v>1.2598584862811999</v>
      </c>
      <c r="H188">
        <v>0.71652556015798197</v>
      </c>
      <c r="I188">
        <v>8.88682572923957</v>
      </c>
      <c r="J188">
        <v>101.401673551993</v>
      </c>
      <c r="K188">
        <v>32.085056678464198</v>
      </c>
      <c r="L188" t="s">
        <v>27</v>
      </c>
      <c r="M188" t="s">
        <v>36</v>
      </c>
      <c r="N188">
        <v>38</v>
      </c>
      <c r="O188">
        <v>77.881187962965797</v>
      </c>
      <c r="P188">
        <v>25.478086783860501</v>
      </c>
      <c r="Q188" t="s">
        <v>31</v>
      </c>
      <c r="R188">
        <v>186</v>
      </c>
      <c r="S188">
        <v>82.756216426818</v>
      </c>
    </row>
    <row r="189" spans="1:19" x14ac:dyDescent="0.25">
      <c r="A189">
        <v>2930</v>
      </c>
      <c r="B189">
        <v>104.685117700055</v>
      </c>
      <c r="C189">
        <v>1.9054041365798899</v>
      </c>
      <c r="D189">
        <v>79.677533023760702</v>
      </c>
      <c r="E189">
        <v>32.052793793136303</v>
      </c>
      <c r="F189">
        <v>17.8694400414272</v>
      </c>
      <c r="G189">
        <v>0.36059990250302898</v>
      </c>
      <c r="H189">
        <v>0.63289134269488501</v>
      </c>
      <c r="I189">
        <v>3.6818181519604201</v>
      </c>
      <c r="J189">
        <v>97.686032689828096</v>
      </c>
      <c r="K189">
        <v>29.9512596708514</v>
      </c>
      <c r="L189" t="s">
        <v>27</v>
      </c>
      <c r="M189" t="s">
        <v>33</v>
      </c>
      <c r="N189">
        <v>29</v>
      </c>
      <c r="O189">
        <v>56.267113979661197</v>
      </c>
      <c r="P189">
        <v>35.297996394790701</v>
      </c>
      <c r="Q189" t="s">
        <v>21</v>
      </c>
      <c r="R189">
        <v>187</v>
      </c>
      <c r="S189">
        <v>62.803790814184602</v>
      </c>
    </row>
    <row r="190" spans="1:19" x14ac:dyDescent="0.25">
      <c r="A190">
        <v>7287</v>
      </c>
      <c r="B190">
        <v>165.950104026601</v>
      </c>
      <c r="C190">
        <v>1.8967443602761</v>
      </c>
      <c r="D190">
        <v>47.954157003271497</v>
      </c>
      <c r="E190">
        <v>32.991546017423303</v>
      </c>
      <c r="F190">
        <v>18.564929501502501</v>
      </c>
      <c r="G190">
        <v>0.97576951312506499</v>
      </c>
      <c r="H190">
        <v>0.68321012987336904</v>
      </c>
      <c r="I190">
        <v>1.10684212002423</v>
      </c>
      <c r="J190">
        <v>98.858176510847102</v>
      </c>
      <c r="K190">
        <v>46.907339569225897</v>
      </c>
      <c r="L190" t="s">
        <v>22</v>
      </c>
      <c r="M190" t="s">
        <v>20</v>
      </c>
      <c r="N190">
        <v>29</v>
      </c>
      <c r="O190">
        <v>52.473994859074999</v>
      </c>
      <c r="P190">
        <v>12.374045726394799</v>
      </c>
      <c r="Q190" t="s">
        <v>25</v>
      </c>
      <c r="R190">
        <v>188</v>
      </c>
      <c r="S190">
        <v>79.819680426551898</v>
      </c>
    </row>
    <row r="191" spans="1:19" x14ac:dyDescent="0.25">
      <c r="A191">
        <v>9800</v>
      </c>
      <c r="B191">
        <v>170.91755346190999</v>
      </c>
      <c r="C191">
        <v>0.62573401338090895</v>
      </c>
      <c r="D191">
        <v>83.627190208858906</v>
      </c>
      <c r="E191">
        <v>32.741268505718303</v>
      </c>
      <c r="F191">
        <v>15.247220178285</v>
      </c>
      <c r="G191">
        <v>0.51461608708128403</v>
      </c>
      <c r="H191">
        <v>0.49387258941622802</v>
      </c>
      <c r="I191">
        <v>3.7059007650466902</v>
      </c>
      <c r="J191">
        <v>90.802378399791095</v>
      </c>
      <c r="K191">
        <v>71.662099276066101</v>
      </c>
      <c r="L191" t="s">
        <v>22</v>
      </c>
      <c r="M191" t="s">
        <v>28</v>
      </c>
      <c r="N191">
        <v>18</v>
      </c>
      <c r="O191">
        <v>60.734262435858703</v>
      </c>
      <c r="P191">
        <v>24.9326194477621</v>
      </c>
      <c r="Q191" t="s">
        <v>29</v>
      </c>
      <c r="R191">
        <v>189</v>
      </c>
      <c r="S191">
        <v>88.301832850224798</v>
      </c>
    </row>
    <row r="192" spans="1:19" x14ac:dyDescent="0.25">
      <c r="A192">
        <v>5282</v>
      </c>
      <c r="B192">
        <v>122.74422619031201</v>
      </c>
      <c r="C192">
        <v>2.1521701214390698</v>
      </c>
      <c r="D192">
        <v>78.172146154035303</v>
      </c>
      <c r="E192">
        <v>32.5537705412656</v>
      </c>
      <c r="F192">
        <v>21.620642746574799</v>
      </c>
      <c r="G192">
        <v>1.9767801546634001</v>
      </c>
      <c r="H192">
        <v>0.76459843878951095</v>
      </c>
      <c r="I192">
        <v>6.2026754426634803</v>
      </c>
      <c r="J192">
        <v>45.421782906668803</v>
      </c>
      <c r="K192">
        <v>60.380361388557503</v>
      </c>
      <c r="L192" t="s">
        <v>19</v>
      </c>
      <c r="M192" t="s">
        <v>33</v>
      </c>
      <c r="N192">
        <v>37</v>
      </c>
      <c r="O192">
        <v>77.978691731221005</v>
      </c>
      <c r="P192">
        <v>7.5527449545126801</v>
      </c>
      <c r="Q192" t="s">
        <v>25</v>
      </c>
      <c r="R192">
        <v>190</v>
      </c>
      <c r="S192">
        <v>69.117175098614197</v>
      </c>
    </row>
    <row r="193" spans="1:19" x14ac:dyDescent="0.25">
      <c r="A193">
        <v>3511</v>
      </c>
      <c r="B193">
        <v>127.24596880128</v>
      </c>
      <c r="C193">
        <v>0.66875400598216195</v>
      </c>
      <c r="D193">
        <v>63.843830577222299</v>
      </c>
      <c r="E193">
        <v>32.125846053983501</v>
      </c>
      <c r="F193">
        <v>13.576662113868</v>
      </c>
      <c r="G193">
        <v>1.2100703823833101</v>
      </c>
      <c r="H193">
        <v>0.86889630747078095</v>
      </c>
      <c r="I193">
        <v>4.3834453786296397</v>
      </c>
      <c r="J193">
        <v>106.208408584023</v>
      </c>
      <c r="K193">
        <v>66.6471967425407</v>
      </c>
      <c r="L193" t="s">
        <v>22</v>
      </c>
      <c r="M193" t="s">
        <v>33</v>
      </c>
      <c r="N193">
        <v>25</v>
      </c>
      <c r="O193">
        <v>64.440055203726303</v>
      </c>
      <c r="P193">
        <v>25.6741913555237</v>
      </c>
      <c r="Q193" t="s">
        <v>21</v>
      </c>
      <c r="R193">
        <v>191</v>
      </c>
      <c r="S193">
        <v>72.581124865123698</v>
      </c>
    </row>
    <row r="194" spans="1:19" x14ac:dyDescent="0.25">
      <c r="A194">
        <v>1659</v>
      </c>
      <c r="B194">
        <v>140.71730781449801</v>
      </c>
      <c r="C194">
        <v>2.0162731021708198</v>
      </c>
      <c r="D194">
        <v>53.228284031055303</v>
      </c>
      <c r="E194">
        <v>33.383429604939501</v>
      </c>
      <c r="F194">
        <v>22.954582620718501</v>
      </c>
      <c r="G194">
        <v>1.4373863496935599</v>
      </c>
      <c r="H194">
        <v>0.54186672873279496</v>
      </c>
      <c r="I194">
        <v>5.8138548018287901</v>
      </c>
      <c r="J194">
        <v>109.344346537626</v>
      </c>
      <c r="K194">
        <v>36.174476304895599</v>
      </c>
      <c r="L194" t="s">
        <v>22</v>
      </c>
      <c r="M194" t="s">
        <v>26</v>
      </c>
      <c r="N194">
        <v>34</v>
      </c>
      <c r="O194">
        <v>65.509929480355396</v>
      </c>
      <c r="P194">
        <v>32.066885697575103</v>
      </c>
      <c r="Q194" t="s">
        <v>29</v>
      </c>
      <c r="R194">
        <v>192</v>
      </c>
      <c r="S194">
        <v>80.093219257657296</v>
      </c>
    </row>
    <row r="195" spans="1:19" x14ac:dyDescent="0.25">
      <c r="A195">
        <v>3811</v>
      </c>
      <c r="B195">
        <v>141.68913579974</v>
      </c>
      <c r="C195">
        <v>2.0633525684137899</v>
      </c>
      <c r="D195">
        <v>52.266381554330799</v>
      </c>
      <c r="E195">
        <v>34.984340722190701</v>
      </c>
      <c r="F195">
        <v>21.818346959788201</v>
      </c>
      <c r="G195">
        <v>0.78575290522869401</v>
      </c>
      <c r="H195">
        <v>0.67033282420750395</v>
      </c>
      <c r="I195">
        <v>8.8893830695151692</v>
      </c>
      <c r="J195">
        <v>39.4152696618549</v>
      </c>
      <c r="K195">
        <v>51.107650946820399</v>
      </c>
      <c r="L195" t="s">
        <v>22</v>
      </c>
      <c r="M195" t="s">
        <v>33</v>
      </c>
      <c r="N195">
        <v>38</v>
      </c>
      <c r="O195">
        <v>71.827590883434297</v>
      </c>
      <c r="P195">
        <v>29.6188512095917</v>
      </c>
      <c r="Q195" t="s">
        <v>25</v>
      </c>
      <c r="R195">
        <v>193</v>
      </c>
      <c r="S195">
        <v>81.760336273456602</v>
      </c>
    </row>
    <row r="196" spans="1:19" x14ac:dyDescent="0.25">
      <c r="A196">
        <v>8098</v>
      </c>
      <c r="B196">
        <v>148.17088545345601</v>
      </c>
      <c r="C196">
        <v>0.95451678489239999</v>
      </c>
      <c r="D196">
        <v>80.696346726918193</v>
      </c>
      <c r="E196">
        <v>33.167864679406897</v>
      </c>
      <c r="F196">
        <v>22.734676491933399</v>
      </c>
      <c r="G196">
        <v>0.37053004660281902</v>
      </c>
      <c r="H196">
        <v>0.93654003096149596</v>
      </c>
      <c r="I196">
        <v>9.2123654880733099</v>
      </c>
      <c r="J196">
        <v>33.045563655139297</v>
      </c>
      <c r="K196">
        <v>18.3296448726995</v>
      </c>
      <c r="L196" t="s">
        <v>34</v>
      </c>
      <c r="M196" t="s">
        <v>32</v>
      </c>
      <c r="N196">
        <v>37</v>
      </c>
      <c r="O196">
        <v>66.786734707074302</v>
      </c>
      <c r="P196">
        <v>19.0625938747297</v>
      </c>
      <c r="Q196" t="s">
        <v>24</v>
      </c>
      <c r="R196">
        <v>194</v>
      </c>
      <c r="S196">
        <v>84.375214577620099</v>
      </c>
    </row>
    <row r="197" spans="1:19" x14ac:dyDescent="0.25">
      <c r="A197">
        <v>7546</v>
      </c>
      <c r="B197">
        <v>175.20409077532699</v>
      </c>
      <c r="C197">
        <v>1.2945928560227</v>
      </c>
      <c r="D197">
        <v>94.579610049781195</v>
      </c>
      <c r="E197">
        <v>34.195341857893297</v>
      </c>
      <c r="F197">
        <v>19.389342149899999</v>
      </c>
      <c r="G197">
        <v>1.9565675530103599</v>
      </c>
      <c r="H197">
        <v>0.58328295730290003</v>
      </c>
      <c r="I197">
        <v>3.3937665818870002</v>
      </c>
      <c r="J197">
        <v>117.56049685891099</v>
      </c>
      <c r="K197">
        <v>76.314931196859007</v>
      </c>
      <c r="L197" t="s">
        <v>19</v>
      </c>
      <c r="M197" t="s">
        <v>35</v>
      </c>
      <c r="N197">
        <v>39</v>
      </c>
      <c r="O197">
        <v>77.903670569665294</v>
      </c>
      <c r="P197">
        <v>9.7374924559256506</v>
      </c>
      <c r="Q197" t="s">
        <v>24</v>
      </c>
      <c r="R197">
        <v>195</v>
      </c>
      <c r="S197">
        <v>84.057187324734997</v>
      </c>
    </row>
    <row r="198" spans="1:19" x14ac:dyDescent="0.25">
      <c r="A198">
        <v>2986</v>
      </c>
      <c r="B198">
        <v>131.46105545011901</v>
      </c>
      <c r="C198">
        <v>0.94714766575703202</v>
      </c>
      <c r="D198">
        <v>57.253845059424101</v>
      </c>
      <c r="E198">
        <v>31.331733689815799</v>
      </c>
      <c r="F198">
        <v>37.384301850902503</v>
      </c>
      <c r="G198">
        <v>0.71526626368972901</v>
      </c>
      <c r="H198">
        <v>0.72727548970806799</v>
      </c>
      <c r="I198">
        <v>5.1592642594290998</v>
      </c>
      <c r="J198">
        <v>106.832396365036</v>
      </c>
      <c r="K198">
        <v>89.241912167990506</v>
      </c>
      <c r="L198" t="s">
        <v>34</v>
      </c>
      <c r="M198" t="s">
        <v>33</v>
      </c>
      <c r="N198">
        <v>24</v>
      </c>
      <c r="O198">
        <v>66.082958658955107</v>
      </c>
      <c r="P198">
        <v>18.0061698700144</v>
      </c>
      <c r="Q198" t="s">
        <v>31</v>
      </c>
      <c r="R198">
        <v>196</v>
      </c>
      <c r="S198">
        <v>75.305281638563898</v>
      </c>
    </row>
    <row r="199" spans="1:19" x14ac:dyDescent="0.25">
      <c r="A199">
        <v>9338</v>
      </c>
      <c r="B199">
        <v>119.03405510923</v>
      </c>
      <c r="C199">
        <v>1.3925394848556301</v>
      </c>
      <c r="D199">
        <v>79.167734071029599</v>
      </c>
      <c r="E199">
        <v>33.189313727152502</v>
      </c>
      <c r="F199">
        <v>28.800579500901499</v>
      </c>
      <c r="G199">
        <v>0.96285473331243299</v>
      </c>
      <c r="H199">
        <v>0.44960763511013402</v>
      </c>
      <c r="I199">
        <v>5.9422961371730603</v>
      </c>
      <c r="J199">
        <v>109.323614720994</v>
      </c>
      <c r="K199">
        <v>45.5159296968503</v>
      </c>
      <c r="L199" t="s">
        <v>22</v>
      </c>
      <c r="M199" t="s">
        <v>23</v>
      </c>
      <c r="N199">
        <v>26</v>
      </c>
      <c r="O199">
        <v>66.214014040812998</v>
      </c>
      <c r="P199">
        <v>15.5128855425976</v>
      </c>
      <c r="Q199" t="s">
        <v>24</v>
      </c>
      <c r="R199">
        <v>197</v>
      </c>
      <c r="S199">
        <v>71.498436171056994</v>
      </c>
    </row>
    <row r="200" spans="1:19" x14ac:dyDescent="0.25">
      <c r="A200">
        <v>3911</v>
      </c>
      <c r="B200">
        <v>107.41361543970901</v>
      </c>
      <c r="C200">
        <v>1.34598285790712</v>
      </c>
      <c r="D200">
        <v>28.259459627958599</v>
      </c>
      <c r="E200">
        <v>31.6831580172347</v>
      </c>
      <c r="F200">
        <v>15.7772874995763</v>
      </c>
      <c r="G200">
        <v>1.3697550590646299</v>
      </c>
      <c r="H200">
        <v>0.73330825136369304</v>
      </c>
      <c r="I200">
        <v>9.5420121119942198</v>
      </c>
      <c r="J200">
        <v>108.637638462439</v>
      </c>
      <c r="K200">
        <v>15.822273984865699</v>
      </c>
      <c r="L200" t="s">
        <v>22</v>
      </c>
      <c r="M200" t="s">
        <v>28</v>
      </c>
      <c r="N200">
        <v>34</v>
      </c>
      <c r="O200">
        <v>86.113546270647106</v>
      </c>
      <c r="P200">
        <v>14.426468486184399</v>
      </c>
      <c r="Q200" t="s">
        <v>24</v>
      </c>
      <c r="R200">
        <v>198</v>
      </c>
      <c r="S200">
        <v>72.4385178459504</v>
      </c>
    </row>
    <row r="201" spans="1:19" x14ac:dyDescent="0.25">
      <c r="A201">
        <v>2734</v>
      </c>
      <c r="B201">
        <v>120.381399201161</v>
      </c>
      <c r="C201">
        <v>1.88983026613467</v>
      </c>
      <c r="D201">
        <v>58.307645386856002</v>
      </c>
      <c r="E201">
        <v>31.227690086961701</v>
      </c>
      <c r="F201">
        <v>23.164340437134399</v>
      </c>
      <c r="G201">
        <v>0.244455135835</v>
      </c>
      <c r="H201">
        <v>0.449297475317539</v>
      </c>
      <c r="I201">
        <v>9.9875558724794598</v>
      </c>
      <c r="J201">
        <v>74.168682403372799</v>
      </c>
      <c r="K201">
        <v>27.734447966321</v>
      </c>
      <c r="L201" t="s">
        <v>19</v>
      </c>
      <c r="M201" t="s">
        <v>33</v>
      </c>
      <c r="N201">
        <v>27</v>
      </c>
      <c r="O201">
        <v>68.441323193631604</v>
      </c>
      <c r="P201">
        <v>19.652398817775399</v>
      </c>
      <c r="Q201" t="s">
        <v>21</v>
      </c>
      <c r="R201">
        <v>199</v>
      </c>
      <c r="S201">
        <v>80.0127158835123</v>
      </c>
    </row>
    <row r="202" spans="1:19" x14ac:dyDescent="0.25">
      <c r="A202">
        <v>2843</v>
      </c>
      <c r="B202">
        <v>134.33746054252401</v>
      </c>
      <c r="C202">
        <v>2.1551543730598</v>
      </c>
      <c r="D202">
        <v>69.378821342581901</v>
      </c>
      <c r="E202">
        <v>32.112754311049102</v>
      </c>
      <c r="F202">
        <v>18.959969285313299</v>
      </c>
      <c r="G202">
        <v>1.65846643493111</v>
      </c>
      <c r="H202">
        <v>0.92757948942810198</v>
      </c>
      <c r="I202">
        <v>3.1186652395737302</v>
      </c>
      <c r="J202">
        <v>84.640173666579898</v>
      </c>
      <c r="K202">
        <v>63.939515831281398</v>
      </c>
      <c r="L202" t="s">
        <v>19</v>
      </c>
      <c r="M202" t="s">
        <v>30</v>
      </c>
      <c r="N202">
        <v>21</v>
      </c>
      <c r="O202">
        <v>69.844565134131798</v>
      </c>
      <c r="P202">
        <v>17.4676284737033</v>
      </c>
      <c r="Q202" t="s">
        <v>24</v>
      </c>
      <c r="R202">
        <v>200</v>
      </c>
      <c r="S202">
        <v>74.393986411530605</v>
      </c>
    </row>
    <row r="203" spans="1:19" x14ac:dyDescent="0.25">
      <c r="A203">
        <v>9680</v>
      </c>
      <c r="B203">
        <v>170.891157270355</v>
      </c>
      <c r="C203">
        <v>2.19784190539497</v>
      </c>
      <c r="D203">
        <v>51.806331660363298</v>
      </c>
      <c r="E203">
        <v>34.430279201296202</v>
      </c>
      <c r="F203">
        <v>16.927601366462898</v>
      </c>
      <c r="G203">
        <v>1.16584074205151</v>
      </c>
      <c r="H203">
        <v>0.79361445863977098</v>
      </c>
      <c r="I203">
        <v>7.5428188421123297</v>
      </c>
      <c r="J203">
        <v>74.536285213364096</v>
      </c>
      <c r="K203">
        <v>60.905948865289403</v>
      </c>
      <c r="L203" t="s">
        <v>27</v>
      </c>
      <c r="M203" t="s">
        <v>35</v>
      </c>
      <c r="N203">
        <v>39</v>
      </c>
      <c r="O203">
        <v>66.316594179526106</v>
      </c>
      <c r="P203">
        <v>23.662750865863501</v>
      </c>
      <c r="Q203" t="s">
        <v>24</v>
      </c>
      <c r="R203">
        <v>201</v>
      </c>
      <c r="S203">
        <v>98.022650076069297</v>
      </c>
    </row>
    <row r="204" spans="1:19" x14ac:dyDescent="0.25">
      <c r="A204">
        <v>3976</v>
      </c>
      <c r="B204">
        <v>124.647774019276</v>
      </c>
      <c r="C204">
        <v>1.2189159867108399</v>
      </c>
      <c r="D204">
        <v>51.269872504208003</v>
      </c>
      <c r="E204">
        <v>34.140018994403498</v>
      </c>
      <c r="F204">
        <v>15.299639644380299</v>
      </c>
      <c r="G204">
        <v>0.70079093672387904</v>
      </c>
      <c r="H204">
        <v>0.83348788347463798</v>
      </c>
      <c r="I204">
        <v>4.4022795600987497</v>
      </c>
      <c r="J204">
        <v>25.120634919032899</v>
      </c>
      <c r="K204">
        <v>74.089853968915804</v>
      </c>
      <c r="L204" t="s">
        <v>22</v>
      </c>
      <c r="M204" t="s">
        <v>37</v>
      </c>
      <c r="N204">
        <v>24</v>
      </c>
      <c r="O204">
        <v>48.574124149703202</v>
      </c>
      <c r="P204">
        <v>23.714757718063399</v>
      </c>
      <c r="Q204" t="s">
        <v>21</v>
      </c>
      <c r="R204">
        <v>202</v>
      </c>
      <c r="S204">
        <v>70.902287759579494</v>
      </c>
    </row>
    <row r="205" spans="1:19" x14ac:dyDescent="0.25">
      <c r="A205">
        <v>2959</v>
      </c>
      <c r="B205">
        <v>139.47575903277701</v>
      </c>
      <c r="C205">
        <v>1.3953890631277299</v>
      </c>
      <c r="D205">
        <v>56.6444088706222</v>
      </c>
      <c r="E205">
        <v>33.291605666465202</v>
      </c>
      <c r="F205">
        <v>24.161083453796198</v>
      </c>
      <c r="G205">
        <v>0.310894373526444</v>
      </c>
      <c r="H205">
        <v>0.78725739842440001</v>
      </c>
      <c r="I205">
        <v>1.07297377197591</v>
      </c>
      <c r="J205">
        <v>94.550308535277196</v>
      </c>
      <c r="K205">
        <v>34.041300822080103</v>
      </c>
      <c r="L205" t="s">
        <v>22</v>
      </c>
      <c r="M205" t="s">
        <v>35</v>
      </c>
      <c r="N205">
        <v>24</v>
      </c>
      <c r="O205">
        <v>74.982962759511906</v>
      </c>
      <c r="P205">
        <v>17.497611487298101</v>
      </c>
      <c r="Q205" t="s">
        <v>24</v>
      </c>
      <c r="R205">
        <v>203</v>
      </c>
      <c r="S205">
        <v>67.610721950456096</v>
      </c>
    </row>
    <row r="206" spans="1:19" x14ac:dyDescent="0.25">
      <c r="A206">
        <v>6759</v>
      </c>
      <c r="B206">
        <v>134.67154207854401</v>
      </c>
      <c r="C206">
        <v>0.65828090388952398</v>
      </c>
      <c r="D206">
        <v>75.843854566527398</v>
      </c>
      <c r="E206">
        <v>31.160759328131999</v>
      </c>
      <c r="F206">
        <v>18.593098824652099</v>
      </c>
      <c r="G206">
        <v>0.49249714785399401</v>
      </c>
      <c r="H206">
        <v>0.72435096984205605</v>
      </c>
      <c r="I206">
        <v>1.0832727019231201</v>
      </c>
      <c r="J206">
        <v>70.533203333588006</v>
      </c>
      <c r="K206">
        <v>72.272393666035001</v>
      </c>
      <c r="L206" t="s">
        <v>34</v>
      </c>
      <c r="M206" t="s">
        <v>36</v>
      </c>
      <c r="N206">
        <v>25</v>
      </c>
      <c r="O206">
        <v>81.284260299262797</v>
      </c>
      <c r="P206">
        <v>21.458058276805001</v>
      </c>
      <c r="Q206" t="s">
        <v>24</v>
      </c>
      <c r="R206">
        <v>204</v>
      </c>
      <c r="S206">
        <v>64.374680101975201</v>
      </c>
    </row>
    <row r="207" spans="1:19" x14ac:dyDescent="0.25">
      <c r="A207">
        <v>7694</v>
      </c>
      <c r="B207">
        <v>158.76786546896099</v>
      </c>
      <c r="C207">
        <v>1.0970649667518999</v>
      </c>
      <c r="D207">
        <v>66.253419631872504</v>
      </c>
      <c r="E207">
        <v>32.764463218334399</v>
      </c>
      <c r="F207">
        <v>26.839130120126001</v>
      </c>
      <c r="G207">
        <v>1.8110609459361799</v>
      </c>
      <c r="H207">
        <v>0.64745202959702797</v>
      </c>
      <c r="I207">
        <v>5.1450940680602999</v>
      </c>
      <c r="J207">
        <v>84.770907479022895</v>
      </c>
      <c r="K207">
        <v>66.598801614275203</v>
      </c>
      <c r="L207" t="s">
        <v>27</v>
      </c>
      <c r="M207" t="s">
        <v>37</v>
      </c>
      <c r="N207">
        <v>25</v>
      </c>
      <c r="O207">
        <v>78.045722535526494</v>
      </c>
      <c r="P207">
        <v>28.5710819952427</v>
      </c>
      <c r="Q207" t="s">
        <v>31</v>
      </c>
      <c r="R207">
        <v>205</v>
      </c>
      <c r="S207">
        <v>85.681690949468603</v>
      </c>
    </row>
    <row r="208" spans="1:19" x14ac:dyDescent="0.25">
      <c r="A208">
        <v>3385</v>
      </c>
      <c r="B208">
        <v>185.53864851747201</v>
      </c>
      <c r="C208">
        <v>1.9824258165487201</v>
      </c>
      <c r="D208">
        <v>25.2353753335005</v>
      </c>
      <c r="E208">
        <v>33.362040010682001</v>
      </c>
      <c r="F208">
        <v>26.968911072652102</v>
      </c>
      <c r="G208">
        <v>1.4348436030845999</v>
      </c>
      <c r="H208">
        <v>0.87210535886858398</v>
      </c>
      <c r="I208">
        <v>5.3950142170390096</v>
      </c>
      <c r="J208">
        <v>70.263980497553504</v>
      </c>
      <c r="K208">
        <v>39.211087328538198</v>
      </c>
      <c r="L208" t="s">
        <v>22</v>
      </c>
      <c r="M208" t="s">
        <v>26</v>
      </c>
      <c r="N208">
        <v>33</v>
      </c>
      <c r="O208">
        <v>63.535347165489</v>
      </c>
      <c r="P208">
        <v>13.7471955654654</v>
      </c>
      <c r="Q208" t="s">
        <v>24</v>
      </c>
      <c r="R208">
        <v>206</v>
      </c>
      <c r="S208">
        <v>103.75812078103399</v>
      </c>
    </row>
    <row r="209" spans="1:19" x14ac:dyDescent="0.25">
      <c r="A209">
        <v>5736</v>
      </c>
      <c r="B209">
        <v>124.382624541593</v>
      </c>
      <c r="C209">
        <v>2.3077914117741098</v>
      </c>
      <c r="D209">
        <v>27.5859969472986</v>
      </c>
      <c r="E209">
        <v>33.210643475494301</v>
      </c>
      <c r="F209">
        <v>28.869571926057201</v>
      </c>
      <c r="G209">
        <v>0.649823098946401</v>
      </c>
      <c r="H209">
        <v>0.92625961714868399</v>
      </c>
      <c r="I209">
        <v>1.20312726916098</v>
      </c>
      <c r="J209">
        <v>69.181132232245602</v>
      </c>
      <c r="K209">
        <v>55.911611104272097</v>
      </c>
      <c r="L209" t="s">
        <v>34</v>
      </c>
      <c r="M209" t="s">
        <v>35</v>
      </c>
      <c r="N209">
        <v>29</v>
      </c>
      <c r="O209">
        <v>66.614342209431499</v>
      </c>
      <c r="P209">
        <v>18.1271411355834</v>
      </c>
      <c r="Q209" t="s">
        <v>24</v>
      </c>
      <c r="R209">
        <v>207</v>
      </c>
      <c r="S209">
        <v>58.2264997080092</v>
      </c>
    </row>
    <row r="210" spans="1:19" x14ac:dyDescent="0.25">
      <c r="A210">
        <v>2802</v>
      </c>
      <c r="B210">
        <v>125.21121114963501</v>
      </c>
      <c r="C210">
        <v>0.88282556406003898</v>
      </c>
      <c r="D210">
        <v>57.862696442856397</v>
      </c>
      <c r="E210">
        <v>30.787447699823101</v>
      </c>
      <c r="F210">
        <v>17.738066169629398</v>
      </c>
      <c r="G210">
        <v>0.31808137690105298</v>
      </c>
      <c r="H210">
        <v>0.67446989509724398</v>
      </c>
      <c r="I210">
        <v>7.18234675096872</v>
      </c>
      <c r="J210">
        <v>37.1789109477766</v>
      </c>
      <c r="K210">
        <v>26.045535637374499</v>
      </c>
      <c r="L210" t="s">
        <v>19</v>
      </c>
      <c r="M210" t="s">
        <v>36</v>
      </c>
      <c r="N210">
        <v>32</v>
      </c>
      <c r="O210">
        <v>70.793497822837693</v>
      </c>
      <c r="P210">
        <v>9.7731582413390505</v>
      </c>
      <c r="Q210" t="s">
        <v>31</v>
      </c>
      <c r="R210">
        <v>208</v>
      </c>
      <c r="S210">
        <v>74.526769313885694</v>
      </c>
    </row>
    <row r="211" spans="1:19" x14ac:dyDescent="0.25">
      <c r="A211">
        <v>9155</v>
      </c>
      <c r="B211">
        <v>155.88321754138099</v>
      </c>
      <c r="C211">
        <v>1.2037678704235499</v>
      </c>
      <c r="D211">
        <v>79.153731721070997</v>
      </c>
      <c r="E211">
        <v>31.9316185823761</v>
      </c>
      <c r="F211">
        <v>24.376828053459999</v>
      </c>
      <c r="G211">
        <v>1.4431075622959399</v>
      </c>
      <c r="H211">
        <v>0.912344277035394</v>
      </c>
      <c r="I211">
        <v>3.6460304973545701</v>
      </c>
      <c r="J211">
        <v>47.871371514114898</v>
      </c>
      <c r="K211">
        <v>48.942337757668597</v>
      </c>
      <c r="L211" t="s">
        <v>34</v>
      </c>
      <c r="M211" t="s">
        <v>35</v>
      </c>
      <c r="N211">
        <v>25</v>
      </c>
      <c r="O211">
        <v>70.511482759722796</v>
      </c>
      <c r="P211">
        <v>21.838913053615201</v>
      </c>
      <c r="Q211" t="s">
        <v>21</v>
      </c>
      <c r="R211">
        <v>209</v>
      </c>
      <c r="S211">
        <v>76.604348341980696</v>
      </c>
    </row>
    <row r="212" spans="1:19" x14ac:dyDescent="0.25">
      <c r="A212">
        <v>9120</v>
      </c>
      <c r="B212">
        <v>148.63782979252599</v>
      </c>
      <c r="C212">
        <v>1.48679712152053</v>
      </c>
      <c r="D212">
        <v>20</v>
      </c>
      <c r="E212">
        <v>32.923106683021501</v>
      </c>
      <c r="F212">
        <v>25.1622710832115</v>
      </c>
      <c r="G212">
        <v>1.2303339067419701</v>
      </c>
      <c r="H212">
        <v>0.72083310049368399</v>
      </c>
      <c r="I212">
        <v>6.0390379138235399</v>
      </c>
      <c r="J212">
        <v>35.885269194395498</v>
      </c>
      <c r="K212">
        <v>81.089800466672997</v>
      </c>
      <c r="L212" t="s">
        <v>22</v>
      </c>
      <c r="M212" t="s">
        <v>33</v>
      </c>
      <c r="N212">
        <v>39</v>
      </c>
      <c r="O212">
        <v>73.447758055564194</v>
      </c>
      <c r="P212">
        <v>19.588062410381699</v>
      </c>
      <c r="Q212" t="s">
        <v>24</v>
      </c>
      <c r="R212">
        <v>210</v>
      </c>
      <c r="S212">
        <v>81.137963791865701</v>
      </c>
    </row>
    <row r="213" spans="1:19" x14ac:dyDescent="0.25">
      <c r="A213">
        <v>7616</v>
      </c>
      <c r="B213">
        <v>171.93414651472</v>
      </c>
      <c r="C213">
        <v>1.6400805794097999</v>
      </c>
      <c r="D213">
        <v>60.005396476967299</v>
      </c>
      <c r="E213">
        <v>33.643549091420603</v>
      </c>
      <c r="F213">
        <v>19.629109124480099</v>
      </c>
      <c r="G213">
        <v>0.928135144024823</v>
      </c>
      <c r="H213">
        <v>0.69611130279303801</v>
      </c>
      <c r="I213">
        <v>3.7082716584887598</v>
      </c>
      <c r="J213">
        <v>39.566629562534203</v>
      </c>
      <c r="K213">
        <v>46.589353486904301</v>
      </c>
      <c r="L213" t="s">
        <v>34</v>
      </c>
      <c r="M213" t="s">
        <v>20</v>
      </c>
      <c r="N213">
        <v>26</v>
      </c>
      <c r="O213">
        <v>69.624490839170704</v>
      </c>
      <c r="P213">
        <v>21.686956768247502</v>
      </c>
      <c r="Q213" t="s">
        <v>25</v>
      </c>
      <c r="R213">
        <v>211</v>
      </c>
      <c r="S213">
        <v>90.944500824209896</v>
      </c>
    </row>
    <row r="214" spans="1:19" x14ac:dyDescent="0.25">
      <c r="A214">
        <v>6534</v>
      </c>
      <c r="B214">
        <v>146.67856370651899</v>
      </c>
      <c r="C214">
        <v>1.09519824003917</v>
      </c>
      <c r="D214">
        <v>59.475042869651503</v>
      </c>
      <c r="E214">
        <v>30.364646614680002</v>
      </c>
      <c r="F214">
        <v>18.141140213035602</v>
      </c>
      <c r="G214">
        <v>0.85450060854211496</v>
      </c>
      <c r="H214">
        <v>0.64996550312544599</v>
      </c>
      <c r="I214">
        <v>2.50420883382376</v>
      </c>
      <c r="J214">
        <v>117.29773804203001</v>
      </c>
      <c r="K214">
        <v>77.967502985656594</v>
      </c>
      <c r="L214" t="s">
        <v>34</v>
      </c>
      <c r="M214" t="s">
        <v>20</v>
      </c>
      <c r="N214">
        <v>20</v>
      </c>
      <c r="O214">
        <v>65.109377173089896</v>
      </c>
      <c r="P214">
        <v>10.0891263798145</v>
      </c>
      <c r="Q214" t="s">
        <v>21</v>
      </c>
      <c r="R214">
        <v>212</v>
      </c>
      <c r="S214">
        <v>67.623981947324395</v>
      </c>
    </row>
    <row r="215" spans="1:19" x14ac:dyDescent="0.25">
      <c r="A215">
        <v>5061</v>
      </c>
      <c r="B215">
        <v>127.81415818425801</v>
      </c>
      <c r="C215">
        <v>1.71203052223204</v>
      </c>
      <c r="D215">
        <v>97.766755564168903</v>
      </c>
      <c r="E215">
        <v>32.805451229424101</v>
      </c>
      <c r="F215">
        <v>30.047603328879799</v>
      </c>
      <c r="G215">
        <v>0.59026569667239404</v>
      </c>
      <c r="H215">
        <v>0.51510826884156502</v>
      </c>
      <c r="I215">
        <v>4.6645636473898699</v>
      </c>
      <c r="J215">
        <v>35.311344577219799</v>
      </c>
      <c r="K215">
        <v>59.269002394476999</v>
      </c>
      <c r="L215" t="s">
        <v>27</v>
      </c>
      <c r="M215" t="s">
        <v>36</v>
      </c>
      <c r="N215">
        <v>39</v>
      </c>
      <c r="O215">
        <v>69.095564869102105</v>
      </c>
      <c r="P215">
        <v>24.124525439181799</v>
      </c>
      <c r="Q215" t="s">
        <v>21</v>
      </c>
      <c r="R215">
        <v>213</v>
      </c>
      <c r="S215">
        <v>73.901181280468606</v>
      </c>
    </row>
    <row r="216" spans="1:19" x14ac:dyDescent="0.25">
      <c r="A216">
        <v>1262</v>
      </c>
      <c r="B216">
        <v>146.813096613846</v>
      </c>
      <c r="C216">
        <v>1.26308032646454</v>
      </c>
      <c r="D216">
        <v>62.299563765742697</v>
      </c>
      <c r="E216">
        <v>33.171658523854703</v>
      </c>
      <c r="F216">
        <v>23.137479378660199</v>
      </c>
      <c r="G216">
        <v>1.4053002617675301</v>
      </c>
      <c r="H216">
        <v>0.40204581344993201</v>
      </c>
      <c r="I216">
        <v>3.0904602831145001</v>
      </c>
      <c r="J216">
        <v>46.9270424305207</v>
      </c>
      <c r="K216">
        <v>29.390753482676701</v>
      </c>
      <c r="L216" t="s">
        <v>27</v>
      </c>
      <c r="M216" t="s">
        <v>35</v>
      </c>
      <c r="N216">
        <v>38</v>
      </c>
      <c r="O216">
        <v>75.990281986331297</v>
      </c>
      <c r="P216">
        <v>18.816182967963002</v>
      </c>
      <c r="Q216" t="s">
        <v>24</v>
      </c>
      <c r="R216">
        <v>214</v>
      </c>
      <c r="S216">
        <v>81.644402981495404</v>
      </c>
    </row>
    <row r="217" spans="1:19" x14ac:dyDescent="0.25">
      <c r="A217">
        <v>7287</v>
      </c>
      <c r="B217">
        <v>157.17407161165801</v>
      </c>
      <c r="C217">
        <v>1.4927738645608599</v>
      </c>
      <c r="D217">
        <v>77.659779694818496</v>
      </c>
      <c r="E217">
        <v>34.019534386219398</v>
      </c>
      <c r="F217">
        <v>25.179838753558599</v>
      </c>
      <c r="G217">
        <v>1.94720245002896</v>
      </c>
      <c r="H217">
        <v>0.53282842477083303</v>
      </c>
      <c r="I217">
        <v>5.8132087922725102</v>
      </c>
      <c r="J217">
        <v>79.058965773858404</v>
      </c>
      <c r="K217">
        <v>58.582968352342199</v>
      </c>
      <c r="L217" t="s">
        <v>19</v>
      </c>
      <c r="M217" t="s">
        <v>36</v>
      </c>
      <c r="N217">
        <v>33</v>
      </c>
      <c r="O217">
        <v>91.330227713177393</v>
      </c>
      <c r="P217">
        <v>26.235982631398301</v>
      </c>
      <c r="Q217" t="s">
        <v>31</v>
      </c>
      <c r="R217">
        <v>215</v>
      </c>
      <c r="S217">
        <v>88.209023193837297</v>
      </c>
    </row>
    <row r="218" spans="1:19" x14ac:dyDescent="0.25">
      <c r="A218">
        <v>9815</v>
      </c>
      <c r="B218">
        <v>151.40964362394701</v>
      </c>
      <c r="C218">
        <v>1.7731421240018399</v>
      </c>
      <c r="D218">
        <v>72.825142801749195</v>
      </c>
      <c r="E218">
        <v>33.8314291010849</v>
      </c>
      <c r="F218">
        <v>17.8896199408603</v>
      </c>
      <c r="G218">
        <v>0.516287442506286</v>
      </c>
      <c r="H218">
        <v>0.68034774438196</v>
      </c>
      <c r="I218">
        <v>2.7894567725783102</v>
      </c>
      <c r="J218">
        <v>81.017857623664099</v>
      </c>
      <c r="K218">
        <v>52.948749686779699</v>
      </c>
      <c r="L218" t="s">
        <v>27</v>
      </c>
      <c r="M218" t="s">
        <v>26</v>
      </c>
      <c r="N218">
        <v>32</v>
      </c>
      <c r="O218">
        <v>64.008470148070501</v>
      </c>
      <c r="P218">
        <v>14.498128546997201</v>
      </c>
      <c r="Q218" t="s">
        <v>21</v>
      </c>
      <c r="R218">
        <v>216</v>
      </c>
      <c r="S218">
        <v>80.328604876917794</v>
      </c>
    </row>
    <row r="219" spans="1:19" x14ac:dyDescent="0.25">
      <c r="A219">
        <v>3049</v>
      </c>
      <c r="B219">
        <v>145.14548062214499</v>
      </c>
      <c r="C219">
        <v>1.50321113490546</v>
      </c>
      <c r="D219">
        <v>27.388670403855901</v>
      </c>
      <c r="E219">
        <v>33.699085582570497</v>
      </c>
      <c r="F219">
        <v>15.903577667388999</v>
      </c>
      <c r="G219">
        <v>1.2748099160279001</v>
      </c>
      <c r="H219">
        <v>0.608977973742863</v>
      </c>
      <c r="I219">
        <v>5.5756537898016401</v>
      </c>
      <c r="J219">
        <v>35.397412974382902</v>
      </c>
      <c r="K219">
        <v>44.898100139728797</v>
      </c>
      <c r="L219" t="s">
        <v>34</v>
      </c>
      <c r="M219" t="s">
        <v>20</v>
      </c>
      <c r="N219">
        <v>21</v>
      </c>
      <c r="O219">
        <v>69.809636498592496</v>
      </c>
      <c r="P219">
        <v>23.4592844488003</v>
      </c>
      <c r="Q219" t="s">
        <v>31</v>
      </c>
      <c r="R219">
        <v>217</v>
      </c>
      <c r="S219">
        <v>81.5920963284305</v>
      </c>
    </row>
    <row r="220" spans="1:19" x14ac:dyDescent="0.25">
      <c r="A220">
        <v>6423</v>
      </c>
      <c r="B220">
        <v>156.33349379178301</v>
      </c>
      <c r="C220">
        <v>1.28180705473671</v>
      </c>
      <c r="D220">
        <v>85.364144332634694</v>
      </c>
      <c r="E220">
        <v>32.040071391957603</v>
      </c>
      <c r="F220">
        <v>19.1527511275394</v>
      </c>
      <c r="G220">
        <v>0.96353310034275697</v>
      </c>
      <c r="H220">
        <v>0.64666687540144796</v>
      </c>
      <c r="I220">
        <v>2.4164066338198</v>
      </c>
      <c r="J220">
        <v>99.371742578521193</v>
      </c>
      <c r="K220">
        <v>23.972282963705201</v>
      </c>
      <c r="L220" t="s">
        <v>27</v>
      </c>
      <c r="M220" t="s">
        <v>30</v>
      </c>
      <c r="N220">
        <v>37</v>
      </c>
      <c r="O220">
        <v>65.093750173772307</v>
      </c>
      <c r="P220">
        <v>21.560251524458401</v>
      </c>
      <c r="Q220" t="s">
        <v>25</v>
      </c>
      <c r="R220">
        <v>218</v>
      </c>
      <c r="S220">
        <v>80.771205662685503</v>
      </c>
    </row>
    <row r="221" spans="1:19" x14ac:dyDescent="0.25">
      <c r="A221">
        <v>5548</v>
      </c>
      <c r="B221">
        <v>158.38591180891299</v>
      </c>
      <c r="C221">
        <v>1.44519509803708</v>
      </c>
      <c r="D221">
        <v>74.307930109125707</v>
      </c>
      <c r="E221">
        <v>30.710397435451998</v>
      </c>
      <c r="F221">
        <v>21.379893063050002</v>
      </c>
      <c r="G221">
        <v>1.0040396991403899</v>
      </c>
      <c r="H221">
        <v>0.93935652076022702</v>
      </c>
      <c r="I221">
        <v>7.0387723853720603</v>
      </c>
      <c r="J221">
        <v>98.520286791282501</v>
      </c>
      <c r="K221">
        <v>46.253149788542203</v>
      </c>
      <c r="L221" t="s">
        <v>22</v>
      </c>
      <c r="M221" t="s">
        <v>37</v>
      </c>
      <c r="N221">
        <v>33</v>
      </c>
      <c r="O221">
        <v>70.460412882920494</v>
      </c>
      <c r="P221">
        <v>30.1972069223267</v>
      </c>
      <c r="Q221" t="s">
        <v>31</v>
      </c>
      <c r="R221">
        <v>219</v>
      </c>
      <c r="S221">
        <v>92.177481701871898</v>
      </c>
    </row>
    <row r="222" spans="1:19" x14ac:dyDescent="0.25">
      <c r="A222">
        <v>4108</v>
      </c>
      <c r="B222">
        <v>162.64317982074999</v>
      </c>
      <c r="C222">
        <v>1.45581852039733</v>
      </c>
      <c r="D222">
        <v>80.165372793491798</v>
      </c>
      <c r="E222">
        <v>32.528336691526299</v>
      </c>
      <c r="F222">
        <v>16.6788999659132</v>
      </c>
      <c r="G222">
        <v>0.65746510423006499</v>
      </c>
      <c r="H222">
        <v>0.59264980386813004</v>
      </c>
      <c r="I222">
        <v>7.7854391599728103</v>
      </c>
      <c r="J222">
        <v>43.731770420389097</v>
      </c>
      <c r="K222">
        <v>20.457178217972</v>
      </c>
      <c r="L222" t="s">
        <v>34</v>
      </c>
      <c r="M222" t="s">
        <v>32</v>
      </c>
      <c r="N222">
        <v>27</v>
      </c>
      <c r="O222">
        <v>75.805221110304799</v>
      </c>
      <c r="P222">
        <v>17.0695208180971</v>
      </c>
      <c r="Q222" t="s">
        <v>29</v>
      </c>
      <c r="R222">
        <v>220</v>
      </c>
      <c r="S222">
        <v>91.272317702577993</v>
      </c>
    </row>
    <row r="223" spans="1:19" x14ac:dyDescent="0.25">
      <c r="A223">
        <v>8158</v>
      </c>
      <c r="B223">
        <v>147.97419775179199</v>
      </c>
      <c r="C223">
        <v>1.3149944850589299</v>
      </c>
      <c r="D223">
        <v>148.52475412872599</v>
      </c>
      <c r="E223">
        <v>34.201958190250203</v>
      </c>
      <c r="F223">
        <v>21.950775956748</v>
      </c>
      <c r="G223">
        <v>1.68524277619055</v>
      </c>
      <c r="H223">
        <v>0.648700616648059</v>
      </c>
      <c r="I223">
        <v>1.9935481082494</v>
      </c>
      <c r="J223">
        <v>48.866630267546</v>
      </c>
      <c r="K223">
        <v>22.407678854906301</v>
      </c>
      <c r="L223" t="s">
        <v>34</v>
      </c>
      <c r="M223" t="s">
        <v>33</v>
      </c>
      <c r="N223">
        <v>28</v>
      </c>
      <c r="O223">
        <v>66.335010114317598</v>
      </c>
      <c r="P223">
        <v>13.5609893286824</v>
      </c>
      <c r="Q223" t="s">
        <v>31</v>
      </c>
      <c r="R223">
        <v>221</v>
      </c>
      <c r="S223">
        <v>71.196964038636594</v>
      </c>
    </row>
    <row r="224" spans="1:19" x14ac:dyDescent="0.25">
      <c r="A224">
        <v>8400</v>
      </c>
      <c r="B224">
        <v>131.65763839366201</v>
      </c>
      <c r="C224">
        <v>1.3706019686664399</v>
      </c>
      <c r="D224">
        <v>28.317741210028199</v>
      </c>
      <c r="E224">
        <v>34.6721454330293</v>
      </c>
      <c r="F224">
        <v>13.557474059657499</v>
      </c>
      <c r="G224">
        <v>1.07346008746503</v>
      </c>
      <c r="H224">
        <v>0.47343355324405001</v>
      </c>
      <c r="I224">
        <v>5.21022170833605</v>
      </c>
      <c r="J224">
        <v>113.798786545949</v>
      </c>
      <c r="K224">
        <v>46.193739969953697</v>
      </c>
      <c r="L224" t="s">
        <v>34</v>
      </c>
      <c r="M224" t="s">
        <v>30</v>
      </c>
      <c r="N224">
        <v>22</v>
      </c>
      <c r="O224">
        <v>51.631741315860801</v>
      </c>
      <c r="P224">
        <v>14.0497083201734</v>
      </c>
      <c r="Q224" t="s">
        <v>21</v>
      </c>
      <c r="R224">
        <v>222</v>
      </c>
      <c r="S224">
        <v>76.349941796961801</v>
      </c>
    </row>
    <row r="225" spans="1:19" x14ac:dyDescent="0.25">
      <c r="A225">
        <v>4170</v>
      </c>
      <c r="B225">
        <v>137.934273728666</v>
      </c>
      <c r="C225">
        <v>2.2993235852523499</v>
      </c>
      <c r="D225">
        <v>104.493932995222</v>
      </c>
      <c r="E225">
        <v>33.8526589227573</v>
      </c>
      <c r="F225">
        <v>16.399762887650599</v>
      </c>
      <c r="G225">
        <v>1.17813053395687</v>
      </c>
      <c r="H225">
        <v>0.42637675284034299</v>
      </c>
      <c r="I225">
        <v>1.63784530589386</v>
      </c>
      <c r="J225">
        <v>102.56714459794701</v>
      </c>
      <c r="K225">
        <v>37.903611147634699</v>
      </c>
      <c r="L225" t="s">
        <v>22</v>
      </c>
      <c r="M225" t="s">
        <v>30</v>
      </c>
      <c r="N225">
        <v>28</v>
      </c>
      <c r="O225">
        <v>76.228589786806893</v>
      </c>
      <c r="P225">
        <v>9.1334398079529304</v>
      </c>
      <c r="Q225" t="s">
        <v>31</v>
      </c>
      <c r="R225">
        <v>223</v>
      </c>
      <c r="S225">
        <v>67.332851129324496</v>
      </c>
    </row>
    <row r="226" spans="1:19" x14ac:dyDescent="0.25">
      <c r="A226">
        <v>3255</v>
      </c>
      <c r="B226">
        <v>159.13017933016701</v>
      </c>
      <c r="C226">
        <v>1.7804597239706099</v>
      </c>
      <c r="D226">
        <v>64.251049611992798</v>
      </c>
      <c r="E226">
        <v>33.515208987362001</v>
      </c>
      <c r="F226">
        <v>25.354556241384302</v>
      </c>
      <c r="G226">
        <v>0.74856964303518603</v>
      </c>
      <c r="H226">
        <v>0.826475233025872</v>
      </c>
      <c r="I226">
        <v>6.3836420098780202</v>
      </c>
      <c r="J226">
        <v>89.779703306252301</v>
      </c>
      <c r="K226">
        <v>84.415824439666693</v>
      </c>
      <c r="L226" t="s">
        <v>34</v>
      </c>
      <c r="M226" t="s">
        <v>28</v>
      </c>
      <c r="N226">
        <v>30</v>
      </c>
      <c r="O226">
        <v>69.043352860074407</v>
      </c>
      <c r="P226">
        <v>13.9754253505153</v>
      </c>
      <c r="Q226" t="s">
        <v>31</v>
      </c>
      <c r="R226">
        <v>224</v>
      </c>
      <c r="S226">
        <v>87.438465676077399</v>
      </c>
    </row>
    <row r="227" spans="1:19" x14ac:dyDescent="0.25">
      <c r="A227">
        <v>2154</v>
      </c>
      <c r="B227">
        <v>118.66128658025499</v>
      </c>
      <c r="C227">
        <v>1.3522598409854101</v>
      </c>
      <c r="D227">
        <v>75.746578088060105</v>
      </c>
      <c r="E227">
        <v>33.455567578063103</v>
      </c>
      <c r="F227">
        <v>25.018952601389401</v>
      </c>
      <c r="G227">
        <v>0.52725523820050901</v>
      </c>
      <c r="H227">
        <v>0.71387574628958805</v>
      </c>
      <c r="I227">
        <v>3.3796386813667998</v>
      </c>
      <c r="J227">
        <v>28.22332215106</v>
      </c>
      <c r="K227">
        <v>43.177935403520202</v>
      </c>
      <c r="L227" t="s">
        <v>27</v>
      </c>
      <c r="M227" t="s">
        <v>30</v>
      </c>
      <c r="N227">
        <v>32</v>
      </c>
      <c r="O227">
        <v>65.263743780277196</v>
      </c>
      <c r="P227">
        <v>-0.72473939073494897</v>
      </c>
      <c r="Q227" t="s">
        <v>29</v>
      </c>
      <c r="R227">
        <v>225</v>
      </c>
      <c r="S227">
        <v>60.664032232814499</v>
      </c>
    </row>
    <row r="228" spans="1:19" x14ac:dyDescent="0.25">
      <c r="A228">
        <v>5499</v>
      </c>
      <c r="B228">
        <v>142.373466177458</v>
      </c>
      <c r="C228">
        <v>1.8484772022553599</v>
      </c>
      <c r="D228">
        <v>69.0897550939751</v>
      </c>
      <c r="E228">
        <v>32.332657503886999</v>
      </c>
      <c r="F228">
        <v>20.040616173065601</v>
      </c>
      <c r="G228">
        <v>0.35463869876507598</v>
      </c>
      <c r="H228">
        <v>0.81838764332414204</v>
      </c>
      <c r="I228">
        <v>5.7486201115483704</v>
      </c>
      <c r="J228">
        <v>61.826408090257502</v>
      </c>
      <c r="K228">
        <v>71.839359155407493</v>
      </c>
      <c r="L228" t="s">
        <v>22</v>
      </c>
      <c r="M228" t="s">
        <v>37</v>
      </c>
      <c r="N228">
        <v>23</v>
      </c>
      <c r="O228">
        <v>63.4776997950881</v>
      </c>
      <c r="P228">
        <v>28.950130236747501</v>
      </c>
      <c r="Q228" t="s">
        <v>29</v>
      </c>
      <c r="R228">
        <v>226</v>
      </c>
      <c r="S228">
        <v>81.662803123867306</v>
      </c>
    </row>
    <row r="229" spans="1:19" x14ac:dyDescent="0.25">
      <c r="A229">
        <v>7295</v>
      </c>
      <c r="B229">
        <v>127.133223753452</v>
      </c>
      <c r="C229">
        <v>1.3330902551219901</v>
      </c>
      <c r="D229">
        <v>61.515273332039101</v>
      </c>
      <c r="E229">
        <v>32.843927647735597</v>
      </c>
      <c r="F229">
        <v>16.9111784546152</v>
      </c>
      <c r="G229">
        <v>1.4854144536648399</v>
      </c>
      <c r="H229">
        <v>0.48242453938760299</v>
      </c>
      <c r="I229">
        <v>5.6571490844586201</v>
      </c>
      <c r="J229">
        <v>75.930187207682707</v>
      </c>
      <c r="K229">
        <v>54.768564477468203</v>
      </c>
      <c r="L229" t="s">
        <v>34</v>
      </c>
      <c r="M229" t="s">
        <v>37</v>
      </c>
      <c r="N229">
        <v>33</v>
      </c>
      <c r="O229">
        <v>70.489638499558893</v>
      </c>
      <c r="P229">
        <v>33.472382795494703</v>
      </c>
      <c r="Q229" t="s">
        <v>24</v>
      </c>
      <c r="R229">
        <v>227</v>
      </c>
      <c r="S229">
        <v>70.515730148282302</v>
      </c>
    </row>
    <row r="230" spans="1:19" x14ac:dyDescent="0.25">
      <c r="A230">
        <v>7197</v>
      </c>
      <c r="B230">
        <v>135.574896458696</v>
      </c>
      <c r="C230">
        <v>2.08656231879332</v>
      </c>
      <c r="D230">
        <v>58.603341435224799</v>
      </c>
      <c r="E230">
        <v>35.002883430991503</v>
      </c>
      <c r="F230">
        <v>16.862982242369899</v>
      </c>
      <c r="G230">
        <v>0.55322170703814</v>
      </c>
      <c r="H230">
        <v>0.71450582415048003</v>
      </c>
      <c r="I230">
        <v>9.3191891157441997</v>
      </c>
      <c r="J230">
        <v>38.741128798377602</v>
      </c>
      <c r="K230">
        <v>67.806425148175094</v>
      </c>
      <c r="L230" t="s">
        <v>27</v>
      </c>
      <c r="M230" t="s">
        <v>33</v>
      </c>
      <c r="N230">
        <v>32</v>
      </c>
      <c r="O230">
        <v>62.433015435338298</v>
      </c>
      <c r="P230">
        <v>16.819317598487501</v>
      </c>
      <c r="Q230" t="s">
        <v>21</v>
      </c>
      <c r="R230">
        <v>228</v>
      </c>
      <c r="S230">
        <v>83.608775493810199</v>
      </c>
    </row>
    <row r="231" spans="1:19" x14ac:dyDescent="0.25">
      <c r="A231">
        <v>2648</v>
      </c>
      <c r="B231">
        <v>160.56903725214499</v>
      </c>
      <c r="C231">
        <v>1.68482109609904</v>
      </c>
      <c r="D231">
        <v>76.590174711460094</v>
      </c>
      <c r="E231">
        <v>31.868930393049698</v>
      </c>
      <c r="F231">
        <v>20.133658770293401</v>
      </c>
      <c r="G231">
        <v>1.44213563753983</v>
      </c>
      <c r="H231">
        <v>0.53950336088775597</v>
      </c>
      <c r="I231">
        <v>5.9417490031184999</v>
      </c>
      <c r="J231">
        <v>64.822658210822397</v>
      </c>
      <c r="K231">
        <v>34.508698726154897</v>
      </c>
      <c r="L231" t="s">
        <v>27</v>
      </c>
      <c r="M231" t="s">
        <v>36</v>
      </c>
      <c r="N231">
        <v>28</v>
      </c>
      <c r="O231">
        <v>63.367943681104599</v>
      </c>
      <c r="P231">
        <v>21.5048111623639</v>
      </c>
      <c r="Q231" t="s">
        <v>24</v>
      </c>
      <c r="R231">
        <v>229</v>
      </c>
      <c r="S231">
        <v>89.345616090233804</v>
      </c>
    </row>
    <row r="232" spans="1:19" x14ac:dyDescent="0.25">
      <c r="A232">
        <v>6539</v>
      </c>
      <c r="B232">
        <v>138.82198136039801</v>
      </c>
      <c r="C232">
        <v>1.4463489279978801</v>
      </c>
      <c r="D232">
        <v>39.6565260665664</v>
      </c>
      <c r="E232">
        <v>34.9377345488518</v>
      </c>
      <c r="F232">
        <v>25.222592458226401</v>
      </c>
      <c r="G232">
        <v>0.90267760288451604</v>
      </c>
      <c r="H232">
        <v>0.525433999295011</v>
      </c>
      <c r="I232">
        <v>6.2469863174648399</v>
      </c>
      <c r="J232">
        <v>80.102587748868999</v>
      </c>
      <c r="K232">
        <v>85.642872962874605</v>
      </c>
      <c r="L232" t="s">
        <v>19</v>
      </c>
      <c r="M232" t="s">
        <v>23</v>
      </c>
      <c r="N232">
        <v>37</v>
      </c>
      <c r="O232">
        <v>58.011050907166499</v>
      </c>
      <c r="P232">
        <v>19.312072870826999</v>
      </c>
      <c r="Q232" t="s">
        <v>29</v>
      </c>
      <c r="R232">
        <v>230</v>
      </c>
      <c r="S232">
        <v>75.127357996096507</v>
      </c>
    </row>
    <row r="233" spans="1:19" x14ac:dyDescent="0.25">
      <c r="A233">
        <v>5199</v>
      </c>
      <c r="B233">
        <v>135.92873096312201</v>
      </c>
      <c r="C233">
        <v>1.7238584629051299</v>
      </c>
      <c r="D233">
        <v>85.011583350435302</v>
      </c>
      <c r="E233">
        <v>32.613566214609499</v>
      </c>
      <c r="F233">
        <v>26.641228456721599</v>
      </c>
      <c r="G233">
        <v>0.94839464178137201</v>
      </c>
      <c r="H233">
        <v>0.40633930772914101</v>
      </c>
      <c r="I233">
        <v>4.6148781318794203</v>
      </c>
      <c r="J233">
        <v>52.737668011539903</v>
      </c>
      <c r="K233">
        <v>54.756637268581798</v>
      </c>
      <c r="L233" t="s">
        <v>27</v>
      </c>
      <c r="M233" t="s">
        <v>23</v>
      </c>
      <c r="N233">
        <v>19</v>
      </c>
      <c r="O233">
        <v>62.541095038469898</v>
      </c>
      <c r="P233">
        <v>7.4955254288364701</v>
      </c>
      <c r="Q233" t="s">
        <v>31</v>
      </c>
      <c r="R233">
        <v>231</v>
      </c>
      <c r="S233">
        <v>73.364976597589205</v>
      </c>
    </row>
    <row r="234" spans="1:19" x14ac:dyDescent="0.25">
      <c r="A234">
        <v>9445</v>
      </c>
      <c r="B234">
        <v>107.802877180401</v>
      </c>
      <c r="C234">
        <v>0.71456192396575002</v>
      </c>
      <c r="D234">
        <v>61.676111902294899</v>
      </c>
      <c r="E234">
        <v>34.590518530913997</v>
      </c>
      <c r="F234">
        <v>19.517341322590099</v>
      </c>
      <c r="G234">
        <v>1.0445194929669801</v>
      </c>
      <c r="H234">
        <v>0.47168739796298897</v>
      </c>
      <c r="I234">
        <v>9.5417164286453495</v>
      </c>
      <c r="J234">
        <v>98.094481895048702</v>
      </c>
      <c r="K234">
        <v>77.349305346393706</v>
      </c>
      <c r="L234" t="s">
        <v>27</v>
      </c>
      <c r="M234" t="s">
        <v>35</v>
      </c>
      <c r="N234">
        <v>19</v>
      </c>
      <c r="O234">
        <v>73.046910070700093</v>
      </c>
      <c r="P234">
        <v>26.2100762516008</v>
      </c>
      <c r="Q234" t="s">
        <v>29</v>
      </c>
      <c r="R234">
        <v>232</v>
      </c>
      <c r="S234">
        <v>70.169768976250495</v>
      </c>
    </row>
    <row r="235" spans="1:19" x14ac:dyDescent="0.25">
      <c r="A235">
        <v>3557</v>
      </c>
      <c r="B235">
        <v>149.92507132054399</v>
      </c>
      <c r="C235">
        <v>0.93661626554509703</v>
      </c>
      <c r="D235">
        <v>47.398613219192796</v>
      </c>
      <c r="E235">
        <v>31.311821988602901</v>
      </c>
      <c r="F235">
        <v>16.232537870076001</v>
      </c>
      <c r="G235">
        <v>0.86187531462957701</v>
      </c>
      <c r="H235">
        <v>0.57009746132483197</v>
      </c>
      <c r="I235">
        <v>7.99467318495648</v>
      </c>
      <c r="J235">
        <v>104.04495816388</v>
      </c>
      <c r="K235">
        <v>42.378427010708499</v>
      </c>
      <c r="L235" t="s">
        <v>19</v>
      </c>
      <c r="M235" t="s">
        <v>35</v>
      </c>
      <c r="N235">
        <v>29</v>
      </c>
      <c r="O235">
        <v>56.950639528316501</v>
      </c>
      <c r="P235">
        <v>27.403603910697399</v>
      </c>
      <c r="Q235" t="s">
        <v>25</v>
      </c>
      <c r="R235">
        <v>233</v>
      </c>
      <c r="S235">
        <v>89.561292837045102</v>
      </c>
    </row>
    <row r="236" spans="1:19" x14ac:dyDescent="0.25">
      <c r="A236">
        <v>6592</v>
      </c>
      <c r="B236">
        <v>147.90968362282101</v>
      </c>
      <c r="C236">
        <v>0.90303749680047196</v>
      </c>
      <c r="D236">
        <v>60.999742840083698</v>
      </c>
      <c r="E236">
        <v>33.7030850413975</v>
      </c>
      <c r="F236">
        <v>23.3392181893316</v>
      </c>
      <c r="G236">
        <v>0.38111595900066197</v>
      </c>
      <c r="H236">
        <v>0.46428331832501601</v>
      </c>
      <c r="I236">
        <v>3.5686476127255702</v>
      </c>
      <c r="J236">
        <v>52.360946943407001</v>
      </c>
      <c r="K236">
        <v>22.515851178789301</v>
      </c>
      <c r="L236" t="s">
        <v>19</v>
      </c>
      <c r="M236" t="s">
        <v>32</v>
      </c>
      <c r="N236">
        <v>33</v>
      </c>
      <c r="O236">
        <v>77.216538746656198</v>
      </c>
      <c r="P236">
        <v>9.6721307923616298</v>
      </c>
      <c r="Q236" t="s">
        <v>31</v>
      </c>
      <c r="R236">
        <v>234</v>
      </c>
      <c r="S236">
        <v>82.317485223129594</v>
      </c>
    </row>
    <row r="237" spans="1:19" x14ac:dyDescent="0.25">
      <c r="A237">
        <v>1098</v>
      </c>
      <c r="B237">
        <v>178.26509446610899</v>
      </c>
      <c r="C237">
        <v>1.5714715473818499</v>
      </c>
      <c r="D237">
        <v>95.142984337251406</v>
      </c>
      <c r="E237">
        <v>32.115875836862799</v>
      </c>
      <c r="F237">
        <v>17.882325146870699</v>
      </c>
      <c r="G237">
        <v>0.75733725800512197</v>
      </c>
      <c r="H237">
        <v>0.94222214222601497</v>
      </c>
      <c r="I237">
        <v>8.5978862719860807</v>
      </c>
      <c r="J237">
        <v>103.865715449245</v>
      </c>
      <c r="K237">
        <v>65.528373579063597</v>
      </c>
      <c r="L237" t="s">
        <v>22</v>
      </c>
      <c r="M237" t="s">
        <v>37</v>
      </c>
      <c r="N237">
        <v>36</v>
      </c>
      <c r="O237">
        <v>58.568373977279599</v>
      </c>
      <c r="P237">
        <v>20.639115363023699</v>
      </c>
      <c r="Q237" t="s">
        <v>24</v>
      </c>
      <c r="R237">
        <v>235</v>
      </c>
      <c r="S237">
        <v>101.720187209274</v>
      </c>
    </row>
    <row r="238" spans="1:19" x14ac:dyDescent="0.25">
      <c r="A238">
        <v>3200</v>
      </c>
      <c r="B238">
        <v>128.84443530093901</v>
      </c>
      <c r="C238">
        <v>2.3662574997425398</v>
      </c>
      <c r="D238">
        <v>59.293298259675502</v>
      </c>
      <c r="E238">
        <v>31.301679369690898</v>
      </c>
      <c r="F238">
        <v>19.408736805693898</v>
      </c>
      <c r="G238">
        <v>1.39472184924908</v>
      </c>
      <c r="H238">
        <v>0.56974795668817202</v>
      </c>
      <c r="I238">
        <v>4.8915672416657996</v>
      </c>
      <c r="J238">
        <v>30.3576566103015</v>
      </c>
      <c r="K238">
        <v>15.5819736253068</v>
      </c>
      <c r="L238" t="s">
        <v>27</v>
      </c>
      <c r="M238" t="s">
        <v>35</v>
      </c>
      <c r="N238">
        <v>19</v>
      </c>
      <c r="O238">
        <v>69.199486510471999</v>
      </c>
      <c r="P238">
        <v>15.897909777130799</v>
      </c>
      <c r="Q238" t="s">
        <v>31</v>
      </c>
      <c r="R238">
        <v>236</v>
      </c>
      <c r="S238">
        <v>68.123169627590599</v>
      </c>
    </row>
    <row r="239" spans="1:19" x14ac:dyDescent="0.25">
      <c r="A239">
        <v>3961</v>
      </c>
      <c r="B239">
        <v>139.38300655327799</v>
      </c>
      <c r="C239">
        <v>2.6156500730963099</v>
      </c>
      <c r="D239">
        <v>77.169072364192402</v>
      </c>
      <c r="E239">
        <v>33.2622408508931</v>
      </c>
      <c r="F239">
        <v>28.626380452185099</v>
      </c>
      <c r="G239">
        <v>1.39841192264396</v>
      </c>
      <c r="H239">
        <v>0.47167817068627999</v>
      </c>
      <c r="I239">
        <v>8.4580042918023395</v>
      </c>
      <c r="J239">
        <v>103.772909862265</v>
      </c>
      <c r="K239">
        <v>50.646973242413097</v>
      </c>
      <c r="L239" t="s">
        <v>22</v>
      </c>
      <c r="M239" t="s">
        <v>28</v>
      </c>
      <c r="N239">
        <v>34</v>
      </c>
      <c r="O239">
        <v>71.879590460811499</v>
      </c>
      <c r="P239">
        <v>27.519376049955898</v>
      </c>
      <c r="Q239" t="s">
        <v>25</v>
      </c>
      <c r="R239">
        <v>237</v>
      </c>
      <c r="S239">
        <v>86.128233698948506</v>
      </c>
    </row>
    <row r="240" spans="1:19" x14ac:dyDescent="0.25">
      <c r="A240">
        <v>5973</v>
      </c>
      <c r="B240">
        <v>139.98767367421499</v>
      </c>
      <c r="C240">
        <v>1.8190255507203701</v>
      </c>
      <c r="D240">
        <v>55.380874485690498</v>
      </c>
      <c r="E240">
        <v>34.2113661463151</v>
      </c>
      <c r="F240">
        <v>26.135577142828801</v>
      </c>
      <c r="G240">
        <v>0.71520375303198902</v>
      </c>
      <c r="H240">
        <v>0.50949527205537604</v>
      </c>
      <c r="I240">
        <v>8.4059926146415194</v>
      </c>
      <c r="J240">
        <v>35.275043166761598</v>
      </c>
      <c r="K240">
        <v>29.460142699984399</v>
      </c>
      <c r="L240" t="s">
        <v>22</v>
      </c>
      <c r="M240" t="s">
        <v>35</v>
      </c>
      <c r="N240">
        <v>31</v>
      </c>
      <c r="O240">
        <v>74.597135628797702</v>
      </c>
      <c r="P240">
        <v>17.336995554517198</v>
      </c>
      <c r="Q240" t="s">
        <v>29</v>
      </c>
      <c r="R240">
        <v>238</v>
      </c>
      <c r="S240">
        <v>85.536414374813205</v>
      </c>
    </row>
    <row r="241" spans="1:19" x14ac:dyDescent="0.25">
      <c r="A241">
        <v>5433</v>
      </c>
      <c r="B241">
        <v>166.54906559526901</v>
      </c>
      <c r="C241">
        <v>1.75042223747222</v>
      </c>
      <c r="D241">
        <v>85.158436998472396</v>
      </c>
      <c r="E241">
        <v>31.986070273687801</v>
      </c>
      <c r="F241">
        <v>22.7898715612572</v>
      </c>
      <c r="G241">
        <v>1.0281847278038301</v>
      </c>
      <c r="H241">
        <v>0.72323677558781196</v>
      </c>
      <c r="I241">
        <v>2.6998316808656799</v>
      </c>
      <c r="J241">
        <v>28.292715250972599</v>
      </c>
      <c r="K241">
        <v>62.053162832652099</v>
      </c>
      <c r="L241" t="s">
        <v>34</v>
      </c>
      <c r="M241" t="s">
        <v>26</v>
      </c>
      <c r="N241">
        <v>33</v>
      </c>
      <c r="O241">
        <v>74.599135427862606</v>
      </c>
      <c r="P241">
        <v>17.5536561398891</v>
      </c>
      <c r="Q241" t="s">
        <v>21</v>
      </c>
      <c r="R241">
        <v>239</v>
      </c>
      <c r="S241">
        <v>80.707505673343206</v>
      </c>
    </row>
    <row r="242" spans="1:19" x14ac:dyDescent="0.25">
      <c r="A242">
        <v>3869</v>
      </c>
      <c r="B242">
        <v>133.09408935226</v>
      </c>
      <c r="C242">
        <v>0.59947113292362997</v>
      </c>
      <c r="D242">
        <v>83.710154775804</v>
      </c>
      <c r="E242">
        <v>31.201180847449901</v>
      </c>
      <c r="F242">
        <v>15.640404994436301</v>
      </c>
      <c r="G242">
        <v>0.54820501042148695</v>
      </c>
      <c r="H242">
        <v>0.43522393812563298</v>
      </c>
      <c r="I242">
        <v>7.3102701824521903</v>
      </c>
      <c r="J242">
        <v>84.177540444101098</v>
      </c>
      <c r="K242">
        <v>88.456490485338904</v>
      </c>
      <c r="L242" t="s">
        <v>22</v>
      </c>
      <c r="M242" t="s">
        <v>26</v>
      </c>
      <c r="N242">
        <v>22</v>
      </c>
      <c r="O242">
        <v>67.327785144194493</v>
      </c>
      <c r="P242">
        <v>32.567030555625401</v>
      </c>
      <c r="Q242" t="s">
        <v>21</v>
      </c>
      <c r="R242">
        <v>240</v>
      </c>
      <c r="S242">
        <v>74.907379537952593</v>
      </c>
    </row>
    <row r="243" spans="1:19" x14ac:dyDescent="0.25">
      <c r="A243">
        <v>1956</v>
      </c>
      <c r="B243">
        <v>140.58043051540599</v>
      </c>
      <c r="C243">
        <v>1.22866310013298</v>
      </c>
      <c r="D243">
        <v>106.972176665928</v>
      </c>
      <c r="E243">
        <v>32.889786282797999</v>
      </c>
      <c r="F243">
        <v>23.0569828373532</v>
      </c>
      <c r="G243">
        <v>0.57866974675370397</v>
      </c>
      <c r="H243">
        <v>0.87433877157763595</v>
      </c>
      <c r="I243">
        <v>3.61578672375878</v>
      </c>
      <c r="J243">
        <v>67.1937365755294</v>
      </c>
      <c r="K243">
        <v>49.830217974048402</v>
      </c>
      <c r="L243" t="s">
        <v>22</v>
      </c>
      <c r="M243" t="s">
        <v>28</v>
      </c>
      <c r="N243">
        <v>27</v>
      </c>
      <c r="O243">
        <v>66.627586887613703</v>
      </c>
      <c r="P243">
        <v>7.7166748735640098</v>
      </c>
      <c r="Q243" t="s">
        <v>21</v>
      </c>
      <c r="R243">
        <v>241</v>
      </c>
      <c r="S243">
        <v>69.708946336483706</v>
      </c>
    </row>
    <row r="244" spans="1:19" x14ac:dyDescent="0.25">
      <c r="A244">
        <v>9352</v>
      </c>
      <c r="B244">
        <v>147.15793019432999</v>
      </c>
      <c r="C244">
        <v>1.1061081240458801</v>
      </c>
      <c r="D244">
        <v>66.488721090015602</v>
      </c>
      <c r="E244">
        <v>32.8950776054673</v>
      </c>
      <c r="F244">
        <v>27.3132864539376</v>
      </c>
      <c r="G244">
        <v>0.24148475913189299</v>
      </c>
      <c r="H244">
        <v>0.92882482358043095</v>
      </c>
      <c r="I244">
        <v>3.6774340299340098</v>
      </c>
      <c r="J244">
        <v>110.78906004128299</v>
      </c>
      <c r="K244">
        <v>76.312369239424996</v>
      </c>
      <c r="L244" t="s">
        <v>22</v>
      </c>
      <c r="M244" t="s">
        <v>30</v>
      </c>
      <c r="N244">
        <v>34</v>
      </c>
      <c r="O244">
        <v>72.772274651933799</v>
      </c>
      <c r="P244">
        <v>19.984403446292198</v>
      </c>
      <c r="Q244" t="s">
        <v>29</v>
      </c>
      <c r="R244">
        <v>242</v>
      </c>
      <c r="S244">
        <v>76.896329253640502</v>
      </c>
    </row>
    <row r="245" spans="1:19" x14ac:dyDescent="0.25">
      <c r="A245">
        <v>6699</v>
      </c>
      <c r="B245">
        <v>138.732182463127</v>
      </c>
      <c r="C245">
        <v>1.1895762008744399</v>
      </c>
      <c r="D245">
        <v>83.373096095158104</v>
      </c>
      <c r="E245">
        <v>33.657983553065399</v>
      </c>
      <c r="F245">
        <v>20.121831671172298</v>
      </c>
      <c r="G245">
        <v>1.8141437898339401</v>
      </c>
      <c r="H245">
        <v>0.53571108136705903</v>
      </c>
      <c r="I245">
        <v>3.6671326919252198</v>
      </c>
      <c r="J245">
        <v>56.318919609084901</v>
      </c>
      <c r="K245">
        <v>53.083814021334</v>
      </c>
      <c r="L245" t="s">
        <v>22</v>
      </c>
      <c r="M245" t="s">
        <v>26</v>
      </c>
      <c r="N245">
        <v>30</v>
      </c>
      <c r="O245">
        <v>70.224218426715396</v>
      </c>
      <c r="P245">
        <v>18.709206652629501</v>
      </c>
      <c r="Q245" t="s">
        <v>21</v>
      </c>
      <c r="R245">
        <v>243</v>
      </c>
      <c r="S245">
        <v>71.733211058332898</v>
      </c>
    </row>
    <row r="246" spans="1:19" x14ac:dyDescent="0.25">
      <c r="A246">
        <v>7944</v>
      </c>
      <c r="B246">
        <v>126.071327708989</v>
      </c>
      <c r="C246">
        <v>1.4159280907076</v>
      </c>
      <c r="D246">
        <v>71.961350790778894</v>
      </c>
      <c r="E246">
        <v>34.139513485637302</v>
      </c>
      <c r="F246">
        <v>28.755570449933501</v>
      </c>
      <c r="G246">
        <v>0.57927199713483102</v>
      </c>
      <c r="H246">
        <v>0.64755239772497197</v>
      </c>
      <c r="I246">
        <v>7.5301142280395297</v>
      </c>
      <c r="J246">
        <v>48.715226343762801</v>
      </c>
      <c r="K246">
        <v>52.188002332801801</v>
      </c>
      <c r="L246" t="s">
        <v>19</v>
      </c>
      <c r="M246" t="s">
        <v>23</v>
      </c>
      <c r="N246">
        <v>33</v>
      </c>
      <c r="O246">
        <v>65.233428615431606</v>
      </c>
      <c r="P246">
        <v>13.1710870849512</v>
      </c>
      <c r="Q246" t="s">
        <v>25</v>
      </c>
      <c r="R246">
        <v>244</v>
      </c>
      <c r="S246">
        <v>78.536139499206101</v>
      </c>
    </row>
    <row r="247" spans="1:19" x14ac:dyDescent="0.25">
      <c r="A247">
        <v>5493</v>
      </c>
      <c r="B247">
        <v>138.881799857966</v>
      </c>
      <c r="C247">
        <v>1.26395471115143</v>
      </c>
      <c r="D247">
        <v>95.917435637260198</v>
      </c>
      <c r="E247">
        <v>32.928701782472999</v>
      </c>
      <c r="F247">
        <v>28.463726447591</v>
      </c>
      <c r="G247">
        <v>0.60956097848563395</v>
      </c>
      <c r="H247">
        <v>0.41217394806622298</v>
      </c>
      <c r="I247">
        <v>3.0684343761328199</v>
      </c>
      <c r="J247">
        <v>70.073490614419796</v>
      </c>
      <c r="K247">
        <v>84.781761988408306</v>
      </c>
      <c r="L247" t="s">
        <v>27</v>
      </c>
      <c r="M247" t="s">
        <v>23</v>
      </c>
      <c r="N247">
        <v>26</v>
      </c>
      <c r="O247">
        <v>70.967780467748895</v>
      </c>
      <c r="P247">
        <v>34.318570689756001</v>
      </c>
      <c r="Q247" t="s">
        <v>29</v>
      </c>
      <c r="R247">
        <v>245</v>
      </c>
      <c r="S247">
        <v>75.296119680749499</v>
      </c>
    </row>
    <row r="248" spans="1:19" x14ac:dyDescent="0.25">
      <c r="A248">
        <v>5911</v>
      </c>
      <c r="B248">
        <v>156.472634997195</v>
      </c>
      <c r="C248">
        <v>0.51035009481210603</v>
      </c>
      <c r="D248">
        <v>55.623352247825302</v>
      </c>
      <c r="E248">
        <v>35.226603977753101</v>
      </c>
      <c r="F248">
        <v>30.318664160717301</v>
      </c>
      <c r="G248">
        <v>0.70328257876123701</v>
      </c>
      <c r="H248">
        <v>0.752390623599971</v>
      </c>
      <c r="I248">
        <v>1.00815251721481</v>
      </c>
      <c r="J248">
        <v>65.594618576866097</v>
      </c>
      <c r="K248">
        <v>81.747440156001105</v>
      </c>
      <c r="L248" t="s">
        <v>34</v>
      </c>
      <c r="M248" t="s">
        <v>26</v>
      </c>
      <c r="N248">
        <v>21</v>
      </c>
      <c r="O248">
        <v>66.662977187471995</v>
      </c>
      <c r="P248">
        <v>20.692389518284401</v>
      </c>
      <c r="Q248" t="s">
        <v>21</v>
      </c>
      <c r="R248">
        <v>246</v>
      </c>
      <c r="S248">
        <v>75.572770124136497</v>
      </c>
    </row>
    <row r="249" spans="1:19" x14ac:dyDescent="0.25">
      <c r="A249">
        <v>4987</v>
      </c>
      <c r="B249">
        <v>114.469694011778</v>
      </c>
      <c r="C249">
        <v>1.8739551280587601</v>
      </c>
      <c r="D249">
        <v>84.900106257545602</v>
      </c>
      <c r="E249">
        <v>33.269081693442303</v>
      </c>
      <c r="F249">
        <v>23.526215632656701</v>
      </c>
      <c r="G249">
        <v>0.429334529051772</v>
      </c>
      <c r="H249">
        <v>0.62765933192892298</v>
      </c>
      <c r="I249">
        <v>7.4371316813436898</v>
      </c>
      <c r="J249">
        <v>54.4428046217188</v>
      </c>
      <c r="K249">
        <v>73.935034889098006</v>
      </c>
      <c r="L249" t="s">
        <v>19</v>
      </c>
      <c r="M249" t="s">
        <v>35</v>
      </c>
      <c r="N249">
        <v>33</v>
      </c>
      <c r="O249">
        <v>63.195716730711197</v>
      </c>
      <c r="P249">
        <v>23.374184756901698</v>
      </c>
      <c r="Q249" t="s">
        <v>24</v>
      </c>
      <c r="R249">
        <v>247</v>
      </c>
      <c r="S249">
        <v>66.005263055671094</v>
      </c>
    </row>
    <row r="250" spans="1:19" x14ac:dyDescent="0.25">
      <c r="A250">
        <v>7015</v>
      </c>
      <c r="B250">
        <v>137.65939348293699</v>
      </c>
      <c r="C250">
        <v>0.96362848713009597</v>
      </c>
      <c r="D250">
        <v>66.1060540776663</v>
      </c>
      <c r="E250">
        <v>32.584288192791703</v>
      </c>
      <c r="F250">
        <v>24.936958499029998</v>
      </c>
      <c r="G250">
        <v>1.3506731897264499</v>
      </c>
      <c r="H250">
        <v>0.54853215635585495</v>
      </c>
      <c r="I250">
        <v>2.5406626945161199</v>
      </c>
      <c r="J250">
        <v>89.374129869832799</v>
      </c>
      <c r="K250">
        <v>37.2191814987588</v>
      </c>
      <c r="L250" t="s">
        <v>34</v>
      </c>
      <c r="M250" t="s">
        <v>32</v>
      </c>
      <c r="N250">
        <v>28</v>
      </c>
      <c r="O250">
        <v>64.973275836384005</v>
      </c>
      <c r="P250">
        <v>24.516831866484999</v>
      </c>
      <c r="Q250" t="s">
        <v>29</v>
      </c>
      <c r="R250">
        <v>248</v>
      </c>
      <c r="S250">
        <v>72.658500582942196</v>
      </c>
    </row>
    <row r="251" spans="1:19" x14ac:dyDescent="0.25">
      <c r="A251">
        <v>2218</v>
      </c>
      <c r="B251">
        <v>120.997583701216</v>
      </c>
      <c r="C251">
        <v>1.61962343205557</v>
      </c>
      <c r="D251">
        <v>68.716236457829993</v>
      </c>
      <c r="E251">
        <v>31.0661191690766</v>
      </c>
      <c r="F251">
        <v>29.070936441655402</v>
      </c>
      <c r="G251">
        <v>0.335257315719655</v>
      </c>
      <c r="H251">
        <v>0.51376041083913404</v>
      </c>
      <c r="I251">
        <v>1.9403415577705101</v>
      </c>
      <c r="J251">
        <v>95.956183391390795</v>
      </c>
      <c r="K251">
        <v>55.875631179295503</v>
      </c>
      <c r="L251" t="s">
        <v>34</v>
      </c>
      <c r="M251" t="s">
        <v>32</v>
      </c>
      <c r="N251">
        <v>24</v>
      </c>
      <c r="O251">
        <v>71.891350654794195</v>
      </c>
      <c r="P251">
        <v>15.433165348623801</v>
      </c>
      <c r="Q251" t="s">
        <v>29</v>
      </c>
      <c r="R251">
        <v>249</v>
      </c>
      <c r="S251">
        <v>66.993062767221303</v>
      </c>
    </row>
    <row r="252" spans="1:19" x14ac:dyDescent="0.25">
      <c r="A252">
        <v>5496</v>
      </c>
      <c r="B252">
        <v>158.900932578496</v>
      </c>
      <c r="C252">
        <v>2.5370413348749801</v>
      </c>
      <c r="D252">
        <v>71.835049688967402</v>
      </c>
      <c r="E252">
        <v>32.6848085756206</v>
      </c>
      <c r="F252">
        <v>24.2369696853448</v>
      </c>
      <c r="G252">
        <v>0.44156436738742999</v>
      </c>
      <c r="H252">
        <v>0.75971269271231801</v>
      </c>
      <c r="I252">
        <v>3.1376450853465401</v>
      </c>
      <c r="J252">
        <v>105.298396903013</v>
      </c>
      <c r="K252">
        <v>31.792292497926301</v>
      </c>
      <c r="L252" t="s">
        <v>19</v>
      </c>
      <c r="M252" t="s">
        <v>23</v>
      </c>
      <c r="N252">
        <v>34</v>
      </c>
      <c r="O252">
        <v>60.575299079509797</v>
      </c>
      <c r="P252">
        <v>27.9341139968829</v>
      </c>
      <c r="Q252" t="s">
        <v>31</v>
      </c>
      <c r="R252">
        <v>250</v>
      </c>
      <c r="S252">
        <v>85.108364081418003</v>
      </c>
    </row>
    <row r="253" spans="1:19" x14ac:dyDescent="0.25">
      <c r="A253">
        <v>5735</v>
      </c>
      <c r="B253">
        <v>104.53626190432399</v>
      </c>
      <c r="C253">
        <v>1.0403077042067801</v>
      </c>
      <c r="D253">
        <v>75.044807928533501</v>
      </c>
      <c r="E253">
        <v>32.596335665506601</v>
      </c>
      <c r="F253">
        <v>19.4938294610489</v>
      </c>
      <c r="G253">
        <v>1.3605621078621599</v>
      </c>
      <c r="H253">
        <v>0.62891936706777296</v>
      </c>
      <c r="I253">
        <v>4.4191047009043301</v>
      </c>
      <c r="J253">
        <v>117.28566047103401</v>
      </c>
      <c r="K253">
        <v>48.293752353490397</v>
      </c>
      <c r="L253" t="s">
        <v>22</v>
      </c>
      <c r="M253" t="s">
        <v>26</v>
      </c>
      <c r="N253">
        <v>39</v>
      </c>
      <c r="O253">
        <v>76.850685547847903</v>
      </c>
      <c r="P253">
        <v>26.324275562188401</v>
      </c>
      <c r="Q253" t="s">
        <v>21</v>
      </c>
      <c r="R253">
        <v>251</v>
      </c>
      <c r="S253">
        <v>58.2612695914748</v>
      </c>
    </row>
    <row r="254" spans="1:19" x14ac:dyDescent="0.25">
      <c r="A254">
        <v>5555</v>
      </c>
      <c r="B254">
        <v>123.821563054568</v>
      </c>
      <c r="C254">
        <v>0.234856238626835</v>
      </c>
      <c r="D254">
        <v>67.675419137560795</v>
      </c>
      <c r="E254">
        <v>34.152365755537701</v>
      </c>
      <c r="F254">
        <v>19.7572858173606</v>
      </c>
      <c r="G254">
        <v>0.81138911686659698</v>
      </c>
      <c r="H254">
        <v>0.49881260896645102</v>
      </c>
      <c r="I254">
        <v>5.2831569472588003</v>
      </c>
      <c r="J254">
        <v>46.665619213250402</v>
      </c>
      <c r="K254">
        <v>51.315979931984202</v>
      </c>
      <c r="L254" t="s">
        <v>19</v>
      </c>
      <c r="M254" t="s">
        <v>30</v>
      </c>
      <c r="N254">
        <v>30</v>
      </c>
      <c r="O254">
        <v>63.541811309088999</v>
      </c>
      <c r="P254">
        <v>17.0231968789587</v>
      </c>
      <c r="Q254" t="s">
        <v>24</v>
      </c>
      <c r="R254">
        <v>252</v>
      </c>
      <c r="S254">
        <v>69.046832076590206</v>
      </c>
    </row>
    <row r="255" spans="1:19" x14ac:dyDescent="0.25">
      <c r="A255">
        <v>9050</v>
      </c>
      <c r="B255">
        <v>142.54423750129001</v>
      </c>
      <c r="C255">
        <v>1.3569978890599399</v>
      </c>
      <c r="D255">
        <v>74.294263663410504</v>
      </c>
      <c r="E255">
        <v>33.5549803488802</v>
      </c>
      <c r="F255">
        <v>23.192774768868599</v>
      </c>
      <c r="G255">
        <v>1.4743060880621399</v>
      </c>
      <c r="H255">
        <v>0.77900999481775302</v>
      </c>
      <c r="I255">
        <v>1.4011303664136701</v>
      </c>
      <c r="J255">
        <v>91.609348248996099</v>
      </c>
      <c r="K255">
        <v>77.373003012699797</v>
      </c>
      <c r="L255" t="s">
        <v>34</v>
      </c>
      <c r="M255" t="s">
        <v>33</v>
      </c>
      <c r="N255">
        <v>21</v>
      </c>
      <c r="O255">
        <v>49.920862608752103</v>
      </c>
      <c r="P255">
        <v>25.506134477266102</v>
      </c>
      <c r="Q255" t="s">
        <v>25</v>
      </c>
      <c r="R255">
        <v>253</v>
      </c>
      <c r="S255">
        <v>72.0724693611878</v>
      </c>
    </row>
    <row r="256" spans="1:19" x14ac:dyDescent="0.25">
      <c r="A256">
        <v>4446</v>
      </c>
      <c r="B256">
        <v>166.31048058468599</v>
      </c>
      <c r="C256">
        <v>2.05047981749928</v>
      </c>
      <c r="D256">
        <v>101.562361151243</v>
      </c>
      <c r="E256">
        <v>31.5847570540408</v>
      </c>
      <c r="F256">
        <v>15.547192890268899</v>
      </c>
      <c r="G256">
        <v>1.2033645404062501</v>
      </c>
      <c r="H256">
        <v>0.71078975567018099</v>
      </c>
      <c r="I256">
        <v>9.7351599936462403</v>
      </c>
      <c r="J256">
        <v>59.425823549574503</v>
      </c>
      <c r="K256">
        <v>82.202127399374405</v>
      </c>
      <c r="L256" t="s">
        <v>34</v>
      </c>
      <c r="M256" t="s">
        <v>35</v>
      </c>
      <c r="N256">
        <v>31</v>
      </c>
      <c r="O256">
        <v>72.420338536517704</v>
      </c>
      <c r="P256">
        <v>27.919487245077999</v>
      </c>
      <c r="Q256" t="s">
        <v>29</v>
      </c>
      <c r="R256">
        <v>254</v>
      </c>
      <c r="S256">
        <v>104.382534271721</v>
      </c>
    </row>
    <row r="257" spans="1:19" x14ac:dyDescent="0.25">
      <c r="A257">
        <v>2045</v>
      </c>
      <c r="B257">
        <v>133.68499477853999</v>
      </c>
      <c r="C257">
        <v>2.47917372711029</v>
      </c>
      <c r="D257">
        <v>89.708993712304306</v>
      </c>
      <c r="E257">
        <v>33.206705263693202</v>
      </c>
      <c r="F257">
        <v>21.283705423179001</v>
      </c>
      <c r="G257">
        <v>0.66083811151072303</v>
      </c>
      <c r="H257">
        <v>0.87226963021122195</v>
      </c>
      <c r="I257">
        <v>7.44456748077602</v>
      </c>
      <c r="J257">
        <v>87.708197195110799</v>
      </c>
      <c r="K257">
        <v>46.096504679735801</v>
      </c>
      <c r="L257" t="s">
        <v>22</v>
      </c>
      <c r="M257" t="s">
        <v>35</v>
      </c>
      <c r="N257">
        <v>27</v>
      </c>
      <c r="O257">
        <v>48</v>
      </c>
      <c r="P257">
        <v>24.3607605578323</v>
      </c>
      <c r="Q257" t="s">
        <v>25</v>
      </c>
      <c r="R257">
        <v>255</v>
      </c>
      <c r="S257">
        <v>78.086086088587706</v>
      </c>
    </row>
    <row r="258" spans="1:19" x14ac:dyDescent="0.25">
      <c r="A258">
        <v>7893</v>
      </c>
      <c r="B258">
        <v>123.89600946613599</v>
      </c>
      <c r="C258">
        <v>0.88522520277379102</v>
      </c>
      <c r="D258">
        <v>87.383091849937898</v>
      </c>
      <c r="E258">
        <v>33.805837406074801</v>
      </c>
      <c r="F258">
        <v>27.482735591151201</v>
      </c>
      <c r="G258">
        <v>1.3714903108807901</v>
      </c>
      <c r="H258">
        <v>0.46461174438207098</v>
      </c>
      <c r="I258">
        <v>3.90874658791902</v>
      </c>
      <c r="J258">
        <v>67.598169034921995</v>
      </c>
      <c r="K258">
        <v>16.327833380492699</v>
      </c>
      <c r="L258" t="s">
        <v>19</v>
      </c>
      <c r="M258" t="s">
        <v>32</v>
      </c>
      <c r="N258">
        <v>27</v>
      </c>
      <c r="O258">
        <v>59.904647489781198</v>
      </c>
      <c r="P258">
        <v>11.3182432746947</v>
      </c>
      <c r="Q258" t="s">
        <v>25</v>
      </c>
      <c r="R258">
        <v>256</v>
      </c>
      <c r="S258">
        <v>64.5796610722781</v>
      </c>
    </row>
    <row r="259" spans="1:19" x14ac:dyDescent="0.25">
      <c r="A259">
        <v>2693</v>
      </c>
      <c r="B259">
        <v>172.62314138881101</v>
      </c>
      <c r="C259">
        <v>1.74834961161826</v>
      </c>
      <c r="D259">
        <v>60.889209479522499</v>
      </c>
      <c r="E259">
        <v>34.833637631265397</v>
      </c>
      <c r="F259">
        <v>11.0437307441735</v>
      </c>
      <c r="G259">
        <v>0.40929262452718501</v>
      </c>
      <c r="H259">
        <v>0.83211663106945</v>
      </c>
      <c r="I259">
        <v>3.8682753155685701</v>
      </c>
      <c r="J259">
        <v>119.377310276793</v>
      </c>
      <c r="K259">
        <v>79.633037984201593</v>
      </c>
      <c r="L259" t="s">
        <v>27</v>
      </c>
      <c r="M259" t="s">
        <v>26</v>
      </c>
      <c r="N259">
        <v>27</v>
      </c>
      <c r="O259">
        <v>87.379651383369904</v>
      </c>
      <c r="P259">
        <v>17.261162190519901</v>
      </c>
      <c r="Q259" t="s">
        <v>25</v>
      </c>
      <c r="R259">
        <v>257</v>
      </c>
      <c r="S259">
        <v>88.656964003716297</v>
      </c>
    </row>
    <row r="260" spans="1:19" x14ac:dyDescent="0.25">
      <c r="A260">
        <v>4436</v>
      </c>
      <c r="B260">
        <v>106.03972199167499</v>
      </c>
      <c r="C260">
        <v>1.2673447716099699</v>
      </c>
      <c r="D260">
        <v>52.215183435433502</v>
      </c>
      <c r="E260">
        <v>34.065004760896798</v>
      </c>
      <c r="F260">
        <v>29.672410508972501</v>
      </c>
      <c r="G260">
        <v>1.16553868954405</v>
      </c>
      <c r="H260">
        <v>0.77043423274949197</v>
      </c>
      <c r="I260">
        <v>5.0368829443161296</v>
      </c>
      <c r="J260">
        <v>92.890213579074995</v>
      </c>
      <c r="K260">
        <v>28.070900887602001</v>
      </c>
      <c r="L260" t="s">
        <v>34</v>
      </c>
      <c r="M260" t="s">
        <v>36</v>
      </c>
      <c r="N260">
        <v>29</v>
      </c>
      <c r="O260">
        <v>76.479944955231801</v>
      </c>
      <c r="P260">
        <v>21.802963470828601</v>
      </c>
      <c r="Q260" t="s">
        <v>31</v>
      </c>
      <c r="R260">
        <v>258</v>
      </c>
      <c r="S260">
        <v>61.403528286955101</v>
      </c>
    </row>
    <row r="261" spans="1:19" x14ac:dyDescent="0.25">
      <c r="A261">
        <v>9754</v>
      </c>
      <c r="B261">
        <v>91.023880867598294</v>
      </c>
      <c r="C261">
        <v>1.44702582284793</v>
      </c>
      <c r="D261">
        <v>89.106011164755003</v>
      </c>
      <c r="E261">
        <v>33.913015985173701</v>
      </c>
      <c r="F261">
        <v>27.611871093515798</v>
      </c>
      <c r="G261">
        <v>0.98686658908106195</v>
      </c>
      <c r="H261">
        <v>0.46325601525545301</v>
      </c>
      <c r="I261">
        <v>6.63620340486729</v>
      </c>
      <c r="J261">
        <v>115.249130043432</v>
      </c>
      <c r="K261">
        <v>61.641147291779497</v>
      </c>
      <c r="L261" t="s">
        <v>19</v>
      </c>
      <c r="M261" t="s">
        <v>20</v>
      </c>
      <c r="N261">
        <v>19</v>
      </c>
      <c r="O261">
        <v>75.8190060684353</v>
      </c>
      <c r="P261">
        <v>20.016964013221799</v>
      </c>
      <c r="Q261" t="s">
        <v>25</v>
      </c>
      <c r="R261">
        <v>259</v>
      </c>
      <c r="S261">
        <v>60.773616021491797</v>
      </c>
    </row>
    <row r="262" spans="1:19" x14ac:dyDescent="0.25">
      <c r="A262">
        <v>6895</v>
      </c>
      <c r="B262">
        <v>143.80028900106601</v>
      </c>
      <c r="C262">
        <v>2.8221716735085098</v>
      </c>
      <c r="D262">
        <v>87.520935850595805</v>
      </c>
      <c r="E262">
        <v>33.072103193538197</v>
      </c>
      <c r="F262">
        <v>19.701176920847601</v>
      </c>
      <c r="G262">
        <v>0.68217244907139296</v>
      </c>
      <c r="H262">
        <v>0.78215140142944595</v>
      </c>
      <c r="I262">
        <v>2.3173575993007098</v>
      </c>
      <c r="J262">
        <v>103.496954948118</v>
      </c>
      <c r="K262">
        <v>16.8728175325598</v>
      </c>
      <c r="L262" t="s">
        <v>22</v>
      </c>
      <c r="M262" t="s">
        <v>26</v>
      </c>
      <c r="N262">
        <v>26</v>
      </c>
      <c r="O262">
        <v>59.049445727926603</v>
      </c>
      <c r="P262">
        <v>12.0386175615587</v>
      </c>
      <c r="Q262" t="s">
        <v>21</v>
      </c>
      <c r="R262">
        <v>260</v>
      </c>
      <c r="S262">
        <v>72.886495438392203</v>
      </c>
    </row>
    <row r="263" spans="1:19" x14ac:dyDescent="0.25">
      <c r="A263">
        <v>4354</v>
      </c>
      <c r="B263">
        <v>124.958915512947</v>
      </c>
      <c r="C263">
        <v>0.74851483580242295</v>
      </c>
      <c r="D263">
        <v>99.453413515019605</v>
      </c>
      <c r="E263">
        <v>33.465974406508103</v>
      </c>
      <c r="F263">
        <v>24.716954139359</v>
      </c>
      <c r="G263">
        <v>1.2872089959310999</v>
      </c>
      <c r="H263">
        <v>0.64285100888390601</v>
      </c>
      <c r="I263">
        <v>2.7003683238845699</v>
      </c>
      <c r="J263">
        <v>110.290101116337</v>
      </c>
      <c r="K263">
        <v>44.9629856445423</v>
      </c>
      <c r="L263" t="s">
        <v>22</v>
      </c>
      <c r="M263" t="s">
        <v>28</v>
      </c>
      <c r="N263">
        <v>22</v>
      </c>
      <c r="O263">
        <v>66.506956031494795</v>
      </c>
      <c r="P263">
        <v>15.7074925413483</v>
      </c>
      <c r="Q263" t="s">
        <v>21</v>
      </c>
      <c r="R263">
        <v>261</v>
      </c>
      <c r="S263">
        <v>60.090245577467499</v>
      </c>
    </row>
    <row r="264" spans="1:19" x14ac:dyDescent="0.25">
      <c r="A264">
        <v>1225</v>
      </c>
      <c r="B264">
        <v>114.57534365738501</v>
      </c>
      <c r="C264">
        <v>1.62686983074728</v>
      </c>
      <c r="D264">
        <v>57.920387480615403</v>
      </c>
      <c r="E264">
        <v>34.499405880847299</v>
      </c>
      <c r="F264">
        <v>22.015738634531601</v>
      </c>
      <c r="G264">
        <v>1.7684004662124999</v>
      </c>
      <c r="H264">
        <v>0.91974163205571302</v>
      </c>
      <c r="I264">
        <v>8.7349112455019498</v>
      </c>
      <c r="J264">
        <v>101.441919721467</v>
      </c>
      <c r="K264">
        <v>88.947022658651207</v>
      </c>
      <c r="L264" t="s">
        <v>27</v>
      </c>
      <c r="M264" t="s">
        <v>26</v>
      </c>
      <c r="N264">
        <v>25</v>
      </c>
      <c r="O264">
        <v>77.931439615017794</v>
      </c>
      <c r="P264">
        <v>20.8149329597905</v>
      </c>
      <c r="Q264" t="s">
        <v>24</v>
      </c>
      <c r="R264">
        <v>262</v>
      </c>
      <c r="S264">
        <v>71.791216185900296</v>
      </c>
    </row>
    <row r="265" spans="1:19" x14ac:dyDescent="0.25">
      <c r="A265">
        <v>5893</v>
      </c>
      <c r="B265">
        <v>149.167128945987</v>
      </c>
      <c r="C265">
        <v>1.7338465858827099</v>
      </c>
      <c r="D265">
        <v>65.409026892792994</v>
      </c>
      <c r="E265">
        <v>31.400667123024402</v>
      </c>
      <c r="F265">
        <v>28.149951842193399</v>
      </c>
      <c r="G265">
        <v>1.99802845957353</v>
      </c>
      <c r="H265">
        <v>0.47788624283984399</v>
      </c>
      <c r="I265">
        <v>3.3062943150016499</v>
      </c>
      <c r="J265">
        <v>65.915913037591096</v>
      </c>
      <c r="K265">
        <v>22.552020082785202</v>
      </c>
      <c r="L265" t="s">
        <v>34</v>
      </c>
      <c r="M265" t="s">
        <v>35</v>
      </c>
      <c r="N265">
        <v>38</v>
      </c>
      <c r="O265">
        <v>73.117100592922696</v>
      </c>
      <c r="P265">
        <v>5.9262833160266002</v>
      </c>
      <c r="Q265" t="s">
        <v>24</v>
      </c>
      <c r="R265">
        <v>263</v>
      </c>
      <c r="S265">
        <v>73.746371673553497</v>
      </c>
    </row>
    <row r="266" spans="1:19" x14ac:dyDescent="0.25">
      <c r="A266">
        <v>8022</v>
      </c>
      <c r="B266">
        <v>139.87601427542299</v>
      </c>
      <c r="C266">
        <v>2.04289316246967</v>
      </c>
      <c r="D266">
        <v>37.210316749491298</v>
      </c>
      <c r="E266">
        <v>32.580672807339603</v>
      </c>
      <c r="F266">
        <v>26.913415713849702</v>
      </c>
      <c r="G266">
        <v>1.2939729837381599</v>
      </c>
      <c r="H266">
        <v>0.75355836494865502</v>
      </c>
      <c r="I266">
        <v>4.4217549817765898</v>
      </c>
      <c r="J266">
        <v>45.178845334688397</v>
      </c>
      <c r="K266">
        <v>46.776986399973097</v>
      </c>
      <c r="L266" t="s">
        <v>27</v>
      </c>
      <c r="M266" t="s">
        <v>33</v>
      </c>
      <c r="N266">
        <v>31</v>
      </c>
      <c r="O266">
        <v>77.086855559832799</v>
      </c>
      <c r="P266">
        <v>18.154641556862099</v>
      </c>
      <c r="Q266" t="s">
        <v>25</v>
      </c>
      <c r="R266">
        <v>264</v>
      </c>
      <c r="S266">
        <v>68.818742205944403</v>
      </c>
    </row>
    <row r="267" spans="1:19" x14ac:dyDescent="0.25">
      <c r="A267">
        <v>6600</v>
      </c>
      <c r="B267">
        <v>123.718427385265</v>
      </c>
      <c r="C267">
        <v>1.5489915767354401</v>
      </c>
      <c r="D267">
        <v>62.150577878782499</v>
      </c>
      <c r="E267">
        <v>32.072917501492498</v>
      </c>
      <c r="F267">
        <v>14.999646384084899</v>
      </c>
      <c r="G267">
        <v>0.92847057379250597</v>
      </c>
      <c r="H267">
        <v>0.61008902500462003</v>
      </c>
      <c r="I267">
        <v>8.8414466585510496</v>
      </c>
      <c r="J267">
        <v>57.032017545052199</v>
      </c>
      <c r="K267">
        <v>38.036246264246401</v>
      </c>
      <c r="L267" t="s">
        <v>27</v>
      </c>
      <c r="M267" t="s">
        <v>28</v>
      </c>
      <c r="N267">
        <v>24</v>
      </c>
      <c r="O267">
        <v>82.2522810497411</v>
      </c>
      <c r="P267">
        <v>23.573157797070799</v>
      </c>
      <c r="Q267" t="s">
        <v>25</v>
      </c>
      <c r="R267">
        <v>265</v>
      </c>
      <c r="S267">
        <v>81.206861399005902</v>
      </c>
    </row>
    <row r="268" spans="1:19" x14ac:dyDescent="0.25">
      <c r="A268">
        <v>8996</v>
      </c>
      <c r="B268">
        <v>109.393912026582</v>
      </c>
      <c r="C268">
        <v>1.6540252697520501</v>
      </c>
      <c r="D268">
        <v>89.931410211588897</v>
      </c>
      <c r="E268">
        <v>33.454983742471299</v>
      </c>
      <c r="F268">
        <v>24.936312067320799</v>
      </c>
      <c r="G268">
        <v>0.60537278038916198</v>
      </c>
      <c r="H268">
        <v>0.92624806882498201</v>
      </c>
      <c r="I268">
        <v>6.9683304645983997</v>
      </c>
      <c r="J268">
        <v>22.023623263994999</v>
      </c>
      <c r="K268">
        <v>82.881609254119795</v>
      </c>
      <c r="L268" t="s">
        <v>27</v>
      </c>
      <c r="M268" t="s">
        <v>32</v>
      </c>
      <c r="N268">
        <v>24</v>
      </c>
      <c r="O268">
        <v>73.280879005599203</v>
      </c>
      <c r="P268">
        <v>20.263504283686899</v>
      </c>
      <c r="Q268" t="s">
        <v>31</v>
      </c>
      <c r="R268">
        <v>266</v>
      </c>
      <c r="S268">
        <v>67.8826906570647</v>
      </c>
    </row>
    <row r="269" spans="1:19" x14ac:dyDescent="0.25">
      <c r="A269">
        <v>8683</v>
      </c>
      <c r="B269">
        <v>152.44914656560201</v>
      </c>
      <c r="C269">
        <v>1.3041757162890999</v>
      </c>
      <c r="D269">
        <v>60.670092415436002</v>
      </c>
      <c r="E269">
        <v>34.476266610780897</v>
      </c>
      <c r="F269">
        <v>20.9718607317837</v>
      </c>
      <c r="G269">
        <v>0.66277296091120097</v>
      </c>
      <c r="H269">
        <v>0.58148619240965205</v>
      </c>
      <c r="I269">
        <v>4.0754069140751898</v>
      </c>
      <c r="J269">
        <v>72.399316746466695</v>
      </c>
      <c r="K269">
        <v>80.200508093051596</v>
      </c>
      <c r="L269" t="s">
        <v>27</v>
      </c>
      <c r="M269" t="s">
        <v>37</v>
      </c>
      <c r="N269">
        <v>26</v>
      </c>
      <c r="O269">
        <v>58.154528943196802</v>
      </c>
      <c r="P269">
        <v>11.140170324577401</v>
      </c>
      <c r="Q269" t="s">
        <v>25</v>
      </c>
      <c r="R269">
        <v>267</v>
      </c>
      <c r="S269">
        <v>77.674046290988798</v>
      </c>
    </row>
    <row r="270" spans="1:19" x14ac:dyDescent="0.25">
      <c r="A270">
        <v>5642</v>
      </c>
      <c r="B270">
        <v>148.00402355917299</v>
      </c>
      <c r="C270">
        <v>1.63456347062255</v>
      </c>
      <c r="D270">
        <v>82.809595904016405</v>
      </c>
      <c r="E270">
        <v>32.283630855934703</v>
      </c>
      <c r="F270">
        <v>22.414162852590501</v>
      </c>
      <c r="G270">
        <v>1.0630189606695699</v>
      </c>
      <c r="H270">
        <v>0.92920225022048997</v>
      </c>
      <c r="I270">
        <v>7.15329591152158</v>
      </c>
      <c r="J270">
        <v>70.505780027040799</v>
      </c>
      <c r="K270">
        <v>32.827407022967101</v>
      </c>
      <c r="L270" t="s">
        <v>22</v>
      </c>
      <c r="M270" t="s">
        <v>37</v>
      </c>
      <c r="N270">
        <v>20</v>
      </c>
      <c r="O270">
        <v>72.787055020640906</v>
      </c>
      <c r="P270">
        <v>12.547902096308301</v>
      </c>
      <c r="Q270" t="s">
        <v>25</v>
      </c>
      <c r="R270">
        <v>268</v>
      </c>
      <c r="S270">
        <v>87.043009373524697</v>
      </c>
    </row>
    <row r="271" spans="1:19" x14ac:dyDescent="0.25">
      <c r="A271">
        <v>8679</v>
      </c>
      <c r="B271">
        <v>133.01648272441199</v>
      </c>
      <c r="C271">
        <v>1.3284038622512899</v>
      </c>
      <c r="D271">
        <v>66.189937880043701</v>
      </c>
      <c r="E271">
        <v>30.131634759036601</v>
      </c>
      <c r="F271">
        <v>18.3591404951509</v>
      </c>
      <c r="G271">
        <v>0.86109986230527602</v>
      </c>
      <c r="H271">
        <v>0.89581721810541204</v>
      </c>
      <c r="I271">
        <v>1.1771489384327201</v>
      </c>
      <c r="J271">
        <v>72.525046483048797</v>
      </c>
      <c r="K271">
        <v>21.089084028782299</v>
      </c>
      <c r="L271" t="s">
        <v>34</v>
      </c>
      <c r="M271" t="s">
        <v>36</v>
      </c>
      <c r="N271">
        <v>31</v>
      </c>
      <c r="O271">
        <v>66.115753337113006</v>
      </c>
      <c r="P271">
        <v>29.8959618613289</v>
      </c>
      <c r="Q271" t="s">
        <v>25</v>
      </c>
      <c r="R271">
        <v>269</v>
      </c>
      <c r="S271">
        <v>67.337169682092906</v>
      </c>
    </row>
    <row r="272" spans="1:19" x14ac:dyDescent="0.25">
      <c r="A272">
        <v>9208</v>
      </c>
      <c r="B272">
        <v>171.932739920953</v>
      </c>
      <c r="C272">
        <v>1.8107859449280199</v>
      </c>
      <c r="D272">
        <v>76.4811405644312</v>
      </c>
      <c r="E272">
        <v>32.505335105970602</v>
      </c>
      <c r="F272">
        <v>30.740685345604099</v>
      </c>
      <c r="G272">
        <v>1.8448661407248901</v>
      </c>
      <c r="H272">
        <v>0.54871077942086099</v>
      </c>
      <c r="I272">
        <v>7.6207839401022799</v>
      </c>
      <c r="J272">
        <v>117.403122497206</v>
      </c>
      <c r="K272">
        <v>62.035379554583798</v>
      </c>
      <c r="L272" t="s">
        <v>27</v>
      </c>
      <c r="M272" t="s">
        <v>32</v>
      </c>
      <c r="N272">
        <v>34</v>
      </c>
      <c r="O272">
        <v>57.673121339225197</v>
      </c>
      <c r="P272">
        <v>10.4988255727467</v>
      </c>
      <c r="Q272" t="s">
        <v>29</v>
      </c>
      <c r="R272">
        <v>270</v>
      </c>
      <c r="S272">
        <v>92.080188998977306</v>
      </c>
    </row>
    <row r="273" spans="1:19" x14ac:dyDescent="0.25">
      <c r="A273">
        <v>8339</v>
      </c>
      <c r="B273">
        <v>113.59830467347599</v>
      </c>
      <c r="C273">
        <v>1.3151948319781801</v>
      </c>
      <c r="D273">
        <v>47.046172203686602</v>
      </c>
      <c r="E273">
        <v>34.0961684784208</v>
      </c>
      <c r="F273">
        <v>27.200309099512801</v>
      </c>
      <c r="G273">
        <v>0.86293184178027704</v>
      </c>
      <c r="H273">
        <v>0.84194797725453496</v>
      </c>
      <c r="I273">
        <v>5.3831443646461503</v>
      </c>
      <c r="J273">
        <v>111.145400345483</v>
      </c>
      <c r="K273">
        <v>40.227653391278203</v>
      </c>
      <c r="L273" t="s">
        <v>34</v>
      </c>
      <c r="M273" t="s">
        <v>30</v>
      </c>
      <c r="N273">
        <v>35</v>
      </c>
      <c r="O273">
        <v>75.156462140612007</v>
      </c>
      <c r="P273">
        <v>27.4853427178031</v>
      </c>
      <c r="Q273" t="s">
        <v>29</v>
      </c>
      <c r="R273">
        <v>271</v>
      </c>
      <c r="S273">
        <v>68.483731649635203</v>
      </c>
    </row>
    <row r="274" spans="1:19" x14ac:dyDescent="0.25">
      <c r="A274">
        <v>3205</v>
      </c>
      <c r="B274">
        <v>104.48949658150499</v>
      </c>
      <c r="C274">
        <v>1.6885501969510901</v>
      </c>
      <c r="D274">
        <v>71.704188992677999</v>
      </c>
      <c r="E274">
        <v>33.6451558835398</v>
      </c>
      <c r="F274">
        <v>18.3011441801351</v>
      </c>
      <c r="G274">
        <v>0.87220026406178297</v>
      </c>
      <c r="H274">
        <v>0.94758231099192802</v>
      </c>
      <c r="I274">
        <v>8.3186393255601505</v>
      </c>
      <c r="J274">
        <v>36.171277833010798</v>
      </c>
      <c r="K274">
        <v>65.406329295454697</v>
      </c>
      <c r="L274" t="s">
        <v>22</v>
      </c>
      <c r="M274" t="s">
        <v>23</v>
      </c>
      <c r="N274">
        <v>29</v>
      </c>
      <c r="O274">
        <v>77.616582759789296</v>
      </c>
      <c r="P274">
        <v>13.0294777185381</v>
      </c>
      <c r="Q274" t="s">
        <v>31</v>
      </c>
      <c r="R274">
        <v>272</v>
      </c>
      <c r="S274">
        <v>71.510271404989098</v>
      </c>
    </row>
    <row r="275" spans="1:19" x14ac:dyDescent="0.25">
      <c r="A275">
        <v>2069</v>
      </c>
      <c r="B275">
        <v>121.161838602375</v>
      </c>
      <c r="C275">
        <v>1.48536859315751</v>
      </c>
      <c r="D275">
        <v>20</v>
      </c>
      <c r="E275">
        <v>33.513823497372599</v>
      </c>
      <c r="F275">
        <v>15.3269469654488</v>
      </c>
      <c r="G275">
        <v>0.89036212238115797</v>
      </c>
      <c r="H275">
        <v>0.538964651194205</v>
      </c>
      <c r="I275">
        <v>9.5917388680582096</v>
      </c>
      <c r="J275">
        <v>56.888252155588901</v>
      </c>
      <c r="K275">
        <v>17.408981705085999</v>
      </c>
      <c r="L275" t="s">
        <v>22</v>
      </c>
      <c r="M275" t="s">
        <v>36</v>
      </c>
      <c r="N275">
        <v>39</v>
      </c>
      <c r="O275">
        <v>67.248803571398298</v>
      </c>
      <c r="P275">
        <v>27.041392848313802</v>
      </c>
      <c r="Q275" t="s">
        <v>31</v>
      </c>
      <c r="R275">
        <v>273</v>
      </c>
      <c r="S275">
        <v>78.8955403354894</v>
      </c>
    </row>
    <row r="276" spans="1:19" x14ac:dyDescent="0.25">
      <c r="A276">
        <v>4444</v>
      </c>
      <c r="B276">
        <v>134.08827967289</v>
      </c>
      <c r="C276">
        <v>2.0630251253860798</v>
      </c>
      <c r="D276">
        <v>66.262076836760301</v>
      </c>
      <c r="E276">
        <v>32.664008037750598</v>
      </c>
      <c r="F276">
        <v>20.071636845110699</v>
      </c>
      <c r="G276">
        <v>1.7059163786617799</v>
      </c>
      <c r="H276">
        <v>0.64022744312782498</v>
      </c>
      <c r="I276">
        <v>9.3320969454511093</v>
      </c>
      <c r="J276">
        <v>62.395617946326098</v>
      </c>
      <c r="K276">
        <v>25.0049426383117</v>
      </c>
      <c r="L276" t="s">
        <v>19</v>
      </c>
      <c r="M276" t="s">
        <v>37</v>
      </c>
      <c r="N276">
        <v>31</v>
      </c>
      <c r="O276">
        <v>70.563809218083705</v>
      </c>
      <c r="P276">
        <v>22.3288317703201</v>
      </c>
      <c r="Q276" t="s">
        <v>21</v>
      </c>
      <c r="R276">
        <v>274</v>
      </c>
      <c r="S276">
        <v>83.967558904344003</v>
      </c>
    </row>
    <row r="277" spans="1:19" x14ac:dyDescent="0.25">
      <c r="A277">
        <v>2060</v>
      </c>
      <c r="B277">
        <v>139.866788986453</v>
      </c>
      <c r="C277">
        <v>1.4743031382057501</v>
      </c>
      <c r="D277">
        <v>37.390535125697198</v>
      </c>
      <c r="E277">
        <v>31.4651631165362</v>
      </c>
      <c r="F277">
        <v>24.172513230456499</v>
      </c>
      <c r="G277">
        <v>1.3714189775244201</v>
      </c>
      <c r="H277">
        <v>0.68609940511171696</v>
      </c>
      <c r="I277">
        <v>9.1833853910980601</v>
      </c>
      <c r="J277">
        <v>56.053291785164703</v>
      </c>
      <c r="K277">
        <v>66.477917457948195</v>
      </c>
      <c r="L277" t="s">
        <v>19</v>
      </c>
      <c r="M277" t="s">
        <v>23</v>
      </c>
      <c r="N277">
        <v>30</v>
      </c>
      <c r="O277">
        <v>51.4186483974879</v>
      </c>
      <c r="P277">
        <v>15.2156562689234</v>
      </c>
      <c r="Q277" t="s">
        <v>31</v>
      </c>
      <c r="R277">
        <v>275</v>
      </c>
      <c r="S277">
        <v>85.734953120390401</v>
      </c>
    </row>
    <row r="278" spans="1:19" x14ac:dyDescent="0.25">
      <c r="A278">
        <v>3327</v>
      </c>
      <c r="B278">
        <v>130.17527884287301</v>
      </c>
      <c r="C278">
        <v>0.61348376589655895</v>
      </c>
      <c r="D278">
        <v>94.1198903309363</v>
      </c>
      <c r="E278">
        <v>33.618353185949303</v>
      </c>
      <c r="F278">
        <v>23.201029219731101</v>
      </c>
      <c r="G278">
        <v>1.3055039305739999</v>
      </c>
      <c r="H278">
        <v>0.562212124692125</v>
      </c>
      <c r="I278">
        <v>5.6095296034049804</v>
      </c>
      <c r="J278">
        <v>99.849596360391303</v>
      </c>
      <c r="K278">
        <v>30.927799147687299</v>
      </c>
      <c r="L278" t="s">
        <v>34</v>
      </c>
      <c r="M278" t="s">
        <v>30</v>
      </c>
      <c r="N278">
        <v>31</v>
      </c>
      <c r="O278">
        <v>76.990184866788795</v>
      </c>
      <c r="P278">
        <v>3.8677581252623598</v>
      </c>
      <c r="Q278" t="s">
        <v>21</v>
      </c>
      <c r="R278">
        <v>276</v>
      </c>
      <c r="S278">
        <v>67.914333881735601</v>
      </c>
    </row>
    <row r="279" spans="1:19" x14ac:dyDescent="0.25">
      <c r="A279">
        <v>4420</v>
      </c>
      <c r="B279">
        <v>142.04110793028499</v>
      </c>
      <c r="C279">
        <v>2.1309607503569898</v>
      </c>
      <c r="D279">
        <v>85.548147055290201</v>
      </c>
      <c r="E279">
        <v>31.9988618279584</v>
      </c>
      <c r="F279">
        <v>28.265664123841201</v>
      </c>
      <c r="G279">
        <v>0.80145744029095201</v>
      </c>
      <c r="H279">
        <v>0.408395661805316</v>
      </c>
      <c r="I279">
        <v>4.2412790272504397</v>
      </c>
      <c r="J279">
        <v>72.403766986758598</v>
      </c>
      <c r="K279">
        <v>79.319075682180099</v>
      </c>
      <c r="L279" t="s">
        <v>19</v>
      </c>
      <c r="M279" t="s">
        <v>32</v>
      </c>
      <c r="N279">
        <v>26</v>
      </c>
      <c r="O279">
        <v>74.346090717823699</v>
      </c>
      <c r="P279">
        <v>21.1885416079183</v>
      </c>
      <c r="Q279" t="s">
        <v>25</v>
      </c>
      <c r="R279">
        <v>277</v>
      </c>
      <c r="S279">
        <v>76.855484892351996</v>
      </c>
    </row>
    <row r="280" spans="1:19" x14ac:dyDescent="0.25">
      <c r="A280">
        <v>1301</v>
      </c>
      <c r="B280">
        <v>109.969211516191</v>
      </c>
      <c r="C280">
        <v>1.0471338495686899</v>
      </c>
      <c r="D280">
        <v>79.333419639321605</v>
      </c>
      <c r="E280">
        <v>35.620916080056503</v>
      </c>
      <c r="F280">
        <v>25.9495986109042</v>
      </c>
      <c r="G280">
        <v>1.6722275182983899</v>
      </c>
      <c r="H280">
        <v>0.52107108430863902</v>
      </c>
      <c r="I280">
        <v>5.1853179225760497</v>
      </c>
      <c r="J280">
        <v>77.209981697162505</v>
      </c>
      <c r="K280">
        <v>19.394316578260099</v>
      </c>
      <c r="L280" t="s">
        <v>27</v>
      </c>
      <c r="M280" t="s">
        <v>23</v>
      </c>
      <c r="N280">
        <v>36</v>
      </c>
      <c r="O280">
        <v>70.001791312959995</v>
      </c>
      <c r="P280">
        <v>19.452505093082301</v>
      </c>
      <c r="Q280" t="s">
        <v>31</v>
      </c>
      <c r="R280">
        <v>278</v>
      </c>
      <c r="S280">
        <v>60.867793299648902</v>
      </c>
    </row>
    <row r="281" spans="1:19" x14ac:dyDescent="0.25">
      <c r="A281">
        <v>1606</v>
      </c>
      <c r="B281">
        <v>163.87529208146501</v>
      </c>
      <c r="C281">
        <v>1.1731168306755899</v>
      </c>
      <c r="D281">
        <v>100.420124543187</v>
      </c>
      <c r="E281">
        <v>33.684608650025403</v>
      </c>
      <c r="F281">
        <v>26.847845128764501</v>
      </c>
      <c r="G281">
        <v>0.26905495044026201</v>
      </c>
      <c r="H281">
        <v>0.55506528638796704</v>
      </c>
      <c r="I281">
        <v>7.2090640298202402</v>
      </c>
      <c r="J281">
        <v>105.301355898792</v>
      </c>
      <c r="K281">
        <v>31.161148708918098</v>
      </c>
      <c r="L281" t="s">
        <v>34</v>
      </c>
      <c r="M281" t="s">
        <v>32</v>
      </c>
      <c r="N281">
        <v>19</v>
      </c>
      <c r="O281">
        <v>57.980403390530398</v>
      </c>
      <c r="P281">
        <v>21.311302231188598</v>
      </c>
      <c r="Q281" t="s">
        <v>31</v>
      </c>
      <c r="R281">
        <v>279</v>
      </c>
      <c r="S281">
        <v>92.493536751946706</v>
      </c>
    </row>
    <row r="282" spans="1:19" x14ac:dyDescent="0.25">
      <c r="A282">
        <v>4170</v>
      </c>
      <c r="B282">
        <v>133.356976432148</v>
      </c>
      <c r="C282">
        <v>1.20216935297825</v>
      </c>
      <c r="D282">
        <v>51.021669583503197</v>
      </c>
      <c r="E282">
        <v>32.303222036935203</v>
      </c>
      <c r="F282">
        <v>23.634277003052102</v>
      </c>
      <c r="G282">
        <v>1.7674349102086</v>
      </c>
      <c r="H282">
        <v>0.64397983572500295</v>
      </c>
      <c r="I282">
        <v>8.9559799918406799</v>
      </c>
      <c r="J282">
        <v>100.592815341535</v>
      </c>
      <c r="K282">
        <v>89.892018636380101</v>
      </c>
      <c r="L282" t="s">
        <v>22</v>
      </c>
      <c r="M282" t="s">
        <v>30</v>
      </c>
      <c r="N282">
        <v>28</v>
      </c>
      <c r="O282">
        <v>54.845004470102801</v>
      </c>
      <c r="P282">
        <v>22.315211921377699</v>
      </c>
      <c r="Q282" t="s">
        <v>31</v>
      </c>
      <c r="R282">
        <v>280</v>
      </c>
      <c r="S282">
        <v>83.249946205198299</v>
      </c>
    </row>
    <row r="283" spans="1:19" x14ac:dyDescent="0.25">
      <c r="A283">
        <v>1699</v>
      </c>
      <c r="B283">
        <v>157.34591663176201</v>
      </c>
      <c r="C283">
        <v>2.1872190465853998</v>
      </c>
      <c r="D283">
        <v>104.947263958311</v>
      </c>
      <c r="E283">
        <v>32.266337703133601</v>
      </c>
      <c r="F283">
        <v>15.053506348945</v>
      </c>
      <c r="G283">
        <v>1.1229498196290699</v>
      </c>
      <c r="H283">
        <v>0.494106363127371</v>
      </c>
      <c r="I283">
        <v>2.86287672700107</v>
      </c>
      <c r="J283">
        <v>33.221152282029898</v>
      </c>
      <c r="K283">
        <v>47.480707694009403</v>
      </c>
      <c r="L283" t="s">
        <v>22</v>
      </c>
      <c r="M283" t="s">
        <v>20</v>
      </c>
      <c r="N283">
        <v>34</v>
      </c>
      <c r="O283">
        <v>84.212603308890095</v>
      </c>
      <c r="P283">
        <v>7.4869835034056296</v>
      </c>
      <c r="Q283" t="s">
        <v>21</v>
      </c>
      <c r="R283">
        <v>281</v>
      </c>
      <c r="S283">
        <v>80.250964109832793</v>
      </c>
    </row>
    <row r="284" spans="1:19" x14ac:dyDescent="0.25">
      <c r="A284">
        <v>6088</v>
      </c>
      <c r="B284">
        <v>141.85450692755401</v>
      </c>
      <c r="C284">
        <v>0.43216289301065203</v>
      </c>
      <c r="D284">
        <v>88.643831285207696</v>
      </c>
      <c r="E284">
        <v>32.888466952063602</v>
      </c>
      <c r="F284">
        <v>21.021507344265402</v>
      </c>
      <c r="G284">
        <v>0.91685042275414297</v>
      </c>
      <c r="H284">
        <v>0.88028989618041997</v>
      </c>
      <c r="I284">
        <v>9.2637384261553208</v>
      </c>
      <c r="J284">
        <v>91.391458408363405</v>
      </c>
      <c r="K284">
        <v>67.722424765848203</v>
      </c>
      <c r="L284" t="s">
        <v>27</v>
      </c>
      <c r="M284" t="s">
        <v>28</v>
      </c>
      <c r="N284">
        <v>19</v>
      </c>
      <c r="O284">
        <v>60.003435901706297</v>
      </c>
      <c r="P284">
        <v>21.146174455292201</v>
      </c>
      <c r="Q284" t="s">
        <v>21</v>
      </c>
      <c r="R284">
        <v>282</v>
      </c>
      <c r="S284">
        <v>88.584614688713501</v>
      </c>
    </row>
    <row r="285" spans="1:19" x14ac:dyDescent="0.25">
      <c r="A285">
        <v>1190</v>
      </c>
      <c r="B285">
        <v>144.13506438307499</v>
      </c>
      <c r="C285">
        <v>3.0688742668299902</v>
      </c>
      <c r="D285">
        <v>65.268894255621007</v>
      </c>
      <c r="E285">
        <v>32.712597693573898</v>
      </c>
      <c r="F285">
        <v>27.300448699543299</v>
      </c>
      <c r="G285">
        <v>1.09490110529183</v>
      </c>
      <c r="H285">
        <v>0.78770112300223405</v>
      </c>
      <c r="I285">
        <v>8.3366220877289994</v>
      </c>
      <c r="J285">
        <v>63.543612890203498</v>
      </c>
      <c r="K285">
        <v>28.699728664276002</v>
      </c>
      <c r="L285" t="s">
        <v>19</v>
      </c>
      <c r="M285" t="s">
        <v>23</v>
      </c>
      <c r="N285">
        <v>36</v>
      </c>
      <c r="O285">
        <v>69.073473138320793</v>
      </c>
      <c r="P285">
        <v>23.940325396803001</v>
      </c>
      <c r="Q285" t="s">
        <v>24</v>
      </c>
      <c r="R285">
        <v>283</v>
      </c>
      <c r="S285">
        <v>84.211773304556999</v>
      </c>
    </row>
    <row r="286" spans="1:19" x14ac:dyDescent="0.25">
      <c r="A286">
        <v>1980</v>
      </c>
      <c r="B286">
        <v>146.39534560464401</v>
      </c>
      <c r="C286">
        <v>2.0280284045330199</v>
      </c>
      <c r="D286">
        <v>92.712402943658802</v>
      </c>
      <c r="E286">
        <v>34.340200530635897</v>
      </c>
      <c r="F286">
        <v>21.742385357376701</v>
      </c>
      <c r="G286">
        <v>1.40134795496089</v>
      </c>
      <c r="H286">
        <v>0.44686026265781398</v>
      </c>
      <c r="I286">
        <v>9.8097041366041093</v>
      </c>
      <c r="J286">
        <v>49.464890306249998</v>
      </c>
      <c r="K286">
        <v>60.740155123915301</v>
      </c>
      <c r="L286" t="s">
        <v>34</v>
      </c>
      <c r="M286" t="s">
        <v>23</v>
      </c>
      <c r="N286">
        <v>24</v>
      </c>
      <c r="O286">
        <v>60.2504612980837</v>
      </c>
      <c r="P286">
        <v>23.8459415026709</v>
      </c>
      <c r="Q286" t="s">
        <v>21</v>
      </c>
      <c r="R286">
        <v>284</v>
      </c>
      <c r="S286">
        <v>91.492016238549795</v>
      </c>
    </row>
    <row r="287" spans="1:19" x14ac:dyDescent="0.25">
      <c r="A287">
        <v>3975</v>
      </c>
      <c r="B287">
        <v>143.954171200346</v>
      </c>
      <c r="C287">
        <v>1.6116194570645701</v>
      </c>
      <c r="D287">
        <v>47.874129751767299</v>
      </c>
      <c r="E287">
        <v>33.223699403692798</v>
      </c>
      <c r="F287">
        <v>24.515451843118701</v>
      </c>
      <c r="G287">
        <v>0.222977767732215</v>
      </c>
      <c r="H287">
        <v>0.75755084812696205</v>
      </c>
      <c r="I287">
        <v>8.9222659595351796</v>
      </c>
      <c r="J287">
        <v>25.001882090218601</v>
      </c>
      <c r="K287">
        <v>69.457955127706299</v>
      </c>
      <c r="L287" t="s">
        <v>34</v>
      </c>
      <c r="M287" t="s">
        <v>32</v>
      </c>
      <c r="N287">
        <v>35</v>
      </c>
      <c r="O287">
        <v>49.688730490764797</v>
      </c>
      <c r="P287">
        <v>7.9755470092603202</v>
      </c>
      <c r="Q287" t="s">
        <v>21</v>
      </c>
      <c r="R287">
        <v>285</v>
      </c>
      <c r="S287">
        <v>88.717186818913504</v>
      </c>
    </row>
    <row r="288" spans="1:19" x14ac:dyDescent="0.25">
      <c r="A288">
        <v>7102</v>
      </c>
      <c r="B288">
        <v>147.85445519735001</v>
      </c>
      <c r="C288">
        <v>1.4725529996918501</v>
      </c>
      <c r="D288">
        <v>53.509716769446499</v>
      </c>
      <c r="E288">
        <v>32.122041913309701</v>
      </c>
      <c r="F288">
        <v>20.406258423769302</v>
      </c>
      <c r="G288">
        <v>1.76879334162484</v>
      </c>
      <c r="H288">
        <v>0.75951106202309104</v>
      </c>
      <c r="I288">
        <v>3.5194359672271598</v>
      </c>
      <c r="J288">
        <v>68.724956034545102</v>
      </c>
      <c r="K288">
        <v>38.585747689988203</v>
      </c>
      <c r="L288" t="s">
        <v>27</v>
      </c>
      <c r="M288" t="s">
        <v>32</v>
      </c>
      <c r="N288">
        <v>30</v>
      </c>
      <c r="O288">
        <v>71.584055997231999</v>
      </c>
      <c r="P288">
        <v>27.234389976346002</v>
      </c>
      <c r="Q288" t="s">
        <v>29</v>
      </c>
      <c r="R288">
        <v>286</v>
      </c>
      <c r="S288">
        <v>74.527006466461799</v>
      </c>
    </row>
    <row r="289" spans="1:19" x14ac:dyDescent="0.25">
      <c r="A289">
        <v>2184</v>
      </c>
      <c r="B289">
        <v>161.583050602648</v>
      </c>
      <c r="C289">
        <v>1.64277703742882</v>
      </c>
      <c r="D289">
        <v>57.828205535205903</v>
      </c>
      <c r="E289">
        <v>35.268528822186902</v>
      </c>
      <c r="F289">
        <v>16.850940757290701</v>
      </c>
      <c r="G289">
        <v>1.0041311455605</v>
      </c>
      <c r="H289">
        <v>0.92592164550399503</v>
      </c>
      <c r="I289">
        <v>1.95360320209642</v>
      </c>
      <c r="J289">
        <v>55.543668072453102</v>
      </c>
      <c r="K289">
        <v>77.167283398190804</v>
      </c>
      <c r="L289" t="s">
        <v>19</v>
      </c>
      <c r="M289" t="s">
        <v>23</v>
      </c>
      <c r="N289">
        <v>22</v>
      </c>
      <c r="O289">
        <v>72.830884790670098</v>
      </c>
      <c r="P289">
        <v>21.429595912107601</v>
      </c>
      <c r="Q289" t="s">
        <v>31</v>
      </c>
      <c r="R289">
        <v>287</v>
      </c>
      <c r="S289">
        <v>85.309994250511295</v>
      </c>
    </row>
    <row r="290" spans="1:19" x14ac:dyDescent="0.25">
      <c r="A290">
        <v>4327</v>
      </c>
      <c r="B290">
        <v>138.93042339402899</v>
      </c>
      <c r="C290">
        <v>1.7605612141896601</v>
      </c>
      <c r="D290">
        <v>59.420445838719601</v>
      </c>
      <c r="E290">
        <v>33.059169997824199</v>
      </c>
      <c r="F290">
        <v>21.383279679769402</v>
      </c>
      <c r="G290">
        <v>0.81733973546014005</v>
      </c>
      <c r="H290">
        <v>0.40166147924588802</v>
      </c>
      <c r="I290">
        <v>2.0101696479242901</v>
      </c>
      <c r="J290">
        <v>45.151303967639997</v>
      </c>
      <c r="K290">
        <v>60.256318385421203</v>
      </c>
      <c r="L290" t="s">
        <v>34</v>
      </c>
      <c r="M290" t="s">
        <v>32</v>
      </c>
      <c r="N290">
        <v>35</v>
      </c>
      <c r="O290">
        <v>54.6496238210607</v>
      </c>
      <c r="P290">
        <v>22.444383782034102</v>
      </c>
      <c r="Q290" t="s">
        <v>21</v>
      </c>
      <c r="R290">
        <v>288</v>
      </c>
      <c r="S290">
        <v>67.245297193054697</v>
      </c>
    </row>
    <row r="291" spans="1:19" x14ac:dyDescent="0.25">
      <c r="A291">
        <v>4394</v>
      </c>
      <c r="B291">
        <v>149.18007515177001</v>
      </c>
      <c r="C291">
        <v>1.82260779297502</v>
      </c>
      <c r="D291">
        <v>48.868847144794898</v>
      </c>
      <c r="E291">
        <v>33.922607611162597</v>
      </c>
      <c r="F291">
        <v>23.545237215163201</v>
      </c>
      <c r="G291">
        <v>0.44884201814130198</v>
      </c>
      <c r="H291">
        <v>0.53636284739319395</v>
      </c>
      <c r="I291">
        <v>3.6210098672044801</v>
      </c>
      <c r="J291">
        <v>89.467172959695702</v>
      </c>
      <c r="K291">
        <v>44.184225721127198</v>
      </c>
      <c r="L291" t="s">
        <v>27</v>
      </c>
      <c r="M291" t="s">
        <v>33</v>
      </c>
      <c r="N291">
        <v>33</v>
      </c>
      <c r="O291">
        <v>76.866281763555705</v>
      </c>
      <c r="P291">
        <v>10.834399519079501</v>
      </c>
      <c r="Q291" t="s">
        <v>31</v>
      </c>
      <c r="R291">
        <v>289</v>
      </c>
      <c r="S291">
        <v>81.826494665823404</v>
      </c>
    </row>
    <row r="292" spans="1:19" x14ac:dyDescent="0.25">
      <c r="A292">
        <v>9319</v>
      </c>
      <c r="B292">
        <v>133.20528611425499</v>
      </c>
      <c r="C292">
        <v>1.77780223300172</v>
      </c>
      <c r="D292">
        <v>94.461661341906506</v>
      </c>
      <c r="E292">
        <v>32.270128191066199</v>
      </c>
      <c r="F292">
        <v>18.7215614026927</v>
      </c>
      <c r="G292">
        <v>0.99103767384519503</v>
      </c>
      <c r="H292">
        <v>0.91028531365642296</v>
      </c>
      <c r="I292">
        <v>6.52765351586085</v>
      </c>
      <c r="J292">
        <v>96.948538731558699</v>
      </c>
      <c r="K292">
        <v>56.823179500736799</v>
      </c>
      <c r="L292" t="s">
        <v>34</v>
      </c>
      <c r="M292" t="s">
        <v>33</v>
      </c>
      <c r="N292">
        <v>32</v>
      </c>
      <c r="O292">
        <v>63.787186173692298</v>
      </c>
      <c r="P292">
        <v>24.056737474883899</v>
      </c>
      <c r="Q292" t="s">
        <v>31</v>
      </c>
      <c r="R292">
        <v>290</v>
      </c>
      <c r="S292">
        <v>74.858851362784804</v>
      </c>
    </row>
    <row r="293" spans="1:19" x14ac:dyDescent="0.25">
      <c r="A293">
        <v>2816</v>
      </c>
      <c r="B293">
        <v>163.80234430898901</v>
      </c>
      <c r="C293">
        <v>1.54479034062762</v>
      </c>
      <c r="D293">
        <v>64.822911992603295</v>
      </c>
      <c r="E293">
        <v>33.4357387532934</v>
      </c>
      <c r="F293">
        <v>20.821443775716599</v>
      </c>
      <c r="G293">
        <v>1.0933809883118799</v>
      </c>
      <c r="H293">
        <v>0.91267365346905505</v>
      </c>
      <c r="I293">
        <v>8.2388829348745496</v>
      </c>
      <c r="J293">
        <v>44.478951902942399</v>
      </c>
      <c r="K293">
        <v>58.257063557694302</v>
      </c>
      <c r="L293" t="s">
        <v>22</v>
      </c>
      <c r="M293" t="s">
        <v>20</v>
      </c>
      <c r="N293">
        <v>25</v>
      </c>
      <c r="O293">
        <v>59.339276738687602</v>
      </c>
      <c r="P293">
        <v>4.2086876173596801</v>
      </c>
      <c r="Q293" t="s">
        <v>29</v>
      </c>
      <c r="R293">
        <v>291</v>
      </c>
      <c r="S293">
        <v>92.636415815478202</v>
      </c>
    </row>
    <row r="294" spans="1:19" x14ac:dyDescent="0.25">
      <c r="A294">
        <v>6854</v>
      </c>
      <c r="B294">
        <v>121.472153958814</v>
      </c>
      <c r="C294">
        <v>1.4013307898463301</v>
      </c>
      <c r="D294">
        <v>77.050099367137506</v>
      </c>
      <c r="E294">
        <v>33.373331989371799</v>
      </c>
      <c r="F294">
        <v>17.302683790069999</v>
      </c>
      <c r="G294">
        <v>0.92656405008826004</v>
      </c>
      <c r="H294">
        <v>0.79632253065384995</v>
      </c>
      <c r="I294">
        <v>9.09325276283408</v>
      </c>
      <c r="J294">
        <v>24.944743667934699</v>
      </c>
      <c r="K294">
        <v>27.415146952039901</v>
      </c>
      <c r="L294" t="s">
        <v>34</v>
      </c>
      <c r="M294" t="s">
        <v>20</v>
      </c>
      <c r="N294">
        <v>32</v>
      </c>
      <c r="O294">
        <v>58.814549357214702</v>
      </c>
      <c r="P294">
        <v>11.214425028763699</v>
      </c>
      <c r="Q294" t="s">
        <v>31</v>
      </c>
      <c r="R294">
        <v>292</v>
      </c>
      <c r="S294">
        <v>75.855040822038504</v>
      </c>
    </row>
    <row r="295" spans="1:19" x14ac:dyDescent="0.25">
      <c r="A295">
        <v>7709</v>
      </c>
      <c r="B295">
        <v>171.01880865821599</v>
      </c>
      <c r="C295">
        <v>1.42436335817324</v>
      </c>
      <c r="D295">
        <v>58.592972671726301</v>
      </c>
      <c r="E295">
        <v>30.732420849484601</v>
      </c>
      <c r="F295">
        <v>27.596224587820402</v>
      </c>
      <c r="G295">
        <v>1.42158816888841</v>
      </c>
      <c r="H295">
        <v>0.82116982657614601</v>
      </c>
      <c r="I295">
        <v>6.61378045932309</v>
      </c>
      <c r="J295">
        <v>104.87527005652299</v>
      </c>
      <c r="K295">
        <v>45.204927740022399</v>
      </c>
      <c r="L295" t="s">
        <v>34</v>
      </c>
      <c r="M295" t="s">
        <v>20</v>
      </c>
      <c r="N295">
        <v>18</v>
      </c>
      <c r="O295">
        <v>74.969809584776797</v>
      </c>
      <c r="P295">
        <v>28.132674260261599</v>
      </c>
      <c r="Q295" t="s">
        <v>21</v>
      </c>
      <c r="R295">
        <v>293</v>
      </c>
      <c r="S295">
        <v>91.211597640053995</v>
      </c>
    </row>
    <row r="296" spans="1:19" x14ac:dyDescent="0.25">
      <c r="A296">
        <v>1569</v>
      </c>
      <c r="B296">
        <v>134.19684098711301</v>
      </c>
      <c r="C296">
        <v>1.40254585982365</v>
      </c>
      <c r="D296">
        <v>33.587933989029601</v>
      </c>
      <c r="E296">
        <v>35.418330132552697</v>
      </c>
      <c r="F296">
        <v>20.527721212059799</v>
      </c>
      <c r="G296">
        <v>0.95761375176660601</v>
      </c>
      <c r="H296">
        <v>0.450315626861305</v>
      </c>
      <c r="I296">
        <v>1.0506818147324799</v>
      </c>
      <c r="J296">
        <v>20.995974120430301</v>
      </c>
      <c r="K296">
        <v>40.757294101461902</v>
      </c>
      <c r="L296" t="s">
        <v>34</v>
      </c>
      <c r="M296" t="s">
        <v>37</v>
      </c>
      <c r="N296">
        <v>34</v>
      </c>
      <c r="O296">
        <v>52.610095438859602</v>
      </c>
      <c r="P296">
        <v>23.668755503816101</v>
      </c>
      <c r="Q296" t="s">
        <v>31</v>
      </c>
      <c r="R296">
        <v>294</v>
      </c>
      <c r="S296">
        <v>68.055673954657195</v>
      </c>
    </row>
    <row r="297" spans="1:19" x14ac:dyDescent="0.25">
      <c r="A297">
        <v>6442</v>
      </c>
      <c r="B297">
        <v>106.384497957639</v>
      </c>
      <c r="C297">
        <v>2.0668850484335302</v>
      </c>
      <c r="D297">
        <v>75.401147167828398</v>
      </c>
      <c r="E297">
        <v>34.548773353107002</v>
      </c>
      <c r="F297">
        <v>29.263777725630899</v>
      </c>
      <c r="G297">
        <v>1.9305516401238301</v>
      </c>
      <c r="H297">
        <v>0.68263170912802795</v>
      </c>
      <c r="I297">
        <v>2.6768509886667999</v>
      </c>
      <c r="J297">
        <v>113.711249392147</v>
      </c>
      <c r="K297">
        <v>45.067704193434402</v>
      </c>
      <c r="L297" t="s">
        <v>19</v>
      </c>
      <c r="M297" t="s">
        <v>37</v>
      </c>
      <c r="N297">
        <v>32</v>
      </c>
      <c r="O297">
        <v>58.0626237808602</v>
      </c>
      <c r="P297">
        <v>20.332064707968701</v>
      </c>
      <c r="Q297" t="s">
        <v>24</v>
      </c>
      <c r="R297">
        <v>295</v>
      </c>
      <c r="S297">
        <v>59.070612682284001</v>
      </c>
    </row>
    <row r="298" spans="1:19" x14ac:dyDescent="0.25">
      <c r="A298">
        <v>2895</v>
      </c>
      <c r="B298">
        <v>137.562088298215</v>
      </c>
      <c r="C298">
        <v>1.79677836114043</v>
      </c>
      <c r="D298">
        <v>31.754900491604399</v>
      </c>
      <c r="E298">
        <v>32.523365620624801</v>
      </c>
      <c r="F298">
        <v>29.643739252704499</v>
      </c>
      <c r="G298">
        <v>1.2786995320824599</v>
      </c>
      <c r="H298">
        <v>0.52737064520894905</v>
      </c>
      <c r="I298">
        <v>1.89753583468031</v>
      </c>
      <c r="J298">
        <v>82.761987398270506</v>
      </c>
      <c r="K298">
        <v>72.083294136394301</v>
      </c>
      <c r="L298" t="s">
        <v>19</v>
      </c>
      <c r="M298" t="s">
        <v>26</v>
      </c>
      <c r="N298">
        <v>31</v>
      </c>
      <c r="O298">
        <v>71.4527971291852</v>
      </c>
      <c r="P298">
        <v>25.549711017807301</v>
      </c>
      <c r="Q298" t="s">
        <v>24</v>
      </c>
      <c r="R298">
        <v>296</v>
      </c>
      <c r="S298">
        <v>71.541741563492394</v>
      </c>
    </row>
    <row r="299" spans="1:19" x14ac:dyDescent="0.25">
      <c r="A299">
        <v>3733</v>
      </c>
      <c r="B299">
        <v>121.378966850502</v>
      </c>
      <c r="C299">
        <v>0.1</v>
      </c>
      <c r="D299">
        <v>68.627319078290597</v>
      </c>
      <c r="E299">
        <v>31.6772763114529</v>
      </c>
      <c r="F299">
        <v>21.594770176391201</v>
      </c>
      <c r="G299">
        <v>1.6534602841734301</v>
      </c>
      <c r="H299">
        <v>0.499669923987489</v>
      </c>
      <c r="I299">
        <v>4.2699202801210898</v>
      </c>
      <c r="J299">
        <v>52.184663520131998</v>
      </c>
      <c r="K299">
        <v>51.190380560000399</v>
      </c>
      <c r="L299" t="s">
        <v>27</v>
      </c>
      <c r="M299" t="s">
        <v>36</v>
      </c>
      <c r="N299">
        <v>31</v>
      </c>
      <c r="O299">
        <v>70.3894203321953</v>
      </c>
      <c r="P299">
        <v>26.105541391577098</v>
      </c>
      <c r="Q299" t="s">
        <v>29</v>
      </c>
      <c r="R299">
        <v>297</v>
      </c>
      <c r="S299">
        <v>66.431588794386798</v>
      </c>
    </row>
    <row r="300" spans="1:19" x14ac:dyDescent="0.25">
      <c r="A300">
        <v>4863</v>
      </c>
      <c r="B300">
        <v>151.812870979774</v>
      </c>
      <c r="C300">
        <v>1.82795038826488</v>
      </c>
      <c r="D300">
        <v>42.633699223343697</v>
      </c>
      <c r="E300">
        <v>33.417073936564201</v>
      </c>
      <c r="F300">
        <v>16.957756337263199</v>
      </c>
      <c r="G300">
        <v>0.39684062559706101</v>
      </c>
      <c r="H300">
        <v>0.84566681451783199</v>
      </c>
      <c r="I300">
        <v>5.5121589427037101</v>
      </c>
      <c r="J300">
        <v>44.6477909576736</v>
      </c>
      <c r="K300">
        <v>85.523711492944798</v>
      </c>
      <c r="L300" t="s">
        <v>19</v>
      </c>
      <c r="M300" t="s">
        <v>28</v>
      </c>
      <c r="N300">
        <v>27</v>
      </c>
      <c r="O300">
        <v>59.824146741218797</v>
      </c>
      <c r="P300">
        <v>24.0633214251806</v>
      </c>
      <c r="Q300" t="s">
        <v>21</v>
      </c>
      <c r="R300">
        <v>298</v>
      </c>
      <c r="S300">
        <v>81.773256380042099</v>
      </c>
    </row>
    <row r="301" spans="1:19" x14ac:dyDescent="0.25">
      <c r="A301">
        <v>8455</v>
      </c>
      <c r="B301">
        <v>121.94752041395201</v>
      </c>
      <c r="C301">
        <v>1.59736809735938</v>
      </c>
      <c r="D301">
        <v>109.745519984616</v>
      </c>
      <c r="E301">
        <v>33.104037239297199</v>
      </c>
      <c r="F301">
        <v>11.570510611333299</v>
      </c>
      <c r="G301">
        <v>0.91512432730263005</v>
      </c>
      <c r="H301">
        <v>0.474270975174301</v>
      </c>
      <c r="I301">
        <v>1.39057460720704</v>
      </c>
      <c r="J301">
        <v>20.900566426447501</v>
      </c>
      <c r="K301">
        <v>37.025731001882697</v>
      </c>
      <c r="L301" t="s">
        <v>34</v>
      </c>
      <c r="M301" t="s">
        <v>33</v>
      </c>
      <c r="N301">
        <v>19</v>
      </c>
      <c r="O301">
        <v>78.290725717115194</v>
      </c>
      <c r="P301">
        <v>16.260576433790298</v>
      </c>
      <c r="Q301" t="s">
        <v>29</v>
      </c>
      <c r="R301">
        <v>299</v>
      </c>
      <c r="S301">
        <v>63.663597371965402</v>
      </c>
    </row>
    <row r="302" spans="1:19" x14ac:dyDescent="0.25">
      <c r="A302">
        <v>5014</v>
      </c>
      <c r="B302">
        <v>126.076331335704</v>
      </c>
      <c r="C302">
        <v>1.4906456217770501</v>
      </c>
      <c r="D302">
        <v>88.227254443494402</v>
      </c>
      <c r="E302">
        <v>33.426802738275804</v>
      </c>
      <c r="F302">
        <v>14.639814634865999</v>
      </c>
      <c r="G302">
        <v>0.80632586260487404</v>
      </c>
      <c r="H302">
        <v>0.65775840034801103</v>
      </c>
      <c r="I302">
        <v>4.1363017821608903</v>
      </c>
      <c r="J302">
        <v>43.547141701087703</v>
      </c>
      <c r="K302">
        <v>46.177768371369602</v>
      </c>
      <c r="L302" t="s">
        <v>34</v>
      </c>
      <c r="M302" t="s">
        <v>30</v>
      </c>
      <c r="N302">
        <v>23</v>
      </c>
      <c r="O302">
        <v>59.095468071657997</v>
      </c>
      <c r="P302">
        <v>10.975627676274399</v>
      </c>
      <c r="Q302" t="s">
        <v>24</v>
      </c>
      <c r="R302">
        <v>300</v>
      </c>
      <c r="S302">
        <v>68.238814026107804</v>
      </c>
    </row>
    <row r="303" spans="1:19" x14ac:dyDescent="0.25">
      <c r="A303">
        <v>2686</v>
      </c>
      <c r="B303">
        <v>97.209185381089299</v>
      </c>
      <c r="C303">
        <v>1.30574077345555</v>
      </c>
      <c r="D303">
        <v>72.115075825429599</v>
      </c>
      <c r="E303">
        <v>33.229892875432903</v>
      </c>
      <c r="F303">
        <v>15.1308258755067</v>
      </c>
      <c r="G303">
        <v>1.2250682986458601</v>
      </c>
      <c r="H303">
        <v>0.91621803177231798</v>
      </c>
      <c r="I303">
        <v>2.6126170716278998</v>
      </c>
      <c r="J303">
        <v>33.772830151714103</v>
      </c>
      <c r="K303">
        <v>74.021760785928095</v>
      </c>
      <c r="L303" t="s">
        <v>19</v>
      </c>
      <c r="M303" t="s">
        <v>28</v>
      </c>
      <c r="N303">
        <v>34</v>
      </c>
      <c r="O303">
        <v>66.3316210347392</v>
      </c>
      <c r="P303">
        <v>12.692696605909999</v>
      </c>
      <c r="Q303" t="s">
        <v>21</v>
      </c>
      <c r="R303">
        <v>301</v>
      </c>
      <c r="S303">
        <v>49.137876855391497</v>
      </c>
    </row>
    <row r="304" spans="1:19" x14ac:dyDescent="0.25">
      <c r="A304">
        <v>4009</v>
      </c>
      <c r="B304">
        <v>125.953873615018</v>
      </c>
      <c r="C304">
        <v>2.062056359993</v>
      </c>
      <c r="D304">
        <v>95.274133553093293</v>
      </c>
      <c r="E304">
        <v>33.607489187167097</v>
      </c>
      <c r="F304">
        <v>28.892348137307501</v>
      </c>
      <c r="G304">
        <v>1.7500043361105599</v>
      </c>
      <c r="H304">
        <v>0.50220763056093798</v>
      </c>
      <c r="I304">
        <v>6.8236314963298597</v>
      </c>
      <c r="J304">
        <v>81.216622072314493</v>
      </c>
      <c r="K304">
        <v>55.9518444990562</v>
      </c>
      <c r="L304" t="s">
        <v>19</v>
      </c>
      <c r="M304" t="s">
        <v>28</v>
      </c>
      <c r="N304">
        <v>22</v>
      </c>
      <c r="O304">
        <v>65.272568916518694</v>
      </c>
      <c r="P304">
        <v>29.284701768225201</v>
      </c>
      <c r="Q304" t="s">
        <v>31</v>
      </c>
      <c r="R304">
        <v>302</v>
      </c>
      <c r="S304">
        <v>76.467624607378397</v>
      </c>
    </row>
    <row r="305" spans="1:19" x14ac:dyDescent="0.25">
      <c r="A305">
        <v>8806</v>
      </c>
      <c r="B305">
        <v>86.522413467420805</v>
      </c>
      <c r="C305">
        <v>1.9737632310614199</v>
      </c>
      <c r="D305">
        <v>53.073680450685202</v>
      </c>
      <c r="E305">
        <v>34.736766839270103</v>
      </c>
      <c r="F305">
        <v>22.579122936134699</v>
      </c>
      <c r="G305">
        <v>0.34100879197161199</v>
      </c>
      <c r="H305">
        <v>0.93789638305602896</v>
      </c>
      <c r="I305">
        <v>5.1784513239190604</v>
      </c>
      <c r="J305">
        <v>36.654558859380103</v>
      </c>
      <c r="K305">
        <v>56.027110981833502</v>
      </c>
      <c r="L305" t="s">
        <v>34</v>
      </c>
      <c r="M305" t="s">
        <v>30</v>
      </c>
      <c r="N305">
        <v>22</v>
      </c>
      <c r="O305">
        <v>65.303481394563306</v>
      </c>
      <c r="P305">
        <v>7.7960110635203597</v>
      </c>
      <c r="Q305" t="s">
        <v>21</v>
      </c>
      <c r="R305">
        <v>303</v>
      </c>
      <c r="S305">
        <v>46.831220607557803</v>
      </c>
    </row>
    <row r="306" spans="1:19" x14ac:dyDescent="0.25">
      <c r="A306">
        <v>1154</v>
      </c>
      <c r="B306">
        <v>103.321943530285</v>
      </c>
      <c r="C306">
        <v>1.1135611660881899</v>
      </c>
      <c r="D306">
        <v>80.869587573401802</v>
      </c>
      <c r="E306">
        <v>33.681723846154298</v>
      </c>
      <c r="F306">
        <v>23.948022620459898</v>
      </c>
      <c r="G306">
        <v>0.33063463648047903</v>
      </c>
      <c r="H306">
        <v>0.94685839216858203</v>
      </c>
      <c r="I306">
        <v>5.4578588224051696</v>
      </c>
      <c r="J306">
        <v>72.862983753661894</v>
      </c>
      <c r="K306">
        <v>19.0005122253887</v>
      </c>
      <c r="L306" t="s">
        <v>34</v>
      </c>
      <c r="M306" t="s">
        <v>35</v>
      </c>
      <c r="N306">
        <v>32</v>
      </c>
      <c r="O306">
        <v>66.437354337088095</v>
      </c>
      <c r="P306">
        <v>21.926587233167599</v>
      </c>
      <c r="Q306" t="s">
        <v>25</v>
      </c>
      <c r="R306">
        <v>304</v>
      </c>
      <c r="S306">
        <v>61.7907828340891</v>
      </c>
    </row>
    <row r="307" spans="1:19" x14ac:dyDescent="0.25">
      <c r="A307">
        <v>2409</v>
      </c>
      <c r="B307">
        <v>150.20829312288501</v>
      </c>
      <c r="C307">
        <v>1.70352614356226</v>
      </c>
      <c r="D307">
        <v>73.996208674374202</v>
      </c>
      <c r="E307">
        <v>31.740413401308</v>
      </c>
      <c r="F307">
        <v>10.897894955324301</v>
      </c>
      <c r="G307">
        <v>1.73057187468367</v>
      </c>
      <c r="H307">
        <v>0.70558943507532101</v>
      </c>
      <c r="I307">
        <v>4.8492260923011496</v>
      </c>
      <c r="J307">
        <v>79.011642234446995</v>
      </c>
      <c r="K307">
        <v>44.894974703884102</v>
      </c>
      <c r="L307" t="s">
        <v>22</v>
      </c>
      <c r="M307" t="s">
        <v>23</v>
      </c>
      <c r="N307">
        <v>32</v>
      </c>
      <c r="O307">
        <v>66.198411961036598</v>
      </c>
      <c r="P307">
        <v>21.938872999807899</v>
      </c>
      <c r="Q307" t="s">
        <v>21</v>
      </c>
      <c r="R307">
        <v>305</v>
      </c>
      <c r="S307">
        <v>83.373074437273402</v>
      </c>
    </row>
    <row r="308" spans="1:19" x14ac:dyDescent="0.25">
      <c r="A308">
        <v>1784</v>
      </c>
      <c r="B308">
        <v>150.71600317301599</v>
      </c>
      <c r="C308">
        <v>1.01417163272935</v>
      </c>
      <c r="D308">
        <v>75.280401626673395</v>
      </c>
      <c r="E308">
        <v>34.635075423254897</v>
      </c>
      <c r="F308">
        <v>16.0101678539136</v>
      </c>
      <c r="G308">
        <v>0.58313015486904296</v>
      </c>
      <c r="H308">
        <v>0.493578507097436</v>
      </c>
      <c r="I308">
        <v>9.6041773943791</v>
      </c>
      <c r="J308">
        <v>49.8041698346914</v>
      </c>
      <c r="K308">
        <v>35.305029931629903</v>
      </c>
      <c r="L308" t="s">
        <v>27</v>
      </c>
      <c r="M308" t="s">
        <v>36</v>
      </c>
      <c r="N308">
        <v>37</v>
      </c>
      <c r="O308">
        <v>66.099886657686994</v>
      </c>
      <c r="P308">
        <v>29.7444570653036</v>
      </c>
      <c r="Q308" t="s">
        <v>31</v>
      </c>
      <c r="R308">
        <v>306</v>
      </c>
      <c r="S308">
        <v>92.286752852152205</v>
      </c>
    </row>
    <row r="309" spans="1:19" x14ac:dyDescent="0.25">
      <c r="A309">
        <v>9096</v>
      </c>
      <c r="B309">
        <v>143.50915123569899</v>
      </c>
      <c r="C309">
        <v>0.81019091760553397</v>
      </c>
      <c r="D309">
        <v>95.447070002135305</v>
      </c>
      <c r="E309">
        <v>34.9687374761859</v>
      </c>
      <c r="F309">
        <v>26.4353988822314</v>
      </c>
      <c r="G309">
        <v>1.4037558580096601</v>
      </c>
      <c r="H309">
        <v>0.57385768836749196</v>
      </c>
      <c r="I309">
        <v>2.93261612609406</v>
      </c>
      <c r="J309">
        <v>23.5064949018718</v>
      </c>
      <c r="K309">
        <v>89.950134212333595</v>
      </c>
      <c r="L309" t="s">
        <v>19</v>
      </c>
      <c r="M309" t="s">
        <v>26</v>
      </c>
      <c r="N309">
        <v>28</v>
      </c>
      <c r="O309">
        <v>66.544582739556901</v>
      </c>
      <c r="P309">
        <v>21.9164731294969</v>
      </c>
      <c r="Q309" t="s">
        <v>25</v>
      </c>
      <c r="R309">
        <v>307</v>
      </c>
      <c r="S309">
        <v>76.036628013632495</v>
      </c>
    </row>
    <row r="310" spans="1:19" x14ac:dyDescent="0.25">
      <c r="A310">
        <v>8560</v>
      </c>
      <c r="B310">
        <v>115.660477137415</v>
      </c>
      <c r="C310">
        <v>1.1866413877050099</v>
      </c>
      <c r="D310">
        <v>84.649842055595997</v>
      </c>
      <c r="E310">
        <v>36.7824680814145</v>
      </c>
      <c r="F310">
        <v>23.433870561912901</v>
      </c>
      <c r="G310">
        <v>1.1771806382494401</v>
      </c>
      <c r="H310">
        <v>0.63347105797209402</v>
      </c>
      <c r="I310">
        <v>5.6499783385948597</v>
      </c>
      <c r="J310">
        <v>23.725388061419601</v>
      </c>
      <c r="K310">
        <v>38.126630297423198</v>
      </c>
      <c r="L310" t="s">
        <v>27</v>
      </c>
      <c r="M310" t="s">
        <v>20</v>
      </c>
      <c r="N310">
        <v>22</v>
      </c>
      <c r="O310">
        <v>76.682856994494998</v>
      </c>
      <c r="P310">
        <v>14.614210137865401</v>
      </c>
      <c r="Q310" t="s">
        <v>29</v>
      </c>
      <c r="R310">
        <v>308</v>
      </c>
      <c r="S310">
        <v>69.026526106104498</v>
      </c>
    </row>
    <row r="311" spans="1:19" x14ac:dyDescent="0.25">
      <c r="A311">
        <v>8343</v>
      </c>
      <c r="B311">
        <v>134.04577287716</v>
      </c>
      <c r="C311">
        <v>1.93119673619137</v>
      </c>
      <c r="D311">
        <v>75.7744732565004</v>
      </c>
      <c r="E311">
        <v>31.651807160112401</v>
      </c>
      <c r="F311">
        <v>21.263973606572002</v>
      </c>
      <c r="G311">
        <v>1.6992084707970101</v>
      </c>
      <c r="H311">
        <v>0.57012832339702202</v>
      </c>
      <c r="I311">
        <v>7.6241563152880198</v>
      </c>
      <c r="J311">
        <v>22.634733219391698</v>
      </c>
      <c r="K311">
        <v>81.337240109539707</v>
      </c>
      <c r="L311" t="s">
        <v>34</v>
      </c>
      <c r="M311" t="s">
        <v>30</v>
      </c>
      <c r="N311">
        <v>18</v>
      </c>
      <c r="O311">
        <v>66.140691103063205</v>
      </c>
      <c r="P311">
        <v>14.740195300976699</v>
      </c>
      <c r="Q311" t="s">
        <v>21</v>
      </c>
      <c r="R311">
        <v>309</v>
      </c>
      <c r="S311">
        <v>80.267870815570703</v>
      </c>
    </row>
    <row r="312" spans="1:19" x14ac:dyDescent="0.25">
      <c r="A312">
        <v>8206</v>
      </c>
      <c r="B312">
        <v>134.92794921818799</v>
      </c>
      <c r="C312">
        <v>1.9765625226880399</v>
      </c>
      <c r="D312">
        <v>36.902251275433997</v>
      </c>
      <c r="E312">
        <v>33.291458415780298</v>
      </c>
      <c r="F312">
        <v>24.8242117930006</v>
      </c>
      <c r="G312">
        <v>0.42516003770552602</v>
      </c>
      <c r="H312">
        <v>0.55434956893208298</v>
      </c>
      <c r="I312">
        <v>6.0115997182110599</v>
      </c>
      <c r="J312">
        <v>93.912466713654595</v>
      </c>
      <c r="K312">
        <v>65.717530128035804</v>
      </c>
      <c r="L312" t="s">
        <v>27</v>
      </c>
      <c r="M312" t="s">
        <v>37</v>
      </c>
      <c r="N312">
        <v>28</v>
      </c>
      <c r="O312">
        <v>73.535568222753795</v>
      </c>
      <c r="P312">
        <v>17.953755060248401</v>
      </c>
      <c r="Q312" t="s">
        <v>29</v>
      </c>
      <c r="R312">
        <v>310</v>
      </c>
      <c r="S312">
        <v>81.994725896666594</v>
      </c>
    </row>
    <row r="313" spans="1:19" x14ac:dyDescent="0.25">
      <c r="A313">
        <v>6596</v>
      </c>
      <c r="B313">
        <v>111.83270621614901</v>
      </c>
      <c r="C313">
        <v>1.7565427100486399</v>
      </c>
      <c r="D313">
        <v>50.799074094410699</v>
      </c>
      <c r="E313">
        <v>30.5014815561732</v>
      </c>
      <c r="F313">
        <v>30.178989030678999</v>
      </c>
      <c r="G313">
        <v>0.43360933830069998</v>
      </c>
      <c r="H313">
        <v>0.93472634006899602</v>
      </c>
      <c r="I313">
        <v>9.3611879714512103</v>
      </c>
      <c r="J313">
        <v>51.8009704814298</v>
      </c>
      <c r="K313">
        <v>40.568730689406699</v>
      </c>
      <c r="L313" t="s">
        <v>19</v>
      </c>
      <c r="M313" t="s">
        <v>20</v>
      </c>
      <c r="N313">
        <v>28</v>
      </c>
      <c r="O313">
        <v>69.189780726032296</v>
      </c>
      <c r="P313">
        <v>27.061354026640299</v>
      </c>
      <c r="Q313" t="s">
        <v>21</v>
      </c>
      <c r="R313">
        <v>311</v>
      </c>
      <c r="S313">
        <v>78.755523926024793</v>
      </c>
    </row>
    <row r="314" spans="1:19" x14ac:dyDescent="0.25">
      <c r="A314">
        <v>6801</v>
      </c>
      <c r="B314">
        <v>165.06796603534301</v>
      </c>
      <c r="C314">
        <v>1.8625478934239901</v>
      </c>
      <c r="D314">
        <v>67.545821328085495</v>
      </c>
      <c r="E314">
        <v>33.663778987655</v>
      </c>
      <c r="F314">
        <v>20.8947876823147</v>
      </c>
      <c r="G314">
        <v>1.2022730485009501</v>
      </c>
      <c r="H314">
        <v>0.48435065507865999</v>
      </c>
      <c r="I314">
        <v>4.4017152007715499</v>
      </c>
      <c r="J314">
        <v>99.630018596766305</v>
      </c>
      <c r="K314">
        <v>55.765078378059201</v>
      </c>
      <c r="L314" t="s">
        <v>19</v>
      </c>
      <c r="M314" t="s">
        <v>32</v>
      </c>
      <c r="N314">
        <v>23</v>
      </c>
      <c r="O314">
        <v>70.929843900999899</v>
      </c>
      <c r="P314">
        <v>24.452158869994399</v>
      </c>
      <c r="Q314" t="s">
        <v>24</v>
      </c>
      <c r="R314">
        <v>312</v>
      </c>
      <c r="S314">
        <v>89.339379522670896</v>
      </c>
    </row>
    <row r="315" spans="1:19" x14ac:dyDescent="0.25">
      <c r="A315">
        <v>3806</v>
      </c>
      <c r="B315">
        <v>152.54724581151299</v>
      </c>
      <c r="C315">
        <v>1.7580891435574699</v>
      </c>
      <c r="D315">
        <v>71.867447485533006</v>
      </c>
      <c r="E315">
        <v>32.342159642199803</v>
      </c>
      <c r="F315">
        <v>22.346849013290299</v>
      </c>
      <c r="G315">
        <v>1.9034815760450601</v>
      </c>
      <c r="H315">
        <v>0.80333034979427398</v>
      </c>
      <c r="I315">
        <v>5.1730822519585997</v>
      </c>
      <c r="J315">
        <v>63.173282384284903</v>
      </c>
      <c r="K315">
        <v>78.040190996189494</v>
      </c>
      <c r="L315" t="s">
        <v>27</v>
      </c>
      <c r="M315" t="s">
        <v>30</v>
      </c>
      <c r="N315">
        <v>25</v>
      </c>
      <c r="O315">
        <v>74.223289883300893</v>
      </c>
      <c r="P315">
        <v>9.31430959287791</v>
      </c>
      <c r="Q315" t="s">
        <v>24</v>
      </c>
      <c r="R315">
        <v>313</v>
      </c>
      <c r="S315">
        <v>82.737568637513405</v>
      </c>
    </row>
    <row r="316" spans="1:19" x14ac:dyDescent="0.25">
      <c r="A316">
        <v>1537</v>
      </c>
      <c r="B316">
        <v>130.58071652340601</v>
      </c>
      <c r="C316">
        <v>1.17925920238852</v>
      </c>
      <c r="D316">
        <v>47.3959255065215</v>
      </c>
      <c r="E316">
        <v>35.308134953789903</v>
      </c>
      <c r="F316">
        <v>22.9629845936565</v>
      </c>
      <c r="G316">
        <v>0.94699596506735695</v>
      </c>
      <c r="H316">
        <v>0.40022565919154601</v>
      </c>
      <c r="I316">
        <v>1.7967008369325499</v>
      </c>
      <c r="J316">
        <v>65.299810082996302</v>
      </c>
      <c r="K316">
        <v>81.252622352318397</v>
      </c>
      <c r="L316" t="s">
        <v>19</v>
      </c>
      <c r="M316" t="s">
        <v>20</v>
      </c>
      <c r="N316">
        <v>19</v>
      </c>
      <c r="O316">
        <v>58.877824078413298</v>
      </c>
      <c r="P316">
        <v>20.2293026024388</v>
      </c>
      <c r="Q316" t="s">
        <v>31</v>
      </c>
      <c r="R316">
        <v>314</v>
      </c>
      <c r="S316">
        <v>64.726246539115294</v>
      </c>
    </row>
    <row r="317" spans="1:19" x14ac:dyDescent="0.25">
      <c r="A317">
        <v>6986</v>
      </c>
      <c r="B317">
        <v>135.53771677988999</v>
      </c>
      <c r="C317">
        <v>1.7159612723369699</v>
      </c>
      <c r="D317">
        <v>118.233533511568</v>
      </c>
      <c r="E317">
        <v>32.070462035977698</v>
      </c>
      <c r="F317">
        <v>33.960548176369898</v>
      </c>
      <c r="G317">
        <v>0.78849578045845004</v>
      </c>
      <c r="H317">
        <v>0.72790046817130705</v>
      </c>
      <c r="I317">
        <v>6.4809919994673502</v>
      </c>
      <c r="J317">
        <v>71.288260250957293</v>
      </c>
      <c r="K317">
        <v>27.0295406254608</v>
      </c>
      <c r="L317" t="s">
        <v>22</v>
      </c>
      <c r="M317" t="s">
        <v>23</v>
      </c>
      <c r="N317">
        <v>32</v>
      </c>
      <c r="O317">
        <v>73.019199415752595</v>
      </c>
      <c r="P317">
        <v>24.6021074718055</v>
      </c>
      <c r="Q317" t="s">
        <v>24</v>
      </c>
      <c r="R317">
        <v>315</v>
      </c>
      <c r="S317">
        <v>76.775708062871999</v>
      </c>
    </row>
    <row r="318" spans="1:19" x14ac:dyDescent="0.25">
      <c r="A318">
        <v>2841</v>
      </c>
      <c r="B318">
        <v>139.16765615895099</v>
      </c>
      <c r="C318">
        <v>1.9002047626138401</v>
      </c>
      <c r="D318">
        <v>100.327881105071</v>
      </c>
      <c r="E318">
        <v>30.972980354439201</v>
      </c>
      <c r="F318">
        <v>11.503218677904799</v>
      </c>
      <c r="G318">
        <v>1.2920407817561901</v>
      </c>
      <c r="H318">
        <v>0.90376865217472802</v>
      </c>
      <c r="I318">
        <v>3.59390771603295</v>
      </c>
      <c r="J318">
        <v>91.303145637510397</v>
      </c>
      <c r="K318">
        <v>40.467985590612699</v>
      </c>
      <c r="L318" t="s">
        <v>34</v>
      </c>
      <c r="M318" t="s">
        <v>23</v>
      </c>
      <c r="N318">
        <v>39</v>
      </c>
      <c r="O318">
        <v>66.302767366262501</v>
      </c>
      <c r="P318">
        <v>16.1025969152866</v>
      </c>
      <c r="Q318" t="s">
        <v>25</v>
      </c>
      <c r="R318">
        <v>316</v>
      </c>
      <c r="S318">
        <v>75.4268726141499</v>
      </c>
    </row>
    <row r="319" spans="1:19" x14ac:dyDescent="0.25">
      <c r="A319">
        <v>9716</v>
      </c>
      <c r="B319">
        <v>94.165302631514095</v>
      </c>
      <c r="C319">
        <v>1.8771456649067799</v>
      </c>
      <c r="D319">
        <v>82.042366407849599</v>
      </c>
      <c r="E319">
        <v>32.434483511156898</v>
      </c>
      <c r="F319">
        <v>25.416115073943999</v>
      </c>
      <c r="G319">
        <v>1.87480748098105</v>
      </c>
      <c r="H319">
        <v>0.55836375175126995</v>
      </c>
      <c r="I319">
        <v>2.4427813556401099</v>
      </c>
      <c r="J319">
        <v>47.350286582970703</v>
      </c>
      <c r="K319">
        <v>40.141738516017803</v>
      </c>
      <c r="L319" t="s">
        <v>34</v>
      </c>
      <c r="M319" t="s">
        <v>23</v>
      </c>
      <c r="N319">
        <v>26</v>
      </c>
      <c r="O319">
        <v>60.311952007006198</v>
      </c>
      <c r="P319">
        <v>0.72020458574728596</v>
      </c>
      <c r="Q319" t="s">
        <v>25</v>
      </c>
      <c r="R319">
        <v>317</v>
      </c>
      <c r="S319">
        <v>47.800613933303097</v>
      </c>
    </row>
    <row r="320" spans="1:19" x14ac:dyDescent="0.25">
      <c r="A320">
        <v>7971</v>
      </c>
      <c r="B320">
        <v>130.056452349588</v>
      </c>
      <c r="C320">
        <v>2.0944566857373199</v>
      </c>
      <c r="D320">
        <v>71.440737225674894</v>
      </c>
      <c r="E320">
        <v>30.629414674539401</v>
      </c>
      <c r="F320">
        <v>21.4259887562046</v>
      </c>
      <c r="G320">
        <v>1.7064700991203201</v>
      </c>
      <c r="H320">
        <v>0.502039286391745</v>
      </c>
      <c r="I320">
        <v>5.9007816361405698</v>
      </c>
      <c r="J320">
        <v>32.158734953352599</v>
      </c>
      <c r="K320">
        <v>18.153359705695799</v>
      </c>
      <c r="L320" t="s">
        <v>19</v>
      </c>
      <c r="M320" t="s">
        <v>20</v>
      </c>
      <c r="N320">
        <v>32</v>
      </c>
      <c r="O320">
        <v>74.206240236178601</v>
      </c>
      <c r="P320">
        <v>16.4282150644488</v>
      </c>
      <c r="Q320" t="s">
        <v>21</v>
      </c>
      <c r="R320">
        <v>318</v>
      </c>
      <c r="S320">
        <v>71.064573155745805</v>
      </c>
    </row>
    <row r="321" spans="1:19" x14ac:dyDescent="0.25">
      <c r="A321">
        <v>6625</v>
      </c>
      <c r="B321">
        <v>121.360315040044</v>
      </c>
      <c r="C321">
        <v>1.8541519236005299</v>
      </c>
      <c r="D321">
        <v>65.755820601976893</v>
      </c>
      <c r="E321">
        <v>33.901319345408702</v>
      </c>
      <c r="F321">
        <v>24.833858630920801</v>
      </c>
      <c r="G321">
        <v>1.99187049931979</v>
      </c>
      <c r="H321">
        <v>0.75842388718313403</v>
      </c>
      <c r="I321">
        <v>5.7907923704191901</v>
      </c>
      <c r="J321">
        <v>75.605733519146099</v>
      </c>
      <c r="K321">
        <v>59.867831988892199</v>
      </c>
      <c r="L321" t="s">
        <v>34</v>
      </c>
      <c r="M321" t="s">
        <v>23</v>
      </c>
      <c r="N321">
        <v>25</v>
      </c>
      <c r="O321">
        <v>64.596832155534798</v>
      </c>
      <c r="P321">
        <v>6.11880239789539</v>
      </c>
      <c r="Q321" t="s">
        <v>29</v>
      </c>
      <c r="R321">
        <v>319</v>
      </c>
      <c r="S321">
        <v>66.235910118625995</v>
      </c>
    </row>
    <row r="322" spans="1:19" x14ac:dyDescent="0.25">
      <c r="A322">
        <v>3950</v>
      </c>
      <c r="B322">
        <v>114.96759980210101</v>
      </c>
      <c r="C322">
        <v>1.67572410377079</v>
      </c>
      <c r="D322">
        <v>50.961630799555202</v>
      </c>
      <c r="E322">
        <v>30.521900344492401</v>
      </c>
      <c r="F322">
        <v>18.713137230026302</v>
      </c>
      <c r="G322">
        <v>0.24062344976427799</v>
      </c>
      <c r="H322">
        <v>0.79193077401411605</v>
      </c>
      <c r="I322">
        <v>1.68284477101642</v>
      </c>
      <c r="J322">
        <v>52.697762324273903</v>
      </c>
      <c r="K322">
        <v>79.111503974414106</v>
      </c>
      <c r="L322" t="s">
        <v>22</v>
      </c>
      <c r="M322" t="s">
        <v>33</v>
      </c>
      <c r="N322">
        <v>33</v>
      </c>
      <c r="O322">
        <v>71.019958120519306</v>
      </c>
      <c r="P322">
        <v>4.8523604480269498</v>
      </c>
      <c r="Q322" t="s">
        <v>25</v>
      </c>
      <c r="R322">
        <v>320</v>
      </c>
      <c r="S322">
        <v>54.512109160318303</v>
      </c>
    </row>
    <row r="323" spans="1:19" x14ac:dyDescent="0.25">
      <c r="A323">
        <v>8992</v>
      </c>
      <c r="B323">
        <v>129.37799414227999</v>
      </c>
      <c r="C323">
        <v>2.0350751191582099</v>
      </c>
      <c r="D323">
        <v>71.549610370377195</v>
      </c>
      <c r="E323">
        <v>33.0341490974197</v>
      </c>
      <c r="F323">
        <v>21.7551748457077</v>
      </c>
      <c r="G323">
        <v>0.40314466048297198</v>
      </c>
      <c r="H323">
        <v>0.77841678542358905</v>
      </c>
      <c r="I323">
        <v>7.2839390814502503</v>
      </c>
      <c r="J323">
        <v>64.249131366803695</v>
      </c>
      <c r="K323">
        <v>43.618079086913802</v>
      </c>
      <c r="L323" t="s">
        <v>19</v>
      </c>
      <c r="M323" t="s">
        <v>37</v>
      </c>
      <c r="N323">
        <v>31</v>
      </c>
      <c r="O323">
        <v>48</v>
      </c>
      <c r="P323">
        <v>26.5213271922395</v>
      </c>
      <c r="Q323" t="s">
        <v>21</v>
      </c>
      <c r="R323">
        <v>321</v>
      </c>
      <c r="S323">
        <v>83.298502123711401</v>
      </c>
    </row>
    <row r="324" spans="1:19" x14ac:dyDescent="0.25">
      <c r="A324">
        <v>5780</v>
      </c>
      <c r="B324">
        <v>170.95373053699001</v>
      </c>
      <c r="C324">
        <v>1.4867393703754599</v>
      </c>
      <c r="D324">
        <v>75.155050802855001</v>
      </c>
      <c r="E324">
        <v>30.506625816172502</v>
      </c>
      <c r="F324">
        <v>25.557052897327399</v>
      </c>
      <c r="G324">
        <v>1.29704197405991</v>
      </c>
      <c r="H324">
        <v>0.57562428401175503</v>
      </c>
      <c r="I324">
        <v>6.6139497158576699</v>
      </c>
      <c r="J324">
        <v>84.694670833730498</v>
      </c>
      <c r="K324">
        <v>70.502695873813195</v>
      </c>
      <c r="L324" t="s">
        <v>22</v>
      </c>
      <c r="M324" t="s">
        <v>26</v>
      </c>
      <c r="N324">
        <v>32</v>
      </c>
      <c r="O324">
        <v>73.808661858055601</v>
      </c>
      <c r="P324">
        <v>38.168245008229</v>
      </c>
      <c r="Q324" t="s">
        <v>29</v>
      </c>
      <c r="R324">
        <v>322</v>
      </c>
      <c r="S324">
        <v>99.049562890835901</v>
      </c>
    </row>
    <row r="325" spans="1:19" x14ac:dyDescent="0.25">
      <c r="A325">
        <v>3368</v>
      </c>
      <c r="B325">
        <v>147.81685722533999</v>
      </c>
      <c r="C325">
        <v>1.05906267438614</v>
      </c>
      <c r="D325">
        <v>45.164788490367499</v>
      </c>
      <c r="E325">
        <v>32.615642634556004</v>
      </c>
      <c r="F325">
        <v>37.564551005219201</v>
      </c>
      <c r="G325">
        <v>1.6770375908009201</v>
      </c>
      <c r="H325">
        <v>0.53871132118763199</v>
      </c>
      <c r="I325">
        <v>2.7011555447184699</v>
      </c>
      <c r="J325">
        <v>69.412574114126997</v>
      </c>
      <c r="K325">
        <v>62.077531020055403</v>
      </c>
      <c r="L325" t="s">
        <v>22</v>
      </c>
      <c r="M325" t="s">
        <v>30</v>
      </c>
      <c r="N325">
        <v>37</v>
      </c>
      <c r="O325">
        <v>88.720737422034105</v>
      </c>
      <c r="P325">
        <v>28.914283629977</v>
      </c>
      <c r="Q325" t="s">
        <v>24</v>
      </c>
      <c r="R325">
        <v>323</v>
      </c>
      <c r="S325">
        <v>76.350388285669197</v>
      </c>
    </row>
    <row r="326" spans="1:19" x14ac:dyDescent="0.25">
      <c r="A326">
        <v>7655</v>
      </c>
      <c r="B326">
        <v>123.576420204344</v>
      </c>
      <c r="C326">
        <v>1.41846651802811</v>
      </c>
      <c r="D326">
        <v>76.683528344897894</v>
      </c>
      <c r="E326">
        <v>34.972053786965397</v>
      </c>
      <c r="F326">
        <v>26.040180947010299</v>
      </c>
      <c r="G326">
        <v>0.713439816152179</v>
      </c>
      <c r="H326">
        <v>0.92575533997912396</v>
      </c>
      <c r="I326">
        <v>5.2249137593863901</v>
      </c>
      <c r="J326">
        <v>82.027881710084202</v>
      </c>
      <c r="K326">
        <v>43.173655161974999</v>
      </c>
      <c r="L326" t="s">
        <v>34</v>
      </c>
      <c r="M326" t="s">
        <v>28</v>
      </c>
      <c r="N326">
        <v>30</v>
      </c>
      <c r="O326">
        <v>67.938681495540195</v>
      </c>
      <c r="P326">
        <v>-2.88474402258145</v>
      </c>
      <c r="Q326" t="s">
        <v>21</v>
      </c>
      <c r="R326">
        <v>324</v>
      </c>
      <c r="S326">
        <v>68.425420583725199</v>
      </c>
    </row>
    <row r="327" spans="1:19" x14ac:dyDescent="0.25">
      <c r="A327">
        <v>9173</v>
      </c>
      <c r="B327">
        <v>146.45165562712299</v>
      </c>
      <c r="C327">
        <v>1.12754867759677</v>
      </c>
      <c r="D327">
        <v>66.894819023504994</v>
      </c>
      <c r="E327">
        <v>33.4327774697229</v>
      </c>
      <c r="F327">
        <v>17.759672009847399</v>
      </c>
      <c r="G327">
        <v>0.63057995846159298</v>
      </c>
      <c r="H327">
        <v>0.90781472954846099</v>
      </c>
      <c r="I327">
        <v>7.4829062483070397</v>
      </c>
      <c r="J327">
        <v>74.420000211362705</v>
      </c>
      <c r="K327">
        <v>25.579484961922201</v>
      </c>
      <c r="L327" t="s">
        <v>34</v>
      </c>
      <c r="M327" t="s">
        <v>20</v>
      </c>
      <c r="N327">
        <v>26</v>
      </c>
      <c r="O327">
        <v>65.891560083662199</v>
      </c>
      <c r="P327">
        <v>16.6158984756119</v>
      </c>
      <c r="Q327" t="s">
        <v>29</v>
      </c>
      <c r="R327">
        <v>325</v>
      </c>
      <c r="S327">
        <v>86.2879009764236</v>
      </c>
    </row>
    <row r="328" spans="1:19" x14ac:dyDescent="0.25">
      <c r="A328">
        <v>5495</v>
      </c>
      <c r="B328">
        <v>162.98710873172001</v>
      </c>
      <c r="C328">
        <v>1.1624108625128</v>
      </c>
      <c r="D328">
        <v>31.8438488424521</v>
      </c>
      <c r="E328">
        <v>31.963807674041998</v>
      </c>
      <c r="F328">
        <v>19.881201589886398</v>
      </c>
      <c r="G328">
        <v>1.61655643888616</v>
      </c>
      <c r="H328">
        <v>0.65152413544105103</v>
      </c>
      <c r="I328">
        <v>5.7649216648714798</v>
      </c>
      <c r="J328">
        <v>93.979637193609904</v>
      </c>
      <c r="K328">
        <v>68.199288958197499</v>
      </c>
      <c r="L328" t="s">
        <v>27</v>
      </c>
      <c r="M328" t="s">
        <v>20</v>
      </c>
      <c r="N328">
        <v>18</v>
      </c>
      <c r="O328">
        <v>64.309671823682294</v>
      </c>
      <c r="P328">
        <v>13.282492744885699</v>
      </c>
      <c r="Q328" t="s">
        <v>31</v>
      </c>
      <c r="R328">
        <v>326</v>
      </c>
      <c r="S328">
        <v>85.3638747670756</v>
      </c>
    </row>
    <row r="329" spans="1:19" x14ac:dyDescent="0.25">
      <c r="A329">
        <v>7002</v>
      </c>
      <c r="B329">
        <v>153.492673658255</v>
      </c>
      <c r="C329">
        <v>1.4277406646422399</v>
      </c>
      <c r="D329">
        <v>52.792299784409899</v>
      </c>
      <c r="E329">
        <v>32.962555813273099</v>
      </c>
      <c r="F329">
        <v>19.732929458080701</v>
      </c>
      <c r="G329">
        <v>0.30148733693581597</v>
      </c>
      <c r="H329">
        <v>0.86540662638490495</v>
      </c>
      <c r="I329">
        <v>4.55940168565213</v>
      </c>
      <c r="J329">
        <v>90.593661771162004</v>
      </c>
      <c r="K329">
        <v>79.092387670592998</v>
      </c>
      <c r="L329" t="s">
        <v>22</v>
      </c>
      <c r="M329" t="s">
        <v>37</v>
      </c>
      <c r="N329">
        <v>23</v>
      </c>
      <c r="O329">
        <v>72.444769692573303</v>
      </c>
      <c r="P329">
        <v>6.2326213569348399</v>
      </c>
      <c r="Q329" t="s">
        <v>31</v>
      </c>
      <c r="R329">
        <v>327</v>
      </c>
      <c r="S329">
        <v>76.775922265441494</v>
      </c>
    </row>
    <row r="330" spans="1:19" x14ac:dyDescent="0.25">
      <c r="A330">
        <v>7614</v>
      </c>
      <c r="B330">
        <v>136.192607398403</v>
      </c>
      <c r="C330">
        <v>1.10379003950001</v>
      </c>
      <c r="D330">
        <v>61.727889331567098</v>
      </c>
      <c r="E330">
        <v>33.021620246453303</v>
      </c>
      <c r="F330">
        <v>13.021784136849901</v>
      </c>
      <c r="G330">
        <v>0.86488876564865302</v>
      </c>
      <c r="H330">
        <v>0.64877791269886198</v>
      </c>
      <c r="I330">
        <v>3.9010461227284901</v>
      </c>
      <c r="J330">
        <v>73.4189891808619</v>
      </c>
      <c r="K330">
        <v>66.439086930111898</v>
      </c>
      <c r="L330" t="s">
        <v>34</v>
      </c>
      <c r="M330" t="s">
        <v>35</v>
      </c>
      <c r="N330">
        <v>25</v>
      </c>
      <c r="O330">
        <v>65.567153081413494</v>
      </c>
      <c r="P330">
        <v>21.718869944713401</v>
      </c>
      <c r="Q330" t="s">
        <v>25</v>
      </c>
      <c r="R330">
        <v>328</v>
      </c>
      <c r="S330">
        <v>75.961003738058693</v>
      </c>
    </row>
    <row r="331" spans="1:19" x14ac:dyDescent="0.25">
      <c r="A331">
        <v>6919</v>
      </c>
      <c r="B331">
        <v>122.061264445888</v>
      </c>
      <c r="C331">
        <v>1.3460192351804701</v>
      </c>
      <c r="D331">
        <v>107.75375314680301</v>
      </c>
      <c r="E331">
        <v>33.567156415012001</v>
      </c>
      <c r="F331">
        <v>20.3495490414928</v>
      </c>
      <c r="G331">
        <v>1.11045660066619</v>
      </c>
      <c r="H331">
        <v>0.63341395993988003</v>
      </c>
      <c r="I331">
        <v>6.4935447997964797</v>
      </c>
      <c r="J331">
        <v>87.890302085970603</v>
      </c>
      <c r="K331">
        <v>16.340886302611299</v>
      </c>
      <c r="L331" t="s">
        <v>22</v>
      </c>
      <c r="M331" t="s">
        <v>36</v>
      </c>
      <c r="N331">
        <v>37</v>
      </c>
      <c r="O331">
        <v>73.180467315148903</v>
      </c>
      <c r="P331">
        <v>16.521650040059299</v>
      </c>
      <c r="Q331" t="s">
        <v>29</v>
      </c>
      <c r="R331">
        <v>329</v>
      </c>
      <c r="S331">
        <v>67.550602605432999</v>
      </c>
    </row>
    <row r="332" spans="1:19" x14ac:dyDescent="0.25">
      <c r="A332">
        <v>1853</v>
      </c>
      <c r="B332">
        <v>148.96446627227101</v>
      </c>
      <c r="C332">
        <v>0.55319266652310695</v>
      </c>
      <c r="D332">
        <v>81.131062490675106</v>
      </c>
      <c r="E332">
        <v>31.359769964062998</v>
      </c>
      <c r="F332">
        <v>25.664145409108698</v>
      </c>
      <c r="G332">
        <v>1.20862761383058</v>
      </c>
      <c r="H332">
        <v>0.48621962117961198</v>
      </c>
      <c r="I332">
        <v>9.4519782847921601</v>
      </c>
      <c r="J332">
        <v>107.35596022726099</v>
      </c>
      <c r="K332">
        <v>31.217467079324301</v>
      </c>
      <c r="L332" t="s">
        <v>27</v>
      </c>
      <c r="M332" t="s">
        <v>32</v>
      </c>
      <c r="N332">
        <v>35</v>
      </c>
      <c r="O332">
        <v>81.779584535004901</v>
      </c>
      <c r="P332">
        <v>8.6872832833711406</v>
      </c>
      <c r="Q332" t="s">
        <v>31</v>
      </c>
      <c r="R332">
        <v>330</v>
      </c>
      <c r="S332">
        <v>88.984496360477294</v>
      </c>
    </row>
    <row r="333" spans="1:19" x14ac:dyDescent="0.25">
      <c r="A333">
        <v>5146</v>
      </c>
      <c r="B333">
        <v>142.86970770843499</v>
      </c>
      <c r="C333">
        <v>1.60664685368646</v>
      </c>
      <c r="D333">
        <v>43.290368618002098</v>
      </c>
      <c r="E333">
        <v>33.7110807286168</v>
      </c>
      <c r="F333">
        <v>15.628839404616</v>
      </c>
      <c r="G333">
        <v>1.5115072822269899</v>
      </c>
      <c r="H333">
        <v>0.63452333107058501</v>
      </c>
      <c r="I333">
        <v>7.0457035642973498</v>
      </c>
      <c r="J333">
        <v>63.227128778816798</v>
      </c>
      <c r="K333">
        <v>20.210998866264799</v>
      </c>
      <c r="L333" t="s">
        <v>22</v>
      </c>
      <c r="M333" t="s">
        <v>30</v>
      </c>
      <c r="N333">
        <v>35</v>
      </c>
      <c r="O333">
        <v>74.728311684386199</v>
      </c>
      <c r="P333">
        <v>1.5492380496837499</v>
      </c>
      <c r="Q333" t="s">
        <v>25</v>
      </c>
      <c r="R333">
        <v>331</v>
      </c>
      <c r="S333">
        <v>78.294633465712593</v>
      </c>
    </row>
    <row r="334" spans="1:19" x14ac:dyDescent="0.25">
      <c r="A334">
        <v>4769</v>
      </c>
      <c r="B334">
        <v>152.903864400554</v>
      </c>
      <c r="C334">
        <v>1.50060273768111</v>
      </c>
      <c r="D334">
        <v>79.720725788352695</v>
      </c>
      <c r="E334">
        <v>30</v>
      </c>
      <c r="F334">
        <v>27.242413255252899</v>
      </c>
      <c r="G334">
        <v>0.83872230217518395</v>
      </c>
      <c r="H334">
        <v>0.695579316229893</v>
      </c>
      <c r="I334">
        <v>1.6727131327268301</v>
      </c>
      <c r="J334">
        <v>61.276307274879301</v>
      </c>
      <c r="K334">
        <v>57.778957468217001</v>
      </c>
      <c r="L334" t="s">
        <v>19</v>
      </c>
      <c r="M334" t="s">
        <v>35</v>
      </c>
      <c r="N334">
        <v>34</v>
      </c>
      <c r="O334">
        <v>66.602669690571602</v>
      </c>
      <c r="P334">
        <v>13.1286709639603</v>
      </c>
      <c r="Q334" t="s">
        <v>21</v>
      </c>
      <c r="R334">
        <v>332</v>
      </c>
      <c r="S334">
        <v>75.175299952475299</v>
      </c>
    </row>
    <row r="335" spans="1:19" x14ac:dyDescent="0.25">
      <c r="A335">
        <v>1574</v>
      </c>
      <c r="B335">
        <v>147.70343603363901</v>
      </c>
      <c r="C335">
        <v>1.0914556844659</v>
      </c>
      <c r="D335">
        <v>39.053920221232602</v>
      </c>
      <c r="E335">
        <v>32.244138537163401</v>
      </c>
      <c r="F335">
        <v>24.438874105421601</v>
      </c>
      <c r="G335">
        <v>1.3028318204142899</v>
      </c>
      <c r="H335">
        <v>0.41237738008577701</v>
      </c>
      <c r="I335">
        <v>5.1461647613392003</v>
      </c>
      <c r="J335">
        <v>96.424562085237994</v>
      </c>
      <c r="K335">
        <v>71.735825913030894</v>
      </c>
      <c r="L335" t="s">
        <v>27</v>
      </c>
      <c r="M335" t="s">
        <v>32</v>
      </c>
      <c r="N335">
        <v>38</v>
      </c>
      <c r="O335">
        <v>59.076195980711397</v>
      </c>
      <c r="P335">
        <v>18.063256358191499</v>
      </c>
      <c r="Q335" t="s">
        <v>21</v>
      </c>
      <c r="R335">
        <v>333</v>
      </c>
      <c r="S335">
        <v>79.5239799144111</v>
      </c>
    </row>
    <row r="336" spans="1:19" x14ac:dyDescent="0.25">
      <c r="A336">
        <v>2148</v>
      </c>
      <c r="B336">
        <v>155.99105430638599</v>
      </c>
      <c r="C336">
        <v>1.8296228342162</v>
      </c>
      <c r="D336">
        <v>91.653821077741398</v>
      </c>
      <c r="E336">
        <v>32.414071389058101</v>
      </c>
      <c r="F336">
        <v>18.328833390144801</v>
      </c>
      <c r="G336">
        <v>1.2536757610237199</v>
      </c>
      <c r="H336">
        <v>0.64426215284647304</v>
      </c>
      <c r="I336">
        <v>9.01741718359564</v>
      </c>
      <c r="J336">
        <v>78.255383704199403</v>
      </c>
      <c r="K336">
        <v>23.293439030149401</v>
      </c>
      <c r="L336" t="s">
        <v>27</v>
      </c>
      <c r="M336" t="s">
        <v>36</v>
      </c>
      <c r="N336">
        <v>33</v>
      </c>
      <c r="O336">
        <v>64.734249237144596</v>
      </c>
      <c r="P336">
        <v>17.0526657043401</v>
      </c>
      <c r="Q336" t="s">
        <v>29</v>
      </c>
      <c r="R336">
        <v>334</v>
      </c>
      <c r="S336">
        <v>94.231446194666603</v>
      </c>
    </row>
    <row r="337" spans="1:19" x14ac:dyDescent="0.25">
      <c r="A337">
        <v>7293</v>
      </c>
      <c r="B337">
        <v>124.29529576878799</v>
      </c>
      <c r="C337">
        <v>1.96878506881327</v>
      </c>
      <c r="D337">
        <v>60.577506963642399</v>
      </c>
      <c r="E337">
        <v>33.759992191285399</v>
      </c>
      <c r="F337">
        <v>21.292351813310699</v>
      </c>
      <c r="G337">
        <v>1.1857089811767401</v>
      </c>
      <c r="H337">
        <v>0.82974592011736004</v>
      </c>
      <c r="I337">
        <v>1.8501618322097799</v>
      </c>
      <c r="J337">
        <v>27.100678022258801</v>
      </c>
      <c r="K337">
        <v>77.875336544503895</v>
      </c>
      <c r="L337" t="s">
        <v>22</v>
      </c>
      <c r="M337" t="s">
        <v>28</v>
      </c>
      <c r="N337">
        <v>30</v>
      </c>
      <c r="O337">
        <v>66.714507474557806</v>
      </c>
      <c r="P337">
        <v>26.502258681665701</v>
      </c>
      <c r="Q337" t="s">
        <v>29</v>
      </c>
      <c r="R337">
        <v>335</v>
      </c>
      <c r="S337">
        <v>56.840654155234503</v>
      </c>
    </row>
    <row r="338" spans="1:19" x14ac:dyDescent="0.25">
      <c r="A338">
        <v>7457</v>
      </c>
      <c r="B338">
        <v>161.34788131268601</v>
      </c>
      <c r="C338">
        <v>0.69622006781551204</v>
      </c>
      <c r="D338">
        <v>68.127276225216505</v>
      </c>
      <c r="E338">
        <v>33.027157023212197</v>
      </c>
      <c r="F338">
        <v>29.991609038205102</v>
      </c>
      <c r="G338">
        <v>1.3528699276559799</v>
      </c>
      <c r="H338">
        <v>0.77402533100584803</v>
      </c>
      <c r="I338">
        <v>9.8998814092378904</v>
      </c>
      <c r="J338">
        <v>109.211201569108</v>
      </c>
      <c r="K338">
        <v>56.663173379661202</v>
      </c>
      <c r="L338" t="s">
        <v>22</v>
      </c>
      <c r="M338" t="s">
        <v>20</v>
      </c>
      <c r="N338">
        <v>39</v>
      </c>
      <c r="O338">
        <v>57.451205116304997</v>
      </c>
      <c r="P338">
        <v>20.703872265065701</v>
      </c>
      <c r="Q338" t="s">
        <v>29</v>
      </c>
      <c r="R338">
        <v>336</v>
      </c>
      <c r="S338">
        <v>100.441627053955</v>
      </c>
    </row>
    <row r="339" spans="1:19" x14ac:dyDescent="0.25">
      <c r="A339">
        <v>8509</v>
      </c>
      <c r="B339">
        <v>138.95199209384799</v>
      </c>
      <c r="C339">
        <v>1.1186376107168901</v>
      </c>
      <c r="D339">
        <v>96.515932950843805</v>
      </c>
      <c r="E339">
        <v>31.3133243353724</v>
      </c>
      <c r="F339">
        <v>25.6677390675293</v>
      </c>
      <c r="G339">
        <v>0.66700850792253696</v>
      </c>
      <c r="H339">
        <v>0.74933634387516401</v>
      </c>
      <c r="I339">
        <v>9.5416245428087905</v>
      </c>
      <c r="J339">
        <v>23.078310223763999</v>
      </c>
      <c r="K339">
        <v>66.747675910629297</v>
      </c>
      <c r="L339" t="s">
        <v>34</v>
      </c>
      <c r="M339" t="s">
        <v>23</v>
      </c>
      <c r="N339">
        <v>21</v>
      </c>
      <c r="O339">
        <v>76.6954817426614</v>
      </c>
      <c r="P339">
        <v>15.242970323897801</v>
      </c>
      <c r="Q339" t="s">
        <v>29</v>
      </c>
      <c r="R339">
        <v>337</v>
      </c>
      <c r="S339">
        <v>87.890869548198694</v>
      </c>
    </row>
    <row r="340" spans="1:19" x14ac:dyDescent="0.25">
      <c r="A340">
        <v>5777</v>
      </c>
      <c r="B340">
        <v>176.50521745250501</v>
      </c>
      <c r="C340">
        <v>1.11542882510635</v>
      </c>
      <c r="D340">
        <v>44.256728628315003</v>
      </c>
      <c r="E340">
        <v>31.818008249019499</v>
      </c>
      <c r="F340">
        <v>22.0439182744907</v>
      </c>
      <c r="G340">
        <v>0.35236775645233198</v>
      </c>
      <c r="H340">
        <v>0.90025548564046098</v>
      </c>
      <c r="I340">
        <v>1.7044703265688801</v>
      </c>
      <c r="J340">
        <v>94.839635620974306</v>
      </c>
      <c r="K340">
        <v>87.855138645648395</v>
      </c>
      <c r="L340" t="s">
        <v>19</v>
      </c>
      <c r="M340" t="s">
        <v>37</v>
      </c>
      <c r="N340">
        <v>21</v>
      </c>
      <c r="O340">
        <v>72.552690315919307</v>
      </c>
      <c r="P340">
        <v>11.462179287502501</v>
      </c>
      <c r="Q340" t="s">
        <v>31</v>
      </c>
      <c r="R340">
        <v>338</v>
      </c>
      <c r="S340">
        <v>87.921908816674801</v>
      </c>
    </row>
    <row r="341" spans="1:19" x14ac:dyDescent="0.25">
      <c r="A341">
        <v>4854</v>
      </c>
      <c r="B341">
        <v>121.216243638208</v>
      </c>
      <c r="C341">
        <v>1.03004844944556</v>
      </c>
      <c r="D341">
        <v>42.057636297740103</v>
      </c>
      <c r="E341">
        <v>33.238416011456799</v>
      </c>
      <c r="F341">
        <v>20.811583415194999</v>
      </c>
      <c r="G341">
        <v>0.41468900967153799</v>
      </c>
      <c r="H341">
        <v>0.40991760540387601</v>
      </c>
      <c r="I341">
        <v>9.4007198840459907</v>
      </c>
      <c r="J341">
        <v>95.879414270431198</v>
      </c>
      <c r="K341">
        <v>21.276074118577299</v>
      </c>
      <c r="L341" t="s">
        <v>27</v>
      </c>
      <c r="M341" t="s">
        <v>30</v>
      </c>
      <c r="N341">
        <v>38</v>
      </c>
      <c r="O341">
        <v>59.611269645789598</v>
      </c>
      <c r="P341">
        <v>3.83258753648993</v>
      </c>
      <c r="Q341" t="s">
        <v>31</v>
      </c>
      <c r="R341">
        <v>339</v>
      </c>
      <c r="S341">
        <v>78.686980645770504</v>
      </c>
    </row>
    <row r="342" spans="1:19" x14ac:dyDescent="0.25">
      <c r="A342">
        <v>3491</v>
      </c>
      <c r="B342">
        <v>169.71927606330499</v>
      </c>
      <c r="C342">
        <v>1.9147374209658701</v>
      </c>
      <c r="D342">
        <v>58.328013473079899</v>
      </c>
      <c r="E342">
        <v>32.905119189762502</v>
      </c>
      <c r="F342">
        <v>22.3830453522582</v>
      </c>
      <c r="G342">
        <v>0.60424828877702197</v>
      </c>
      <c r="H342">
        <v>0.70637617240572803</v>
      </c>
      <c r="I342">
        <v>4.2681933123351596</v>
      </c>
      <c r="J342">
        <v>115.311108528193</v>
      </c>
      <c r="K342">
        <v>82.5918017233342</v>
      </c>
      <c r="L342" t="s">
        <v>27</v>
      </c>
      <c r="M342" t="s">
        <v>37</v>
      </c>
      <c r="N342">
        <v>31</v>
      </c>
      <c r="O342">
        <v>53.766276901363199</v>
      </c>
      <c r="P342">
        <v>9.2697931187210401</v>
      </c>
      <c r="Q342" t="s">
        <v>25</v>
      </c>
      <c r="R342">
        <v>340</v>
      </c>
      <c r="S342">
        <v>88.3918902063714</v>
      </c>
    </row>
    <row r="343" spans="1:19" x14ac:dyDescent="0.25">
      <c r="A343">
        <v>4124</v>
      </c>
      <c r="B343">
        <v>138.95821566925201</v>
      </c>
      <c r="C343">
        <v>1.40308693061359</v>
      </c>
      <c r="D343">
        <v>90.767577020386298</v>
      </c>
      <c r="E343">
        <v>32.305051068437102</v>
      </c>
      <c r="F343">
        <v>19.4411822102884</v>
      </c>
      <c r="G343">
        <v>1.1003562839410099</v>
      </c>
      <c r="H343">
        <v>0.83304186662533797</v>
      </c>
      <c r="I343">
        <v>8.6023825036827599</v>
      </c>
      <c r="J343">
        <v>25.413440840231999</v>
      </c>
      <c r="K343">
        <v>24.4577021990556</v>
      </c>
      <c r="L343" t="s">
        <v>27</v>
      </c>
      <c r="M343" t="s">
        <v>26</v>
      </c>
      <c r="N343">
        <v>22</v>
      </c>
      <c r="O343">
        <v>73.742815285082898</v>
      </c>
      <c r="P343">
        <v>28.866566488690399</v>
      </c>
      <c r="Q343" t="s">
        <v>31</v>
      </c>
      <c r="R343">
        <v>341</v>
      </c>
      <c r="S343">
        <v>83.417305075899705</v>
      </c>
    </row>
    <row r="344" spans="1:19" x14ac:dyDescent="0.25">
      <c r="A344">
        <v>6691</v>
      </c>
      <c r="B344">
        <v>121.971639927711</v>
      </c>
      <c r="C344">
        <v>1.36774257934469</v>
      </c>
      <c r="D344">
        <v>39.613078490463103</v>
      </c>
      <c r="E344">
        <v>32.4229994525856</v>
      </c>
      <c r="F344">
        <v>11.4762524714049</v>
      </c>
      <c r="G344">
        <v>1.71279695098283</v>
      </c>
      <c r="H344">
        <v>0.69773446048569698</v>
      </c>
      <c r="I344">
        <v>4.7654500394194397</v>
      </c>
      <c r="J344">
        <v>79.685686078449095</v>
      </c>
      <c r="K344">
        <v>44.471910497751097</v>
      </c>
      <c r="L344" t="s">
        <v>34</v>
      </c>
      <c r="M344" t="s">
        <v>28</v>
      </c>
      <c r="N344">
        <v>33</v>
      </c>
      <c r="O344">
        <v>54.853256722882698</v>
      </c>
      <c r="P344">
        <v>24.917383767399699</v>
      </c>
      <c r="Q344" t="s">
        <v>21</v>
      </c>
      <c r="R344">
        <v>342</v>
      </c>
      <c r="S344">
        <v>70.086931457986196</v>
      </c>
    </row>
    <row r="345" spans="1:19" x14ac:dyDescent="0.25">
      <c r="A345">
        <v>4051</v>
      </c>
      <c r="B345">
        <v>125.32228331891299</v>
      </c>
      <c r="C345">
        <v>0.49806881779662299</v>
      </c>
      <c r="D345">
        <v>20</v>
      </c>
      <c r="E345">
        <v>33.835401596591097</v>
      </c>
      <c r="F345">
        <v>32.210889552673599</v>
      </c>
      <c r="G345">
        <v>1.4623280157590901</v>
      </c>
      <c r="H345">
        <v>0.57814255391920799</v>
      </c>
      <c r="I345">
        <v>4.9676960143226401</v>
      </c>
      <c r="J345">
        <v>62.784057062705202</v>
      </c>
      <c r="K345">
        <v>78.857902224833495</v>
      </c>
      <c r="L345" t="s">
        <v>19</v>
      </c>
      <c r="M345" t="s">
        <v>26</v>
      </c>
      <c r="N345">
        <v>31</v>
      </c>
      <c r="O345">
        <v>68.671459976432601</v>
      </c>
      <c r="P345">
        <v>20.310145869958301</v>
      </c>
      <c r="Q345" t="s">
        <v>25</v>
      </c>
      <c r="R345">
        <v>343</v>
      </c>
      <c r="S345">
        <v>70.779207384686401</v>
      </c>
    </row>
    <row r="346" spans="1:19" x14ac:dyDescent="0.25">
      <c r="A346">
        <v>1004</v>
      </c>
      <c r="B346">
        <v>128.593053836113</v>
      </c>
      <c r="C346">
        <v>1.81770901510461</v>
      </c>
      <c r="D346">
        <v>60.976822831820002</v>
      </c>
      <c r="E346">
        <v>32.3787689125569</v>
      </c>
      <c r="F346">
        <v>22.776624995997</v>
      </c>
      <c r="G346">
        <v>1.6202730875636799</v>
      </c>
      <c r="H346">
        <v>0.474937810800587</v>
      </c>
      <c r="I346">
        <v>6.7081878187978798</v>
      </c>
      <c r="J346">
        <v>53.0632954859542</v>
      </c>
      <c r="K346">
        <v>82.969067755340106</v>
      </c>
      <c r="L346" t="s">
        <v>27</v>
      </c>
      <c r="M346" t="s">
        <v>36</v>
      </c>
      <c r="N346">
        <v>31</v>
      </c>
      <c r="O346">
        <v>64.7238442497802</v>
      </c>
      <c r="P346">
        <v>14.0474456716191</v>
      </c>
      <c r="Q346" t="s">
        <v>31</v>
      </c>
      <c r="R346">
        <v>344</v>
      </c>
      <c r="S346">
        <v>77.485579957127399</v>
      </c>
    </row>
    <row r="347" spans="1:19" x14ac:dyDescent="0.25">
      <c r="A347">
        <v>6222</v>
      </c>
      <c r="B347">
        <v>143.48331892803799</v>
      </c>
      <c r="C347">
        <v>0.88037080257326294</v>
      </c>
      <c r="D347">
        <v>81.034815998218406</v>
      </c>
      <c r="E347">
        <v>32.894290507165103</v>
      </c>
      <c r="F347">
        <v>23.990736325612598</v>
      </c>
      <c r="G347">
        <v>0.831756123066964</v>
      </c>
      <c r="H347">
        <v>0.888159689498905</v>
      </c>
      <c r="I347">
        <v>7.9702967734838497</v>
      </c>
      <c r="J347">
        <v>29.031856029907299</v>
      </c>
      <c r="K347">
        <v>52.977875515885898</v>
      </c>
      <c r="L347" t="s">
        <v>27</v>
      </c>
      <c r="M347" t="s">
        <v>36</v>
      </c>
      <c r="N347">
        <v>31</v>
      </c>
      <c r="O347">
        <v>74.399819743312506</v>
      </c>
      <c r="P347">
        <v>27.928158308662098</v>
      </c>
      <c r="Q347" t="s">
        <v>29</v>
      </c>
      <c r="R347">
        <v>345</v>
      </c>
      <c r="S347">
        <v>87.582586242697303</v>
      </c>
    </row>
    <row r="348" spans="1:19" x14ac:dyDescent="0.25">
      <c r="A348">
        <v>6315</v>
      </c>
      <c r="B348">
        <v>145.45670976071</v>
      </c>
      <c r="C348">
        <v>1.5299663151331599</v>
      </c>
      <c r="D348">
        <v>94.005234994776501</v>
      </c>
      <c r="E348">
        <v>35.603923905696597</v>
      </c>
      <c r="F348">
        <v>21.710461250615399</v>
      </c>
      <c r="G348">
        <v>0.92837673496739004</v>
      </c>
      <c r="H348">
        <v>0.65891931581318097</v>
      </c>
      <c r="I348">
        <v>1.30410235853423</v>
      </c>
      <c r="J348">
        <v>76.265411967130902</v>
      </c>
      <c r="K348">
        <v>59.557847870656801</v>
      </c>
      <c r="L348" t="s">
        <v>34</v>
      </c>
      <c r="M348" t="s">
        <v>33</v>
      </c>
      <c r="N348">
        <v>31</v>
      </c>
      <c r="O348">
        <v>74.4925217576601</v>
      </c>
      <c r="P348">
        <v>9.9110689629299795</v>
      </c>
      <c r="Q348" t="s">
        <v>31</v>
      </c>
      <c r="R348">
        <v>346</v>
      </c>
      <c r="S348">
        <v>70.255554693098901</v>
      </c>
    </row>
    <row r="349" spans="1:19" x14ac:dyDescent="0.25">
      <c r="A349">
        <v>5869</v>
      </c>
      <c r="B349">
        <v>123.52599992122801</v>
      </c>
      <c r="C349">
        <v>1.6386884689790899</v>
      </c>
      <c r="D349">
        <v>60.736772758291998</v>
      </c>
      <c r="E349">
        <v>31.2915808357392</v>
      </c>
      <c r="F349">
        <v>18.324415996376999</v>
      </c>
      <c r="G349">
        <v>0.90862739478310295</v>
      </c>
      <c r="H349">
        <v>0.88296335834213502</v>
      </c>
      <c r="I349">
        <v>6.3384039597442001</v>
      </c>
      <c r="J349">
        <v>67.904072567461299</v>
      </c>
      <c r="K349">
        <v>68.111050094891795</v>
      </c>
      <c r="L349" t="s">
        <v>22</v>
      </c>
      <c r="M349" t="s">
        <v>36</v>
      </c>
      <c r="N349">
        <v>36</v>
      </c>
      <c r="O349">
        <v>61.429793439693398</v>
      </c>
      <c r="P349">
        <v>10.002563414373</v>
      </c>
      <c r="Q349" t="s">
        <v>24</v>
      </c>
      <c r="R349">
        <v>347</v>
      </c>
      <c r="S349">
        <v>72.522487508675496</v>
      </c>
    </row>
    <row r="350" spans="1:19" x14ac:dyDescent="0.25">
      <c r="A350">
        <v>1876</v>
      </c>
      <c r="B350">
        <v>134.51290815478001</v>
      </c>
      <c r="C350">
        <v>2.1803292979193198</v>
      </c>
      <c r="D350">
        <v>61.771467857679902</v>
      </c>
      <c r="E350">
        <v>30.777788722110401</v>
      </c>
      <c r="F350">
        <v>21.070377595256101</v>
      </c>
      <c r="G350">
        <v>0.54537173192810195</v>
      </c>
      <c r="H350">
        <v>0.72221866733824203</v>
      </c>
      <c r="I350">
        <v>2.6805969468763302</v>
      </c>
      <c r="J350">
        <v>30.455445815102401</v>
      </c>
      <c r="K350">
        <v>77.456900133953496</v>
      </c>
      <c r="L350" t="s">
        <v>27</v>
      </c>
      <c r="M350" t="s">
        <v>35</v>
      </c>
      <c r="N350">
        <v>20</v>
      </c>
      <c r="O350">
        <v>75.103731613055601</v>
      </c>
      <c r="P350">
        <v>17.252180093406299</v>
      </c>
      <c r="Q350" t="s">
        <v>25</v>
      </c>
      <c r="R350">
        <v>348</v>
      </c>
      <c r="S350">
        <v>70.717673004953397</v>
      </c>
    </row>
    <row r="351" spans="1:19" x14ac:dyDescent="0.25">
      <c r="A351">
        <v>8027</v>
      </c>
      <c r="B351">
        <v>177.845407172237</v>
      </c>
      <c r="C351">
        <v>0.84558980044044396</v>
      </c>
      <c r="D351">
        <v>93.078014685114894</v>
      </c>
      <c r="E351">
        <v>33.940307597758299</v>
      </c>
      <c r="F351">
        <v>14.0030261890284</v>
      </c>
      <c r="G351">
        <v>0.31018998465842901</v>
      </c>
      <c r="H351">
        <v>0.77080566413825002</v>
      </c>
      <c r="I351">
        <v>4.1135456607688203</v>
      </c>
      <c r="J351">
        <v>81.248950709708296</v>
      </c>
      <c r="K351">
        <v>24.113337715324899</v>
      </c>
      <c r="L351" t="s">
        <v>19</v>
      </c>
      <c r="M351" t="s">
        <v>35</v>
      </c>
      <c r="N351">
        <v>34</v>
      </c>
      <c r="O351">
        <v>65.684272629411893</v>
      </c>
      <c r="P351">
        <v>0.53488817993152704</v>
      </c>
      <c r="Q351" t="s">
        <v>31</v>
      </c>
      <c r="R351">
        <v>349</v>
      </c>
      <c r="S351">
        <v>92.663087451078795</v>
      </c>
    </row>
    <row r="352" spans="1:19" x14ac:dyDescent="0.25">
      <c r="A352">
        <v>5142</v>
      </c>
      <c r="B352">
        <v>169.55086340201399</v>
      </c>
      <c r="C352">
        <v>0.1</v>
      </c>
      <c r="D352">
        <v>32.605166006091501</v>
      </c>
      <c r="E352">
        <v>32.185628326447002</v>
      </c>
      <c r="F352">
        <v>33.385432490266503</v>
      </c>
      <c r="G352">
        <v>1.2636489670890001</v>
      </c>
      <c r="H352">
        <v>0.84234363490814701</v>
      </c>
      <c r="I352">
        <v>4.1317179953969401</v>
      </c>
      <c r="J352">
        <v>93.795312025293796</v>
      </c>
      <c r="K352">
        <v>75.755198117191995</v>
      </c>
      <c r="L352" t="s">
        <v>19</v>
      </c>
      <c r="M352" t="s">
        <v>23</v>
      </c>
      <c r="N352">
        <v>31</v>
      </c>
      <c r="O352">
        <v>68.151711505326801</v>
      </c>
      <c r="P352">
        <v>9.6841859070233394</v>
      </c>
      <c r="Q352" t="s">
        <v>31</v>
      </c>
      <c r="R352">
        <v>350</v>
      </c>
      <c r="S352">
        <v>91.787413128092993</v>
      </c>
    </row>
    <row r="353" spans="1:19" x14ac:dyDescent="0.25">
      <c r="A353">
        <v>7966</v>
      </c>
      <c r="B353">
        <v>143.72647339348001</v>
      </c>
      <c r="C353">
        <v>1.5919247723768399</v>
      </c>
      <c r="D353">
        <v>62.229584496339797</v>
      </c>
      <c r="E353">
        <v>32.618114966708802</v>
      </c>
      <c r="F353">
        <v>15.827440007888001</v>
      </c>
      <c r="G353">
        <v>1.98059003015705</v>
      </c>
      <c r="H353">
        <v>0.76253554953007296</v>
      </c>
      <c r="I353">
        <v>5.2215430619903804</v>
      </c>
      <c r="J353">
        <v>96.727830105364802</v>
      </c>
      <c r="K353">
        <v>51.095711288371199</v>
      </c>
      <c r="L353" t="s">
        <v>19</v>
      </c>
      <c r="M353" t="s">
        <v>20</v>
      </c>
      <c r="N353">
        <v>27</v>
      </c>
      <c r="O353">
        <v>68.315677410042895</v>
      </c>
      <c r="P353">
        <v>16.110170451181499</v>
      </c>
      <c r="Q353" t="s">
        <v>21</v>
      </c>
      <c r="R353">
        <v>351</v>
      </c>
      <c r="S353">
        <v>80.3663519971048</v>
      </c>
    </row>
    <row r="354" spans="1:19" x14ac:dyDescent="0.25">
      <c r="A354">
        <v>8079</v>
      </c>
      <c r="B354">
        <v>135.760069563364</v>
      </c>
      <c r="C354">
        <v>2.4002555907554202</v>
      </c>
      <c r="D354">
        <v>73.808477798501102</v>
      </c>
      <c r="E354">
        <v>32.062612346242602</v>
      </c>
      <c r="F354">
        <v>16.8401685807641</v>
      </c>
      <c r="G354">
        <v>0.50029346891047299</v>
      </c>
      <c r="H354">
        <v>0.61893016237341503</v>
      </c>
      <c r="I354">
        <v>4.0072277068855602</v>
      </c>
      <c r="J354">
        <v>110.537318826242</v>
      </c>
      <c r="K354">
        <v>48.7967568831126</v>
      </c>
      <c r="L354" t="s">
        <v>19</v>
      </c>
      <c r="M354" t="s">
        <v>37</v>
      </c>
      <c r="N354">
        <v>30</v>
      </c>
      <c r="O354">
        <v>85.985335688046703</v>
      </c>
      <c r="P354">
        <v>14.310128037752699</v>
      </c>
      <c r="Q354" t="s">
        <v>29</v>
      </c>
      <c r="R354">
        <v>352</v>
      </c>
      <c r="S354">
        <v>73.924343705778597</v>
      </c>
    </row>
    <row r="355" spans="1:19" x14ac:dyDescent="0.25">
      <c r="A355">
        <v>8987</v>
      </c>
      <c r="B355">
        <v>137.40062653436499</v>
      </c>
      <c r="C355">
        <v>2.1194731764697101</v>
      </c>
      <c r="D355">
        <v>78.984374425700594</v>
      </c>
      <c r="E355">
        <v>32.688239831078903</v>
      </c>
      <c r="F355">
        <v>19.798703978067898</v>
      </c>
      <c r="G355">
        <v>0.28403267581869202</v>
      </c>
      <c r="H355">
        <v>0.68249836116075802</v>
      </c>
      <c r="I355">
        <v>1.9662500660560001</v>
      </c>
      <c r="J355">
        <v>60.9470741888777</v>
      </c>
      <c r="K355">
        <v>46.7924813997748</v>
      </c>
      <c r="L355" t="s">
        <v>34</v>
      </c>
      <c r="M355" t="s">
        <v>20</v>
      </c>
      <c r="N355">
        <v>39</v>
      </c>
      <c r="O355">
        <v>67.044823311695893</v>
      </c>
      <c r="P355">
        <v>10.0939599905858</v>
      </c>
      <c r="Q355" t="s">
        <v>29</v>
      </c>
      <c r="R355">
        <v>353</v>
      </c>
      <c r="S355">
        <v>67.334160123088395</v>
      </c>
    </row>
    <row r="356" spans="1:19" x14ac:dyDescent="0.25">
      <c r="A356">
        <v>7799</v>
      </c>
      <c r="B356">
        <v>147.27035945460801</v>
      </c>
      <c r="C356">
        <v>1.6048297076373099</v>
      </c>
      <c r="D356">
        <v>59.8038661361823</v>
      </c>
      <c r="E356">
        <v>34.918245734515601</v>
      </c>
      <c r="F356">
        <v>28.4403786242618</v>
      </c>
      <c r="G356">
        <v>1.60315702728307</v>
      </c>
      <c r="H356">
        <v>0.84167503857173298</v>
      </c>
      <c r="I356">
        <v>2.3106586467290602</v>
      </c>
      <c r="J356">
        <v>115.307276862213</v>
      </c>
      <c r="K356">
        <v>53.1908688934531</v>
      </c>
      <c r="L356" t="s">
        <v>27</v>
      </c>
      <c r="M356" t="s">
        <v>20</v>
      </c>
      <c r="N356">
        <v>21</v>
      </c>
      <c r="O356">
        <v>54.6247765239305</v>
      </c>
      <c r="P356">
        <v>34.283175465625597</v>
      </c>
      <c r="Q356" t="s">
        <v>21</v>
      </c>
      <c r="R356">
        <v>354</v>
      </c>
      <c r="S356">
        <v>74.920586251679694</v>
      </c>
    </row>
    <row r="357" spans="1:19" x14ac:dyDescent="0.25">
      <c r="A357">
        <v>5465</v>
      </c>
      <c r="B357">
        <v>114.544148696031</v>
      </c>
      <c r="C357">
        <v>1.2541819071839699</v>
      </c>
      <c r="D357">
        <v>70.688820234116804</v>
      </c>
      <c r="E357">
        <v>33.962554150341703</v>
      </c>
      <c r="F357">
        <v>22.072544996313201</v>
      </c>
      <c r="G357">
        <v>0.65465481203250298</v>
      </c>
      <c r="H357">
        <v>0.60550766300514103</v>
      </c>
      <c r="I357">
        <v>1.3009418700498701</v>
      </c>
      <c r="J357">
        <v>106.542940508268</v>
      </c>
      <c r="K357">
        <v>85.878791504595199</v>
      </c>
      <c r="L357" t="s">
        <v>34</v>
      </c>
      <c r="M357" t="s">
        <v>35</v>
      </c>
      <c r="N357">
        <v>28</v>
      </c>
      <c r="O357">
        <v>62.282291990869098</v>
      </c>
      <c r="P357">
        <v>28.906081922026999</v>
      </c>
      <c r="Q357" t="s">
        <v>21</v>
      </c>
      <c r="R357">
        <v>355</v>
      </c>
      <c r="S357">
        <v>56.074456141318599</v>
      </c>
    </row>
    <row r="358" spans="1:19" x14ac:dyDescent="0.25">
      <c r="A358">
        <v>1635</v>
      </c>
      <c r="B358">
        <v>129.85246925153299</v>
      </c>
      <c r="C358">
        <v>1.9035612983186501</v>
      </c>
      <c r="D358">
        <v>20.233452931740199</v>
      </c>
      <c r="E358">
        <v>34.0346682142643</v>
      </c>
      <c r="F358">
        <v>15.8193210198476</v>
      </c>
      <c r="G358">
        <v>1.6933588496352701</v>
      </c>
      <c r="H358">
        <v>0.61346680122267305</v>
      </c>
      <c r="I358">
        <v>5.2322417679587803</v>
      </c>
      <c r="J358">
        <v>49.650157102393898</v>
      </c>
      <c r="K358">
        <v>56.115282959411303</v>
      </c>
      <c r="L358" t="s">
        <v>19</v>
      </c>
      <c r="M358" t="s">
        <v>37</v>
      </c>
      <c r="N358">
        <v>32</v>
      </c>
      <c r="O358">
        <v>73.904356235132497</v>
      </c>
      <c r="P358">
        <v>31.716812668273501</v>
      </c>
      <c r="Q358" t="s">
        <v>24</v>
      </c>
      <c r="R358">
        <v>356</v>
      </c>
      <c r="S358">
        <v>64.722347275296997</v>
      </c>
    </row>
    <row r="359" spans="1:19" x14ac:dyDescent="0.25">
      <c r="A359">
        <v>2693</v>
      </c>
      <c r="B359">
        <v>101.628318522448</v>
      </c>
      <c r="C359">
        <v>1.0132269001477601</v>
      </c>
      <c r="D359">
        <v>56.835031753323001</v>
      </c>
      <c r="E359">
        <v>31.3005275330488</v>
      </c>
      <c r="F359">
        <v>28.271691803786599</v>
      </c>
      <c r="G359">
        <v>1.46708600066212</v>
      </c>
      <c r="H359">
        <v>0.45262956383190001</v>
      </c>
      <c r="I359">
        <v>9.5900292536768905</v>
      </c>
      <c r="J359">
        <v>35.9283037349458</v>
      </c>
      <c r="K359">
        <v>86.488315369735403</v>
      </c>
      <c r="L359" t="s">
        <v>19</v>
      </c>
      <c r="M359" t="s">
        <v>23</v>
      </c>
      <c r="N359">
        <v>32</v>
      </c>
      <c r="O359">
        <v>65.727456318687999</v>
      </c>
      <c r="P359">
        <v>17.207645654989101</v>
      </c>
      <c r="Q359" t="s">
        <v>25</v>
      </c>
      <c r="R359">
        <v>357</v>
      </c>
      <c r="S359">
        <v>66.682055707260702</v>
      </c>
    </row>
    <row r="360" spans="1:19" x14ac:dyDescent="0.25">
      <c r="A360">
        <v>5752</v>
      </c>
      <c r="B360">
        <v>142.98446245210499</v>
      </c>
      <c r="C360">
        <v>1.7381788846780999</v>
      </c>
      <c r="D360">
        <v>79.070174251089298</v>
      </c>
      <c r="E360">
        <v>31.618615516136501</v>
      </c>
      <c r="F360">
        <v>25.655003133927401</v>
      </c>
      <c r="G360">
        <v>1.9022123666914399</v>
      </c>
      <c r="H360">
        <v>0.903021439371961</v>
      </c>
      <c r="I360">
        <v>2.04107701283304</v>
      </c>
      <c r="J360">
        <v>63.5389396128013</v>
      </c>
      <c r="K360">
        <v>28.521759796173001</v>
      </c>
      <c r="L360" t="s">
        <v>19</v>
      </c>
      <c r="M360" t="s">
        <v>28</v>
      </c>
      <c r="N360">
        <v>19</v>
      </c>
      <c r="O360">
        <v>68.1196491266561</v>
      </c>
      <c r="P360">
        <v>14.091312093271201</v>
      </c>
      <c r="Q360" t="s">
        <v>29</v>
      </c>
      <c r="R360">
        <v>358</v>
      </c>
      <c r="S360">
        <v>70.527600356842797</v>
      </c>
    </row>
    <row r="361" spans="1:19" x14ac:dyDescent="0.25">
      <c r="A361">
        <v>9311</v>
      </c>
      <c r="B361">
        <v>147.94391879405401</v>
      </c>
      <c r="C361">
        <v>1.7527350795833101</v>
      </c>
      <c r="D361">
        <v>50.354119314906399</v>
      </c>
      <c r="E361">
        <v>30</v>
      </c>
      <c r="F361">
        <v>24.692174786082202</v>
      </c>
      <c r="G361">
        <v>0.93606902436200901</v>
      </c>
      <c r="H361">
        <v>0.45006997321999298</v>
      </c>
      <c r="I361">
        <v>9.5163804370277294</v>
      </c>
      <c r="J361">
        <v>60.189870795596597</v>
      </c>
      <c r="K361">
        <v>69.310198412447406</v>
      </c>
      <c r="L361" t="s">
        <v>34</v>
      </c>
      <c r="M361" t="s">
        <v>33</v>
      </c>
      <c r="N361">
        <v>28</v>
      </c>
      <c r="O361">
        <v>64.544385360672507</v>
      </c>
      <c r="P361">
        <v>30.813307661353399</v>
      </c>
      <c r="Q361" t="s">
        <v>21</v>
      </c>
      <c r="R361">
        <v>359</v>
      </c>
      <c r="S361">
        <v>90.815436189864997</v>
      </c>
    </row>
    <row r="362" spans="1:19" x14ac:dyDescent="0.25">
      <c r="A362">
        <v>1830</v>
      </c>
      <c r="B362">
        <v>125.33627075401201</v>
      </c>
      <c r="C362">
        <v>2.03010495374944</v>
      </c>
      <c r="D362">
        <v>71.179684431791898</v>
      </c>
      <c r="E362">
        <v>32.028743014700602</v>
      </c>
      <c r="F362">
        <v>25.578671205854199</v>
      </c>
      <c r="G362">
        <v>1.39154571101114</v>
      </c>
      <c r="H362">
        <v>0.75651504759670496</v>
      </c>
      <c r="I362">
        <v>7.6002536325888403</v>
      </c>
      <c r="J362">
        <v>77.571930533120394</v>
      </c>
      <c r="K362">
        <v>75.917965395655997</v>
      </c>
      <c r="L362" t="s">
        <v>19</v>
      </c>
      <c r="M362" t="s">
        <v>35</v>
      </c>
      <c r="N362">
        <v>19</v>
      </c>
      <c r="O362">
        <v>48</v>
      </c>
      <c r="P362">
        <v>18.681650895644999</v>
      </c>
      <c r="Q362" t="s">
        <v>21</v>
      </c>
      <c r="R362">
        <v>360</v>
      </c>
      <c r="S362">
        <v>77.342521960261806</v>
      </c>
    </row>
    <row r="363" spans="1:19" x14ac:dyDescent="0.25">
      <c r="A363">
        <v>6177</v>
      </c>
      <c r="B363">
        <v>166.4797352658</v>
      </c>
      <c r="C363">
        <v>2.8798300194555302</v>
      </c>
      <c r="D363">
        <v>78.937450016053901</v>
      </c>
      <c r="E363">
        <v>34.148043823662697</v>
      </c>
      <c r="F363">
        <v>33.971809502912201</v>
      </c>
      <c r="G363">
        <v>1.0367386054638801</v>
      </c>
      <c r="H363">
        <v>0.62725696334153802</v>
      </c>
      <c r="I363">
        <v>6.73748922640746</v>
      </c>
      <c r="J363">
        <v>78.338623232774793</v>
      </c>
      <c r="K363">
        <v>65.934662350114607</v>
      </c>
      <c r="L363" t="s">
        <v>27</v>
      </c>
      <c r="M363" t="s">
        <v>26</v>
      </c>
      <c r="N363">
        <v>22</v>
      </c>
      <c r="O363">
        <v>61.7759447300812</v>
      </c>
      <c r="P363">
        <v>9.5160824858563693</v>
      </c>
      <c r="Q363" t="s">
        <v>25</v>
      </c>
      <c r="R363">
        <v>361</v>
      </c>
      <c r="S363">
        <v>89.332171436662705</v>
      </c>
    </row>
    <row r="364" spans="1:19" x14ac:dyDescent="0.25">
      <c r="A364">
        <v>9932</v>
      </c>
      <c r="B364">
        <v>110.48468673995301</v>
      </c>
      <c r="C364">
        <v>1.69620798358938</v>
      </c>
      <c r="D364">
        <v>63.149015982844702</v>
      </c>
      <c r="E364">
        <v>33.620335818897999</v>
      </c>
      <c r="F364">
        <v>32.925474475180501</v>
      </c>
      <c r="G364">
        <v>1.33505965515537</v>
      </c>
      <c r="H364">
        <v>0.62309066464049301</v>
      </c>
      <c r="I364">
        <v>6.8074997979120599</v>
      </c>
      <c r="J364">
        <v>94.998698437997504</v>
      </c>
      <c r="K364">
        <v>60.519171016990498</v>
      </c>
      <c r="L364" t="s">
        <v>19</v>
      </c>
      <c r="M364" t="s">
        <v>33</v>
      </c>
      <c r="N364">
        <v>30</v>
      </c>
      <c r="O364">
        <v>67.381662327353197</v>
      </c>
      <c r="P364">
        <v>10.0717531669863</v>
      </c>
      <c r="Q364" t="s">
        <v>21</v>
      </c>
      <c r="R364">
        <v>362</v>
      </c>
      <c r="S364">
        <v>64.132070031856699</v>
      </c>
    </row>
    <row r="365" spans="1:19" x14ac:dyDescent="0.25">
      <c r="A365">
        <v>9308</v>
      </c>
      <c r="B365">
        <v>105.712502395803</v>
      </c>
      <c r="C365">
        <v>1.24551818714625</v>
      </c>
      <c r="D365">
        <v>73.409275419931404</v>
      </c>
      <c r="E365">
        <v>32.734184084457397</v>
      </c>
      <c r="F365">
        <v>18.5664232849835</v>
      </c>
      <c r="G365">
        <v>1.00927803081392</v>
      </c>
      <c r="H365">
        <v>0.77375351011497595</v>
      </c>
      <c r="I365">
        <v>8.4405488355665295</v>
      </c>
      <c r="J365">
        <v>70.988994820561004</v>
      </c>
      <c r="K365">
        <v>57.360958581463599</v>
      </c>
      <c r="L365" t="s">
        <v>27</v>
      </c>
      <c r="M365" t="s">
        <v>28</v>
      </c>
      <c r="N365">
        <v>18</v>
      </c>
      <c r="O365">
        <v>53.8442017699441</v>
      </c>
      <c r="P365">
        <v>15.404578331577101</v>
      </c>
      <c r="Q365" t="s">
        <v>24</v>
      </c>
      <c r="R365">
        <v>363</v>
      </c>
      <c r="S365">
        <v>62.020925202469101</v>
      </c>
    </row>
    <row r="366" spans="1:19" x14ac:dyDescent="0.25">
      <c r="A366">
        <v>6949</v>
      </c>
      <c r="B366">
        <v>139.48903637119901</v>
      </c>
      <c r="C366">
        <v>1.487212843904</v>
      </c>
      <c r="D366">
        <v>50.745348694307701</v>
      </c>
      <c r="E366">
        <v>32.973239659538301</v>
      </c>
      <c r="F366">
        <v>30.1194249640557</v>
      </c>
      <c r="G366">
        <v>0.53953804356333401</v>
      </c>
      <c r="H366">
        <v>0.43690155294643301</v>
      </c>
      <c r="I366">
        <v>1.96227877941839</v>
      </c>
      <c r="J366">
        <v>30.482264094076498</v>
      </c>
      <c r="K366">
        <v>79.569786193402194</v>
      </c>
      <c r="L366" t="s">
        <v>27</v>
      </c>
      <c r="M366" t="s">
        <v>36</v>
      </c>
      <c r="N366">
        <v>24</v>
      </c>
      <c r="O366">
        <v>58.569258486019599</v>
      </c>
      <c r="P366">
        <v>17.8238359330031</v>
      </c>
      <c r="Q366" t="s">
        <v>25</v>
      </c>
      <c r="R366">
        <v>364</v>
      </c>
      <c r="S366">
        <v>71.086392333562301</v>
      </c>
    </row>
    <row r="367" spans="1:19" x14ac:dyDescent="0.25">
      <c r="A367">
        <v>3838</v>
      </c>
      <c r="B367">
        <v>155.941966052243</v>
      </c>
      <c r="C367">
        <v>0.61546204755543998</v>
      </c>
      <c r="D367">
        <v>65.867774406078993</v>
      </c>
      <c r="E367">
        <v>32.173337348909499</v>
      </c>
      <c r="F367">
        <v>23.9158409487945</v>
      </c>
      <c r="G367">
        <v>1.11421534880608</v>
      </c>
      <c r="H367">
        <v>0.72653818062328901</v>
      </c>
      <c r="I367">
        <v>5.5427889120898701</v>
      </c>
      <c r="J367">
        <v>105.82913355530999</v>
      </c>
      <c r="K367">
        <v>76.623494787337506</v>
      </c>
      <c r="L367" t="s">
        <v>19</v>
      </c>
      <c r="M367" t="s">
        <v>20</v>
      </c>
      <c r="N367">
        <v>24</v>
      </c>
      <c r="O367">
        <v>65.279978593902996</v>
      </c>
      <c r="P367">
        <v>18.651688225619001</v>
      </c>
      <c r="Q367" t="s">
        <v>24</v>
      </c>
      <c r="R367">
        <v>365</v>
      </c>
      <c r="S367">
        <v>82.127355184962397</v>
      </c>
    </row>
    <row r="368" spans="1:19" x14ac:dyDescent="0.25">
      <c r="A368">
        <v>2150</v>
      </c>
      <c r="B368">
        <v>168.67855382915701</v>
      </c>
      <c r="C368">
        <v>1.1526434344554699</v>
      </c>
      <c r="D368">
        <v>82.204323391784399</v>
      </c>
      <c r="E368">
        <v>33.245710658882103</v>
      </c>
      <c r="F368">
        <v>24.4954790806887</v>
      </c>
      <c r="G368">
        <v>1.15145156258739</v>
      </c>
      <c r="H368">
        <v>0.82461748228479503</v>
      </c>
      <c r="I368">
        <v>7.2738202443468198</v>
      </c>
      <c r="J368">
        <v>50.976458318518702</v>
      </c>
      <c r="K368">
        <v>24.171654088544901</v>
      </c>
      <c r="L368" t="s">
        <v>34</v>
      </c>
      <c r="M368" t="s">
        <v>30</v>
      </c>
      <c r="N368">
        <v>27</v>
      </c>
      <c r="O368">
        <v>65.3494785709605</v>
      </c>
      <c r="P368">
        <v>16.531322504241199</v>
      </c>
      <c r="Q368" t="s">
        <v>31</v>
      </c>
      <c r="R368">
        <v>366</v>
      </c>
      <c r="S368">
        <v>92.089285663488795</v>
      </c>
    </row>
    <row r="369" spans="1:19" x14ac:dyDescent="0.25">
      <c r="A369">
        <v>8560</v>
      </c>
      <c r="B369">
        <v>125.822314742621</v>
      </c>
      <c r="C369">
        <v>1.2953587809434399</v>
      </c>
      <c r="D369">
        <v>73.139459219368604</v>
      </c>
      <c r="E369">
        <v>33.919053935376702</v>
      </c>
      <c r="F369">
        <v>13.5386458417833</v>
      </c>
      <c r="G369">
        <v>1.65908692686829</v>
      </c>
      <c r="H369">
        <v>0.85551701683762604</v>
      </c>
      <c r="I369">
        <v>6.28138400566207</v>
      </c>
      <c r="J369">
        <v>117.12974603065901</v>
      </c>
      <c r="K369">
        <v>78.644074277315795</v>
      </c>
      <c r="L369" t="s">
        <v>22</v>
      </c>
      <c r="M369" t="s">
        <v>23</v>
      </c>
      <c r="N369">
        <v>23</v>
      </c>
      <c r="O369">
        <v>71.155375031559103</v>
      </c>
      <c r="P369">
        <v>36.716833221251299</v>
      </c>
      <c r="Q369" t="s">
        <v>29</v>
      </c>
      <c r="R369">
        <v>367</v>
      </c>
      <c r="S369">
        <v>76.927956132939897</v>
      </c>
    </row>
    <row r="370" spans="1:19" x14ac:dyDescent="0.25">
      <c r="A370">
        <v>2931</v>
      </c>
      <c r="B370">
        <v>156.57361666862499</v>
      </c>
      <c r="C370">
        <v>1.2379558010327001</v>
      </c>
      <c r="D370">
        <v>58.269374608721201</v>
      </c>
      <c r="E370">
        <v>31.060935855107399</v>
      </c>
      <c r="F370">
        <v>21.148071173059002</v>
      </c>
      <c r="G370">
        <v>1.52393727042844</v>
      </c>
      <c r="H370">
        <v>0.49379171416657602</v>
      </c>
      <c r="I370">
        <v>8.4950116392096504</v>
      </c>
      <c r="J370">
        <v>31.786010867977001</v>
      </c>
      <c r="K370">
        <v>46.0551464580331</v>
      </c>
      <c r="L370" t="s">
        <v>22</v>
      </c>
      <c r="M370" t="s">
        <v>20</v>
      </c>
      <c r="N370">
        <v>37</v>
      </c>
      <c r="O370">
        <v>65.785143262427994</v>
      </c>
      <c r="P370">
        <v>7.1750320159670098</v>
      </c>
      <c r="Q370" t="s">
        <v>21</v>
      </c>
      <c r="R370">
        <v>368</v>
      </c>
      <c r="S370">
        <v>87.731353339804798</v>
      </c>
    </row>
    <row r="371" spans="1:19" x14ac:dyDescent="0.25">
      <c r="A371">
        <v>2664</v>
      </c>
      <c r="B371">
        <v>134.22983060998499</v>
      </c>
      <c r="C371">
        <v>1.5761774360168599</v>
      </c>
      <c r="D371">
        <v>74.484328085815804</v>
      </c>
      <c r="E371">
        <v>33.359577225404799</v>
      </c>
      <c r="F371">
        <v>17.935882048317101</v>
      </c>
      <c r="G371">
        <v>1.3948249230945899</v>
      </c>
      <c r="H371">
        <v>0.89358047754299497</v>
      </c>
      <c r="I371">
        <v>1.65044538110216</v>
      </c>
      <c r="J371">
        <v>115.82511722325</v>
      </c>
      <c r="K371">
        <v>34.027262249685798</v>
      </c>
      <c r="L371" t="s">
        <v>27</v>
      </c>
      <c r="M371" t="s">
        <v>36</v>
      </c>
      <c r="N371">
        <v>29</v>
      </c>
      <c r="O371">
        <v>70.861070188472198</v>
      </c>
      <c r="P371">
        <v>23.381690083269099</v>
      </c>
      <c r="Q371" t="s">
        <v>25</v>
      </c>
      <c r="R371">
        <v>369</v>
      </c>
      <c r="S371">
        <v>68.454072428055994</v>
      </c>
    </row>
    <row r="372" spans="1:19" x14ac:dyDescent="0.25">
      <c r="A372">
        <v>2081</v>
      </c>
      <c r="B372">
        <v>131.54745400118301</v>
      </c>
      <c r="C372">
        <v>1.0887900338088901</v>
      </c>
      <c r="D372">
        <v>84.292195812732302</v>
      </c>
      <c r="E372">
        <v>34.1189218451456</v>
      </c>
      <c r="F372">
        <v>26.1402940744665</v>
      </c>
      <c r="G372">
        <v>0.40409677199463001</v>
      </c>
      <c r="H372">
        <v>0.76088035051609304</v>
      </c>
      <c r="I372">
        <v>7.2163093554924904</v>
      </c>
      <c r="J372">
        <v>29.101180688251699</v>
      </c>
      <c r="K372">
        <v>80.232642601044404</v>
      </c>
      <c r="L372" t="s">
        <v>34</v>
      </c>
      <c r="M372" t="s">
        <v>28</v>
      </c>
      <c r="N372">
        <v>30</v>
      </c>
      <c r="O372">
        <v>62.399672839468401</v>
      </c>
      <c r="P372">
        <v>14.180378182164601</v>
      </c>
      <c r="Q372" t="s">
        <v>24</v>
      </c>
      <c r="R372">
        <v>370</v>
      </c>
      <c r="S372">
        <v>73.480642043926906</v>
      </c>
    </row>
    <row r="373" spans="1:19" x14ac:dyDescent="0.25">
      <c r="A373">
        <v>1512</v>
      </c>
      <c r="B373">
        <v>152.67319874973299</v>
      </c>
      <c r="C373">
        <v>2.0605153336622299</v>
      </c>
      <c r="D373">
        <v>29.001174428450401</v>
      </c>
      <c r="E373">
        <v>32.501879653243897</v>
      </c>
      <c r="F373">
        <v>27.355402502014002</v>
      </c>
      <c r="G373">
        <v>1.4971093231946799</v>
      </c>
      <c r="H373">
        <v>0.885020140451375</v>
      </c>
      <c r="I373">
        <v>5.80624957346246</v>
      </c>
      <c r="J373">
        <v>43.1036137947059</v>
      </c>
      <c r="K373">
        <v>47.401859972530602</v>
      </c>
      <c r="L373" t="s">
        <v>22</v>
      </c>
      <c r="M373" t="s">
        <v>26</v>
      </c>
      <c r="N373">
        <v>28</v>
      </c>
      <c r="O373">
        <v>69.692543199493301</v>
      </c>
      <c r="P373">
        <v>17.689716088201902</v>
      </c>
      <c r="Q373" t="s">
        <v>29</v>
      </c>
      <c r="R373">
        <v>371</v>
      </c>
      <c r="S373">
        <v>84.154236279263003</v>
      </c>
    </row>
    <row r="374" spans="1:19" x14ac:dyDescent="0.25">
      <c r="A374">
        <v>8805</v>
      </c>
      <c r="B374">
        <v>148.04645756826801</v>
      </c>
      <c r="C374">
        <v>1.5001035324590899</v>
      </c>
      <c r="D374">
        <v>93.181481299117905</v>
      </c>
      <c r="E374">
        <v>33.840840734544699</v>
      </c>
      <c r="F374">
        <v>11.6275682449184</v>
      </c>
      <c r="G374">
        <v>1.1005492814381199</v>
      </c>
      <c r="H374">
        <v>0.666904394410609</v>
      </c>
      <c r="I374">
        <v>4.4124477758194898</v>
      </c>
      <c r="J374">
        <v>24.657994208654099</v>
      </c>
      <c r="K374">
        <v>75.627351763261203</v>
      </c>
      <c r="L374" t="s">
        <v>19</v>
      </c>
      <c r="M374" t="s">
        <v>23</v>
      </c>
      <c r="N374">
        <v>35</v>
      </c>
      <c r="O374">
        <v>79.768921184227494</v>
      </c>
      <c r="P374">
        <v>25.523963425944199</v>
      </c>
      <c r="Q374" t="s">
        <v>29</v>
      </c>
      <c r="R374">
        <v>372</v>
      </c>
      <c r="S374">
        <v>78.012242206253106</v>
      </c>
    </row>
    <row r="375" spans="1:19" x14ac:dyDescent="0.25">
      <c r="A375">
        <v>6237</v>
      </c>
      <c r="B375">
        <v>103.472156860315</v>
      </c>
      <c r="C375">
        <v>1.4953498394306901</v>
      </c>
      <c r="D375">
        <v>63.2749052263785</v>
      </c>
      <c r="E375">
        <v>36.377585333367001</v>
      </c>
      <c r="F375">
        <v>21.8898256799786</v>
      </c>
      <c r="G375">
        <v>1.80937916499108</v>
      </c>
      <c r="H375">
        <v>0.69811833980346105</v>
      </c>
      <c r="I375">
        <v>4.0624748401062698</v>
      </c>
      <c r="J375">
        <v>90.511314663899498</v>
      </c>
      <c r="K375">
        <v>34.755270896688302</v>
      </c>
      <c r="L375" t="s">
        <v>19</v>
      </c>
      <c r="M375" t="s">
        <v>23</v>
      </c>
      <c r="N375">
        <v>19</v>
      </c>
      <c r="O375">
        <v>70.311733607735206</v>
      </c>
      <c r="P375">
        <v>3.73800972866453</v>
      </c>
      <c r="Q375" t="s">
        <v>21</v>
      </c>
      <c r="R375">
        <v>373</v>
      </c>
      <c r="S375">
        <v>55.598197213922603</v>
      </c>
    </row>
    <row r="376" spans="1:19" x14ac:dyDescent="0.25">
      <c r="A376">
        <v>1559</v>
      </c>
      <c r="B376">
        <v>164.53080699451701</v>
      </c>
      <c r="C376">
        <v>1.3360526417435401</v>
      </c>
      <c r="D376">
        <v>78.509798664804606</v>
      </c>
      <c r="E376">
        <v>32.874788648415702</v>
      </c>
      <c r="F376">
        <v>27.6093075239712</v>
      </c>
      <c r="G376">
        <v>1.85576768143497</v>
      </c>
      <c r="H376">
        <v>0.90547105236576897</v>
      </c>
      <c r="I376">
        <v>6.5874936949677299</v>
      </c>
      <c r="J376">
        <v>105.029873657179</v>
      </c>
      <c r="K376">
        <v>15.2946991066663</v>
      </c>
      <c r="L376" t="s">
        <v>27</v>
      </c>
      <c r="M376" t="s">
        <v>28</v>
      </c>
      <c r="N376">
        <v>33</v>
      </c>
      <c r="O376">
        <v>66.119873365020297</v>
      </c>
      <c r="P376">
        <v>10.433038052437301</v>
      </c>
      <c r="Q376" t="s">
        <v>29</v>
      </c>
      <c r="R376">
        <v>374</v>
      </c>
      <c r="S376">
        <v>94.7191696465067</v>
      </c>
    </row>
    <row r="377" spans="1:19" x14ac:dyDescent="0.25">
      <c r="A377">
        <v>4672</v>
      </c>
      <c r="B377">
        <v>162.601827082949</v>
      </c>
      <c r="C377">
        <v>1.5775953419294799</v>
      </c>
      <c r="D377">
        <v>93.944938472904497</v>
      </c>
      <c r="E377">
        <v>33.471968460006302</v>
      </c>
      <c r="F377">
        <v>21.0666051884327</v>
      </c>
      <c r="G377">
        <v>0.29928186308321297</v>
      </c>
      <c r="H377">
        <v>0.89495024884506902</v>
      </c>
      <c r="I377">
        <v>9.0189583717983801</v>
      </c>
      <c r="J377">
        <v>63.407108181597998</v>
      </c>
      <c r="K377">
        <v>52.159439467720802</v>
      </c>
      <c r="L377" t="s">
        <v>34</v>
      </c>
      <c r="M377" t="s">
        <v>33</v>
      </c>
      <c r="N377">
        <v>19</v>
      </c>
      <c r="O377">
        <v>60.458111022508398</v>
      </c>
      <c r="P377">
        <v>16.9307249169374</v>
      </c>
      <c r="Q377" t="s">
        <v>21</v>
      </c>
      <c r="R377">
        <v>375</v>
      </c>
      <c r="S377">
        <v>90.5996329849566</v>
      </c>
    </row>
    <row r="378" spans="1:19" x14ac:dyDescent="0.25">
      <c r="A378">
        <v>8404</v>
      </c>
      <c r="B378">
        <v>122.488745969809</v>
      </c>
      <c r="C378">
        <v>1.91254913233381</v>
      </c>
      <c r="D378">
        <v>42.566526055390597</v>
      </c>
      <c r="E378">
        <v>32.114331499606301</v>
      </c>
      <c r="F378">
        <v>25.645318225011799</v>
      </c>
      <c r="G378">
        <v>1.6771548086380601</v>
      </c>
      <c r="H378">
        <v>0.64648848035295103</v>
      </c>
      <c r="I378">
        <v>5.46558333491003</v>
      </c>
      <c r="J378">
        <v>112.852207504242</v>
      </c>
      <c r="K378">
        <v>22.5171192482163</v>
      </c>
      <c r="L378" t="s">
        <v>34</v>
      </c>
      <c r="M378" t="s">
        <v>32</v>
      </c>
      <c r="N378">
        <v>36</v>
      </c>
      <c r="O378">
        <v>68.695803279374203</v>
      </c>
      <c r="P378">
        <v>29.810014198795901</v>
      </c>
      <c r="Q378" t="s">
        <v>31</v>
      </c>
      <c r="R378">
        <v>376</v>
      </c>
      <c r="S378">
        <v>75.562417594601996</v>
      </c>
    </row>
    <row r="379" spans="1:19" x14ac:dyDescent="0.25">
      <c r="A379">
        <v>4343</v>
      </c>
      <c r="B379">
        <v>142.91607066874801</v>
      </c>
      <c r="C379">
        <v>1.0664348921445499</v>
      </c>
      <c r="D379">
        <v>55.811179951448999</v>
      </c>
      <c r="E379">
        <v>33.217501395122397</v>
      </c>
      <c r="F379">
        <v>23.755827338135401</v>
      </c>
      <c r="G379">
        <v>0.26785530276080699</v>
      </c>
      <c r="H379">
        <v>0.550926947399625</v>
      </c>
      <c r="I379">
        <v>8.4225084766922809</v>
      </c>
      <c r="J379">
        <v>79.029907175559899</v>
      </c>
      <c r="K379">
        <v>71.578196664368207</v>
      </c>
      <c r="L379" t="s">
        <v>22</v>
      </c>
      <c r="M379" t="s">
        <v>20</v>
      </c>
      <c r="N379">
        <v>23</v>
      </c>
      <c r="O379">
        <v>66.256043272554194</v>
      </c>
      <c r="P379">
        <v>29.767837672916698</v>
      </c>
      <c r="Q379" t="s">
        <v>21</v>
      </c>
      <c r="R379">
        <v>377</v>
      </c>
      <c r="S379">
        <v>83.977494967419105</v>
      </c>
    </row>
    <row r="380" spans="1:19" x14ac:dyDescent="0.25">
      <c r="A380">
        <v>5070</v>
      </c>
      <c r="B380">
        <v>144.880603725654</v>
      </c>
      <c r="C380">
        <v>1.17094175546237</v>
      </c>
      <c r="D380">
        <v>64.229026082485902</v>
      </c>
      <c r="E380">
        <v>33.552325949978702</v>
      </c>
      <c r="F380">
        <v>23.708301159763099</v>
      </c>
      <c r="G380">
        <v>0.86090532625103999</v>
      </c>
      <c r="H380">
        <v>0.61624373901034502</v>
      </c>
      <c r="I380">
        <v>4.6194074365956999</v>
      </c>
      <c r="J380">
        <v>83.000713544652299</v>
      </c>
      <c r="K380">
        <v>35.705635205205702</v>
      </c>
      <c r="L380" t="s">
        <v>22</v>
      </c>
      <c r="M380" t="s">
        <v>33</v>
      </c>
      <c r="N380">
        <v>18</v>
      </c>
      <c r="O380">
        <v>72.495989216414301</v>
      </c>
      <c r="P380">
        <v>28.2184115039875</v>
      </c>
      <c r="Q380" t="s">
        <v>24</v>
      </c>
      <c r="R380">
        <v>378</v>
      </c>
      <c r="S380">
        <v>81.703705263970306</v>
      </c>
    </row>
    <row r="381" spans="1:19" x14ac:dyDescent="0.25">
      <c r="A381">
        <v>1580</v>
      </c>
      <c r="B381">
        <v>140.213475316478</v>
      </c>
      <c r="C381">
        <v>1.3481369856116601</v>
      </c>
      <c r="D381">
        <v>54.324929577511398</v>
      </c>
      <c r="E381">
        <v>33.233810808324101</v>
      </c>
      <c r="F381">
        <v>20.643425109658502</v>
      </c>
      <c r="G381">
        <v>1.17613995611794</v>
      </c>
      <c r="H381">
        <v>0.61327038069136197</v>
      </c>
      <c r="I381">
        <v>1.92155016513858</v>
      </c>
      <c r="J381">
        <v>104.541920170076</v>
      </c>
      <c r="K381">
        <v>48.2734234952609</v>
      </c>
      <c r="L381" t="s">
        <v>19</v>
      </c>
      <c r="M381" t="s">
        <v>35</v>
      </c>
      <c r="N381">
        <v>28</v>
      </c>
      <c r="O381">
        <v>53.4246825660978</v>
      </c>
      <c r="P381">
        <v>0.45289753269758698</v>
      </c>
      <c r="Q381" t="s">
        <v>29</v>
      </c>
      <c r="R381">
        <v>379</v>
      </c>
      <c r="S381">
        <v>70.984213920851502</v>
      </c>
    </row>
    <row r="382" spans="1:19" x14ac:dyDescent="0.25">
      <c r="A382">
        <v>8004</v>
      </c>
      <c r="B382">
        <v>123.993896923091</v>
      </c>
      <c r="C382">
        <v>0.82706453826339199</v>
      </c>
      <c r="D382">
        <v>104.698731516736</v>
      </c>
      <c r="E382">
        <v>31.776365616349299</v>
      </c>
      <c r="F382">
        <v>15.917095979321401</v>
      </c>
      <c r="G382">
        <v>0.46658143752882902</v>
      </c>
      <c r="H382">
        <v>0.55777678124053598</v>
      </c>
      <c r="I382">
        <v>1.5535516281277399</v>
      </c>
      <c r="J382">
        <v>49.680020505183798</v>
      </c>
      <c r="K382">
        <v>21.527517381866499</v>
      </c>
      <c r="L382" t="s">
        <v>27</v>
      </c>
      <c r="M382" t="s">
        <v>28</v>
      </c>
      <c r="N382">
        <v>35</v>
      </c>
      <c r="O382">
        <v>66.4951437462245</v>
      </c>
      <c r="P382">
        <v>9.6018466457823894</v>
      </c>
      <c r="Q382" t="s">
        <v>29</v>
      </c>
      <c r="R382">
        <v>380</v>
      </c>
      <c r="S382">
        <v>61.906794802900798</v>
      </c>
    </row>
    <row r="383" spans="1:19" x14ac:dyDescent="0.25">
      <c r="A383">
        <v>9130</v>
      </c>
      <c r="B383">
        <v>121.567532641238</v>
      </c>
      <c r="C383">
        <v>1.0903710701392499</v>
      </c>
      <c r="D383">
        <v>52.8645581234641</v>
      </c>
      <c r="E383">
        <v>33.247634125590501</v>
      </c>
      <c r="F383">
        <v>16.392349262874799</v>
      </c>
      <c r="G383">
        <v>1.5433648626243299</v>
      </c>
      <c r="H383">
        <v>0.54771878238313099</v>
      </c>
      <c r="I383">
        <v>1.46200934191309</v>
      </c>
      <c r="J383">
        <v>55.426572132762502</v>
      </c>
      <c r="K383">
        <v>36.499443633543898</v>
      </c>
      <c r="L383" t="s">
        <v>34</v>
      </c>
      <c r="M383" t="s">
        <v>35</v>
      </c>
      <c r="N383">
        <v>27</v>
      </c>
      <c r="O383">
        <v>71.354247023281303</v>
      </c>
      <c r="P383">
        <v>9.9309189571808894</v>
      </c>
      <c r="Q383" t="s">
        <v>29</v>
      </c>
      <c r="R383">
        <v>381</v>
      </c>
      <c r="S383">
        <v>55.785301001005799</v>
      </c>
    </row>
    <row r="384" spans="1:19" x14ac:dyDescent="0.25">
      <c r="A384">
        <v>4147</v>
      </c>
      <c r="B384">
        <v>134.488918580171</v>
      </c>
      <c r="C384">
        <v>1.2618895632276701</v>
      </c>
      <c r="D384">
        <v>58.889064410262598</v>
      </c>
      <c r="E384">
        <v>34.754635126461103</v>
      </c>
      <c r="F384">
        <v>25.546762572276499</v>
      </c>
      <c r="G384">
        <v>0.21503846750984901</v>
      </c>
      <c r="H384">
        <v>0.87358461506384499</v>
      </c>
      <c r="I384">
        <v>4.4213512776190296</v>
      </c>
      <c r="J384">
        <v>110.595191919464</v>
      </c>
      <c r="K384">
        <v>73.611768244392806</v>
      </c>
      <c r="L384" t="s">
        <v>22</v>
      </c>
      <c r="M384" t="s">
        <v>26</v>
      </c>
      <c r="N384">
        <v>35</v>
      </c>
      <c r="O384">
        <v>69.035059464064702</v>
      </c>
      <c r="P384">
        <v>17.5581180382265</v>
      </c>
      <c r="Q384" t="s">
        <v>21</v>
      </c>
      <c r="R384">
        <v>382</v>
      </c>
      <c r="S384">
        <v>73.549816256325101</v>
      </c>
    </row>
    <row r="385" spans="1:19" x14ac:dyDescent="0.25">
      <c r="A385">
        <v>5249</v>
      </c>
      <c r="B385">
        <v>158.454580385187</v>
      </c>
      <c r="C385">
        <v>1.9371945903563601</v>
      </c>
      <c r="D385">
        <v>74.087780632059506</v>
      </c>
      <c r="E385">
        <v>33.538362917417402</v>
      </c>
      <c r="F385">
        <v>22.097291277594401</v>
      </c>
      <c r="G385">
        <v>0.50347828718126597</v>
      </c>
      <c r="H385">
        <v>0.43842405637656301</v>
      </c>
      <c r="I385">
        <v>4.03513975752257</v>
      </c>
      <c r="J385">
        <v>110.09634960387601</v>
      </c>
      <c r="K385">
        <v>26.3690933926739</v>
      </c>
      <c r="L385" t="s">
        <v>22</v>
      </c>
      <c r="M385" t="s">
        <v>33</v>
      </c>
      <c r="N385">
        <v>18</v>
      </c>
      <c r="O385">
        <v>65.339843161337498</v>
      </c>
      <c r="P385">
        <v>3.1757877401958399</v>
      </c>
      <c r="Q385" t="s">
        <v>25</v>
      </c>
      <c r="R385">
        <v>383</v>
      </c>
      <c r="S385">
        <v>88.822808296784103</v>
      </c>
    </row>
    <row r="386" spans="1:19" x14ac:dyDescent="0.25">
      <c r="A386">
        <v>2679</v>
      </c>
      <c r="B386">
        <v>145.87200309188799</v>
      </c>
      <c r="C386">
        <v>1.6312806645009601</v>
      </c>
      <c r="D386">
        <v>45.957009478478199</v>
      </c>
      <c r="E386">
        <v>34.154384626886198</v>
      </c>
      <c r="F386">
        <v>21.307438776963799</v>
      </c>
      <c r="G386">
        <v>1.2454342937362499</v>
      </c>
      <c r="H386">
        <v>0.77268615015477604</v>
      </c>
      <c r="I386">
        <v>7.4614332126031204</v>
      </c>
      <c r="J386">
        <v>117.648277620087</v>
      </c>
      <c r="K386">
        <v>63.536967084521798</v>
      </c>
      <c r="L386" t="s">
        <v>27</v>
      </c>
      <c r="M386" t="s">
        <v>30</v>
      </c>
      <c r="N386">
        <v>36</v>
      </c>
      <c r="O386">
        <v>65.229175810721301</v>
      </c>
      <c r="P386">
        <v>26.783172293866599</v>
      </c>
      <c r="Q386" t="s">
        <v>21</v>
      </c>
      <c r="R386">
        <v>384</v>
      </c>
      <c r="S386">
        <v>85.794626437411395</v>
      </c>
    </row>
    <row r="387" spans="1:19" x14ac:dyDescent="0.25">
      <c r="A387">
        <v>4506</v>
      </c>
      <c r="B387">
        <v>127.587713358277</v>
      </c>
      <c r="C387">
        <v>1.5967949556837699</v>
      </c>
      <c r="D387">
        <v>62.086385764874699</v>
      </c>
      <c r="E387">
        <v>32.715585635984802</v>
      </c>
      <c r="F387">
        <v>19.880549788388201</v>
      </c>
      <c r="G387">
        <v>1.4858976116671201</v>
      </c>
      <c r="H387">
        <v>0.49505102830104802</v>
      </c>
      <c r="I387">
        <v>7.6853935142637901</v>
      </c>
      <c r="J387">
        <v>110.183831644167</v>
      </c>
      <c r="K387">
        <v>83.806938960337504</v>
      </c>
      <c r="L387" t="s">
        <v>27</v>
      </c>
      <c r="M387" t="s">
        <v>32</v>
      </c>
      <c r="N387">
        <v>33</v>
      </c>
      <c r="O387">
        <v>59.209225392173202</v>
      </c>
      <c r="P387">
        <v>2.0448994004705998</v>
      </c>
      <c r="Q387" t="s">
        <v>24</v>
      </c>
      <c r="R387">
        <v>385</v>
      </c>
      <c r="S387">
        <v>74.744312872276097</v>
      </c>
    </row>
    <row r="388" spans="1:19" x14ac:dyDescent="0.25">
      <c r="A388">
        <v>8253</v>
      </c>
      <c r="B388">
        <v>150.43397421296601</v>
      </c>
      <c r="C388">
        <v>1.9254489810839801</v>
      </c>
      <c r="D388">
        <v>76.3490652250035</v>
      </c>
      <c r="E388">
        <v>33.899880287308399</v>
      </c>
      <c r="F388">
        <v>20.474055772596198</v>
      </c>
      <c r="G388">
        <v>1.8499575848490399</v>
      </c>
      <c r="H388">
        <v>0.58947824136673399</v>
      </c>
      <c r="I388">
        <v>1.4576857195036499</v>
      </c>
      <c r="J388">
        <v>32.737203603335999</v>
      </c>
      <c r="K388">
        <v>65.987756981828994</v>
      </c>
      <c r="L388" t="s">
        <v>19</v>
      </c>
      <c r="M388" t="s">
        <v>28</v>
      </c>
      <c r="N388">
        <v>24</v>
      </c>
      <c r="O388">
        <v>71.0309750855142</v>
      </c>
      <c r="P388">
        <v>26.260207544431498</v>
      </c>
      <c r="Q388" t="s">
        <v>21</v>
      </c>
      <c r="R388">
        <v>386</v>
      </c>
      <c r="S388">
        <v>74.039886986238301</v>
      </c>
    </row>
    <row r="389" spans="1:19" x14ac:dyDescent="0.25">
      <c r="A389">
        <v>3744</v>
      </c>
      <c r="B389">
        <v>78.029147587398398</v>
      </c>
      <c r="C389">
        <v>1.4313141058003001</v>
      </c>
      <c r="D389">
        <v>63.342791912349703</v>
      </c>
      <c r="E389">
        <v>33.335121405859802</v>
      </c>
      <c r="F389">
        <v>27.234558972440599</v>
      </c>
      <c r="G389">
        <v>1.46989397348232</v>
      </c>
      <c r="H389">
        <v>0.43384866877416001</v>
      </c>
      <c r="I389">
        <v>2.9901093660011302</v>
      </c>
      <c r="J389">
        <v>102.37242861369801</v>
      </c>
      <c r="K389">
        <v>75.826626696917003</v>
      </c>
      <c r="L389" t="s">
        <v>27</v>
      </c>
      <c r="M389" t="s">
        <v>28</v>
      </c>
      <c r="N389">
        <v>32</v>
      </c>
      <c r="O389">
        <v>71.399082427147803</v>
      </c>
      <c r="P389">
        <v>24.966710410576098</v>
      </c>
      <c r="Q389" t="s">
        <v>29</v>
      </c>
      <c r="R389">
        <v>387</v>
      </c>
      <c r="S389">
        <v>46.663446601760697</v>
      </c>
    </row>
    <row r="390" spans="1:19" x14ac:dyDescent="0.25">
      <c r="A390">
        <v>6188</v>
      </c>
      <c r="B390">
        <v>157.97531400744199</v>
      </c>
      <c r="C390">
        <v>1.6952324249644399</v>
      </c>
      <c r="D390">
        <v>68.132262822000996</v>
      </c>
      <c r="E390">
        <v>31.8589071243753</v>
      </c>
      <c r="F390">
        <v>20.3237795906598</v>
      </c>
      <c r="G390">
        <v>1.4092026864587499</v>
      </c>
      <c r="H390">
        <v>0.54848550027050402</v>
      </c>
      <c r="I390">
        <v>3.4683566514300899</v>
      </c>
      <c r="J390">
        <v>60.983847810959404</v>
      </c>
      <c r="K390">
        <v>23.172872197793598</v>
      </c>
      <c r="L390" t="s">
        <v>19</v>
      </c>
      <c r="M390" t="s">
        <v>32</v>
      </c>
      <c r="N390">
        <v>18</v>
      </c>
      <c r="O390">
        <v>56.695158481631701</v>
      </c>
      <c r="P390">
        <v>9.2449199890221792</v>
      </c>
      <c r="Q390" t="s">
        <v>31</v>
      </c>
      <c r="R390">
        <v>388</v>
      </c>
      <c r="S390">
        <v>80.075693547669502</v>
      </c>
    </row>
    <row r="391" spans="1:19" x14ac:dyDescent="0.25">
      <c r="A391">
        <v>3141</v>
      </c>
      <c r="B391">
        <v>100.205724424438</v>
      </c>
      <c r="C391">
        <v>1.44838912353375</v>
      </c>
      <c r="D391">
        <v>59.4133577510325</v>
      </c>
      <c r="E391">
        <v>33.382225205758601</v>
      </c>
      <c r="F391">
        <v>15.2946764334921</v>
      </c>
      <c r="G391">
        <v>0.90981406343119497</v>
      </c>
      <c r="H391">
        <v>0.82263158911448298</v>
      </c>
      <c r="I391">
        <v>5.9285078572852798</v>
      </c>
      <c r="J391">
        <v>119.080135594593</v>
      </c>
      <c r="K391">
        <v>33.804886950154</v>
      </c>
      <c r="L391" t="s">
        <v>19</v>
      </c>
      <c r="M391" t="s">
        <v>23</v>
      </c>
      <c r="N391">
        <v>38</v>
      </c>
      <c r="O391">
        <v>74.117100092968101</v>
      </c>
      <c r="P391">
        <v>28.095636627309499</v>
      </c>
      <c r="Q391" t="s">
        <v>24</v>
      </c>
      <c r="R391">
        <v>389</v>
      </c>
      <c r="S391">
        <v>62.795057938441602</v>
      </c>
    </row>
    <row r="392" spans="1:19" x14ac:dyDescent="0.25">
      <c r="A392">
        <v>7617</v>
      </c>
      <c r="B392">
        <v>127.75118117193701</v>
      </c>
      <c r="C392">
        <v>1.63268117469981</v>
      </c>
      <c r="D392">
        <v>39.710593816384602</v>
      </c>
      <c r="E392">
        <v>31.809964003871599</v>
      </c>
      <c r="F392">
        <v>25.718258877700801</v>
      </c>
      <c r="G392">
        <v>0.202311965948242</v>
      </c>
      <c r="H392">
        <v>0.88675842850099196</v>
      </c>
      <c r="I392">
        <v>2.3006370151625499</v>
      </c>
      <c r="J392">
        <v>67.228096432880093</v>
      </c>
      <c r="K392">
        <v>82.090413918044305</v>
      </c>
      <c r="L392" t="s">
        <v>27</v>
      </c>
      <c r="M392" t="s">
        <v>36</v>
      </c>
      <c r="N392">
        <v>26</v>
      </c>
      <c r="O392">
        <v>62.7631301077326</v>
      </c>
      <c r="P392">
        <v>15.3343147630806</v>
      </c>
      <c r="Q392" t="s">
        <v>31</v>
      </c>
      <c r="R392">
        <v>390</v>
      </c>
      <c r="S392">
        <v>64.002385018778497</v>
      </c>
    </row>
    <row r="393" spans="1:19" x14ac:dyDescent="0.25">
      <c r="A393">
        <v>3479</v>
      </c>
      <c r="B393">
        <v>112.606602107477</v>
      </c>
      <c r="C393">
        <v>1.2086206711942</v>
      </c>
      <c r="D393">
        <v>76.431864226784697</v>
      </c>
      <c r="E393">
        <v>32.240543670138202</v>
      </c>
      <c r="F393">
        <v>20.975616680676399</v>
      </c>
      <c r="G393">
        <v>0.41628666572411899</v>
      </c>
      <c r="H393">
        <v>0.52183993354630098</v>
      </c>
      <c r="I393">
        <v>2.2054709745999999</v>
      </c>
      <c r="J393">
        <v>75.383608250221997</v>
      </c>
      <c r="K393">
        <v>68.632921021356694</v>
      </c>
      <c r="L393" t="s">
        <v>27</v>
      </c>
      <c r="M393" t="s">
        <v>26</v>
      </c>
      <c r="N393">
        <v>19</v>
      </c>
      <c r="O393">
        <v>64.992052947196598</v>
      </c>
      <c r="P393">
        <v>13.2584080722376</v>
      </c>
      <c r="Q393" t="s">
        <v>24</v>
      </c>
      <c r="R393">
        <v>391</v>
      </c>
      <c r="S393">
        <v>54.369867648596902</v>
      </c>
    </row>
    <row r="394" spans="1:19" x14ac:dyDescent="0.25">
      <c r="A394">
        <v>7484</v>
      </c>
      <c r="B394">
        <v>109.106370485581</v>
      </c>
      <c r="C394">
        <v>0.28059142086178501</v>
      </c>
      <c r="D394">
        <v>105.098661432944</v>
      </c>
      <c r="E394">
        <v>33.227193968750797</v>
      </c>
      <c r="F394">
        <v>22.156979327663802</v>
      </c>
      <c r="G394">
        <v>1.1621981805608701</v>
      </c>
      <c r="H394">
        <v>0.65495131159240705</v>
      </c>
      <c r="I394">
        <v>9.4941000028716207</v>
      </c>
      <c r="J394">
        <v>72.977491525679795</v>
      </c>
      <c r="K394">
        <v>62.966536978298301</v>
      </c>
      <c r="L394" t="s">
        <v>27</v>
      </c>
      <c r="M394" t="s">
        <v>33</v>
      </c>
      <c r="N394">
        <v>34</v>
      </c>
      <c r="O394">
        <v>82.831171565561306</v>
      </c>
      <c r="P394">
        <v>14.628419921885</v>
      </c>
      <c r="Q394" t="s">
        <v>24</v>
      </c>
      <c r="R394">
        <v>392</v>
      </c>
      <c r="S394">
        <v>78.790681843767004</v>
      </c>
    </row>
    <row r="395" spans="1:19" x14ac:dyDescent="0.25">
      <c r="A395">
        <v>8421</v>
      </c>
      <c r="B395">
        <v>158.21653574756999</v>
      </c>
      <c r="C395">
        <v>1.4328604189068399</v>
      </c>
      <c r="D395">
        <v>70.368032615668696</v>
      </c>
      <c r="E395">
        <v>33.356693128056101</v>
      </c>
      <c r="F395">
        <v>30.037891531997499</v>
      </c>
      <c r="G395">
        <v>1.41523379451995</v>
      </c>
      <c r="H395">
        <v>0.65867822636546303</v>
      </c>
      <c r="I395">
        <v>8.2378261656800298</v>
      </c>
      <c r="J395">
        <v>52.173702985827703</v>
      </c>
      <c r="K395">
        <v>64.782505209127393</v>
      </c>
      <c r="L395" t="s">
        <v>27</v>
      </c>
      <c r="M395" t="s">
        <v>28</v>
      </c>
      <c r="N395">
        <v>27</v>
      </c>
      <c r="O395">
        <v>80.815358954302596</v>
      </c>
      <c r="P395">
        <v>15.3145397440547</v>
      </c>
      <c r="Q395" t="s">
        <v>29</v>
      </c>
      <c r="R395">
        <v>393</v>
      </c>
      <c r="S395">
        <v>91.298307641083298</v>
      </c>
    </row>
    <row r="396" spans="1:19" x14ac:dyDescent="0.25">
      <c r="A396">
        <v>5452</v>
      </c>
      <c r="B396">
        <v>125.64597597376201</v>
      </c>
      <c r="C396">
        <v>2.2113740680499698</v>
      </c>
      <c r="D396">
        <v>74.505282344950899</v>
      </c>
      <c r="E396">
        <v>31.572921041907399</v>
      </c>
      <c r="F396">
        <v>21.897197213247399</v>
      </c>
      <c r="G396">
        <v>0.95140691101363195</v>
      </c>
      <c r="H396">
        <v>0.88046641816785298</v>
      </c>
      <c r="I396">
        <v>2.62589411882053</v>
      </c>
      <c r="J396">
        <v>27.502208889291801</v>
      </c>
      <c r="K396">
        <v>46.065041572848202</v>
      </c>
      <c r="L396" t="s">
        <v>27</v>
      </c>
      <c r="M396" t="s">
        <v>28</v>
      </c>
      <c r="N396">
        <v>23</v>
      </c>
      <c r="O396">
        <v>56.427220387442198</v>
      </c>
      <c r="P396">
        <v>16.050608279268701</v>
      </c>
      <c r="Q396" t="s">
        <v>21</v>
      </c>
      <c r="R396">
        <v>394</v>
      </c>
      <c r="S396">
        <v>74.502336043401002</v>
      </c>
    </row>
    <row r="397" spans="1:19" x14ac:dyDescent="0.25">
      <c r="A397">
        <v>6881</v>
      </c>
      <c r="B397">
        <v>141.93007763461401</v>
      </c>
      <c r="C397">
        <v>1.96310770112079</v>
      </c>
      <c r="D397">
        <v>83.854455102337099</v>
      </c>
      <c r="E397">
        <v>34.264782925419397</v>
      </c>
      <c r="F397">
        <v>23.445918365593599</v>
      </c>
      <c r="G397">
        <v>1.5152222207510999</v>
      </c>
      <c r="H397">
        <v>0.819539479081693</v>
      </c>
      <c r="I397">
        <v>4.6591102711494097</v>
      </c>
      <c r="J397">
        <v>109.565123040191</v>
      </c>
      <c r="K397">
        <v>18.341747371323901</v>
      </c>
      <c r="L397" t="s">
        <v>19</v>
      </c>
      <c r="M397" t="s">
        <v>32</v>
      </c>
      <c r="N397">
        <v>22</v>
      </c>
      <c r="O397">
        <v>57.768024513361702</v>
      </c>
      <c r="P397">
        <v>16.232213424219498</v>
      </c>
      <c r="Q397" t="s">
        <v>29</v>
      </c>
      <c r="R397">
        <v>395</v>
      </c>
      <c r="S397">
        <v>77.930121191488496</v>
      </c>
    </row>
    <row r="398" spans="1:19" x14ac:dyDescent="0.25">
      <c r="A398">
        <v>7665</v>
      </c>
      <c r="B398">
        <v>134.06158842241601</v>
      </c>
      <c r="C398">
        <v>1.98269874229558</v>
      </c>
      <c r="D398">
        <v>44.613390069066</v>
      </c>
      <c r="E398">
        <v>33.686407533960498</v>
      </c>
      <c r="F398">
        <v>16.105382543508298</v>
      </c>
      <c r="G398">
        <v>1.13935213159792</v>
      </c>
      <c r="H398">
        <v>0.68219247010242701</v>
      </c>
      <c r="I398">
        <v>4.2005979933180901</v>
      </c>
      <c r="J398">
        <v>100.26758125262801</v>
      </c>
      <c r="K398">
        <v>73.833115655304596</v>
      </c>
      <c r="L398" t="s">
        <v>22</v>
      </c>
      <c r="M398" t="s">
        <v>30</v>
      </c>
      <c r="N398">
        <v>25</v>
      </c>
      <c r="O398">
        <v>59.592077015223701</v>
      </c>
      <c r="P398">
        <v>10.877472698777501</v>
      </c>
      <c r="Q398" t="s">
        <v>29</v>
      </c>
      <c r="R398">
        <v>396</v>
      </c>
      <c r="S398">
        <v>73.2690833296558</v>
      </c>
    </row>
    <row r="399" spans="1:19" x14ac:dyDescent="0.25">
      <c r="A399">
        <v>3849</v>
      </c>
      <c r="B399">
        <v>144.54081654446199</v>
      </c>
      <c r="C399">
        <v>2.1180653609030999</v>
      </c>
      <c r="D399">
        <v>104.050293162592</v>
      </c>
      <c r="E399">
        <v>32.154325877266899</v>
      </c>
      <c r="F399">
        <v>20.9016527382452</v>
      </c>
      <c r="G399">
        <v>0.33351715206976101</v>
      </c>
      <c r="H399">
        <v>0.76891096025947503</v>
      </c>
      <c r="I399">
        <v>8.1190366665886593</v>
      </c>
      <c r="J399">
        <v>33.952678055966899</v>
      </c>
      <c r="K399">
        <v>65.903492716151504</v>
      </c>
      <c r="L399" t="s">
        <v>34</v>
      </c>
      <c r="M399" t="s">
        <v>32</v>
      </c>
      <c r="N399">
        <v>25</v>
      </c>
      <c r="O399">
        <v>80.689796257680598</v>
      </c>
      <c r="P399">
        <v>12.734431538226699</v>
      </c>
      <c r="Q399" t="s">
        <v>29</v>
      </c>
      <c r="R399">
        <v>397</v>
      </c>
      <c r="S399">
        <v>84.140945795796</v>
      </c>
    </row>
    <row r="400" spans="1:19" x14ac:dyDescent="0.25">
      <c r="A400">
        <v>8390</v>
      </c>
      <c r="B400">
        <v>136.536437821205</v>
      </c>
      <c r="C400">
        <v>1.5443287954807099</v>
      </c>
      <c r="D400">
        <v>74.046575928455994</v>
      </c>
      <c r="E400">
        <v>31.154898244260899</v>
      </c>
      <c r="F400">
        <v>25.047630226043001</v>
      </c>
      <c r="G400">
        <v>0.54562925174230703</v>
      </c>
      <c r="H400">
        <v>0.86604527965015099</v>
      </c>
      <c r="I400">
        <v>5.5919162483030904</v>
      </c>
      <c r="J400">
        <v>97.676827135007201</v>
      </c>
      <c r="K400">
        <v>50.460334808454299</v>
      </c>
      <c r="L400" t="s">
        <v>34</v>
      </c>
      <c r="M400" t="s">
        <v>32</v>
      </c>
      <c r="N400">
        <v>22</v>
      </c>
      <c r="O400">
        <v>63.142329043257</v>
      </c>
      <c r="P400">
        <v>13.4271801868558</v>
      </c>
      <c r="Q400" t="s">
        <v>31</v>
      </c>
      <c r="R400">
        <v>398</v>
      </c>
      <c r="S400">
        <v>74.039301062750596</v>
      </c>
    </row>
    <row r="401" spans="1:19" x14ac:dyDescent="0.25">
      <c r="A401">
        <v>7905</v>
      </c>
      <c r="B401">
        <v>109.34015551622799</v>
      </c>
      <c r="C401">
        <v>1.59865785370279</v>
      </c>
      <c r="D401">
        <v>102.637137981782</v>
      </c>
      <c r="E401">
        <v>32.826114505102197</v>
      </c>
      <c r="F401">
        <v>14.2231313307937</v>
      </c>
      <c r="G401">
        <v>1.7119968018390901</v>
      </c>
      <c r="H401">
        <v>0.40524642471404898</v>
      </c>
      <c r="I401">
        <v>2.1506476329412001</v>
      </c>
      <c r="J401">
        <v>82.584666605061003</v>
      </c>
      <c r="K401">
        <v>82.481971152619295</v>
      </c>
      <c r="L401" t="s">
        <v>19</v>
      </c>
      <c r="M401" t="s">
        <v>20</v>
      </c>
      <c r="N401">
        <v>29</v>
      </c>
      <c r="O401">
        <v>56.206712417680599</v>
      </c>
      <c r="P401">
        <v>31.381842530346798</v>
      </c>
      <c r="Q401" t="s">
        <v>24</v>
      </c>
      <c r="R401">
        <v>399</v>
      </c>
      <c r="S401">
        <v>57.319902877334698</v>
      </c>
    </row>
    <row r="402" spans="1:19" x14ac:dyDescent="0.25">
      <c r="A402">
        <v>3489</v>
      </c>
      <c r="B402">
        <v>154.92533638894199</v>
      </c>
      <c r="C402">
        <v>1.19117405228282</v>
      </c>
      <c r="D402">
        <v>55.339340089520199</v>
      </c>
      <c r="E402">
        <v>32.464867543366601</v>
      </c>
      <c r="F402">
        <v>23.0042254655785</v>
      </c>
      <c r="G402">
        <v>1.5048429439239901</v>
      </c>
      <c r="H402">
        <v>0.62158951707752597</v>
      </c>
      <c r="I402">
        <v>7.6509285684061901</v>
      </c>
      <c r="J402">
        <v>60.914378791762203</v>
      </c>
      <c r="K402">
        <v>40.211974873882397</v>
      </c>
      <c r="L402" t="s">
        <v>19</v>
      </c>
      <c r="M402" t="s">
        <v>33</v>
      </c>
      <c r="N402">
        <v>24</v>
      </c>
      <c r="O402">
        <v>77.859572391753304</v>
      </c>
      <c r="P402">
        <v>13.4307798887325</v>
      </c>
      <c r="Q402" t="s">
        <v>25</v>
      </c>
      <c r="R402">
        <v>400</v>
      </c>
      <c r="S402">
        <v>86.020552035747102</v>
      </c>
    </row>
    <row r="403" spans="1:19" x14ac:dyDescent="0.25">
      <c r="A403">
        <v>5611</v>
      </c>
      <c r="B403">
        <v>125.12486833677301</v>
      </c>
      <c r="C403">
        <v>1.34196357198647</v>
      </c>
      <c r="D403">
        <v>106.361238451156</v>
      </c>
      <c r="E403">
        <v>33.135768548463602</v>
      </c>
      <c r="F403">
        <v>22.503955363224001</v>
      </c>
      <c r="G403">
        <v>1.8105715766224899</v>
      </c>
      <c r="H403">
        <v>0.89898374200239295</v>
      </c>
      <c r="I403">
        <v>4.57199180402427</v>
      </c>
      <c r="J403">
        <v>45.402114909556197</v>
      </c>
      <c r="K403">
        <v>37.074130817342599</v>
      </c>
      <c r="L403" t="s">
        <v>22</v>
      </c>
      <c r="M403" t="s">
        <v>23</v>
      </c>
      <c r="N403">
        <v>30</v>
      </c>
      <c r="O403">
        <v>72.7515254020431</v>
      </c>
      <c r="P403">
        <v>12.917084139260099</v>
      </c>
      <c r="Q403" t="s">
        <v>21</v>
      </c>
      <c r="R403">
        <v>401</v>
      </c>
      <c r="S403">
        <v>65.543169433656004</v>
      </c>
    </row>
    <row r="404" spans="1:19" x14ac:dyDescent="0.25">
      <c r="A404">
        <v>3839</v>
      </c>
      <c r="B404">
        <v>103.86836202680399</v>
      </c>
      <c r="C404">
        <v>1.80788557488557</v>
      </c>
      <c r="D404">
        <v>85.503109880695604</v>
      </c>
      <c r="E404">
        <v>32.564260006613303</v>
      </c>
      <c r="F404">
        <v>22.206437277937098</v>
      </c>
      <c r="G404">
        <v>0.41160304841768502</v>
      </c>
      <c r="H404">
        <v>0.80717216696417304</v>
      </c>
      <c r="I404">
        <v>3.3663182286893201</v>
      </c>
      <c r="J404">
        <v>105.972878350223</v>
      </c>
      <c r="K404">
        <v>80.459724380958207</v>
      </c>
      <c r="L404" t="s">
        <v>27</v>
      </c>
      <c r="M404" t="s">
        <v>32</v>
      </c>
      <c r="N404">
        <v>30</v>
      </c>
      <c r="O404">
        <v>86.007506468246802</v>
      </c>
      <c r="P404">
        <v>30.130630442844701</v>
      </c>
      <c r="Q404" t="s">
        <v>29</v>
      </c>
      <c r="R404">
        <v>402</v>
      </c>
      <c r="S404">
        <v>63.658507507027402</v>
      </c>
    </row>
    <row r="405" spans="1:19" x14ac:dyDescent="0.25">
      <c r="A405">
        <v>9527</v>
      </c>
      <c r="B405">
        <v>126.43769678068099</v>
      </c>
      <c r="C405">
        <v>2.1019422185844001</v>
      </c>
      <c r="D405">
        <v>81.060801717047099</v>
      </c>
      <c r="E405">
        <v>30.591051767105899</v>
      </c>
      <c r="F405">
        <v>27.185794493291201</v>
      </c>
      <c r="G405">
        <v>1.9824005623071299</v>
      </c>
      <c r="H405">
        <v>0.69856275588374095</v>
      </c>
      <c r="I405">
        <v>4.37948759818648</v>
      </c>
      <c r="J405">
        <v>90.018825929405295</v>
      </c>
      <c r="K405">
        <v>74.774074106923905</v>
      </c>
      <c r="L405" t="s">
        <v>19</v>
      </c>
      <c r="M405" t="s">
        <v>30</v>
      </c>
      <c r="N405">
        <v>34</v>
      </c>
      <c r="O405">
        <v>72.735451235185707</v>
      </c>
      <c r="P405">
        <v>15.4239291451697</v>
      </c>
      <c r="Q405" t="s">
        <v>24</v>
      </c>
      <c r="R405">
        <v>403</v>
      </c>
      <c r="S405">
        <v>71.412548247316394</v>
      </c>
    </row>
    <row r="406" spans="1:19" x14ac:dyDescent="0.25">
      <c r="A406">
        <v>6878</v>
      </c>
      <c r="B406">
        <v>165.01519581268599</v>
      </c>
      <c r="C406">
        <v>1.4302768621594999</v>
      </c>
      <c r="D406">
        <v>74.680489087062895</v>
      </c>
      <c r="E406">
        <v>32.533983674038602</v>
      </c>
      <c r="F406">
        <v>23.672192574242601</v>
      </c>
      <c r="G406">
        <v>0.57693208510988003</v>
      </c>
      <c r="H406">
        <v>0.69130448986932302</v>
      </c>
      <c r="I406">
        <v>5.4798090724620598</v>
      </c>
      <c r="J406">
        <v>74.773990946913599</v>
      </c>
      <c r="K406">
        <v>53.623485798625801</v>
      </c>
      <c r="L406" t="s">
        <v>34</v>
      </c>
      <c r="M406" t="s">
        <v>23</v>
      </c>
      <c r="N406">
        <v>21</v>
      </c>
      <c r="O406">
        <v>67.744936849924898</v>
      </c>
      <c r="P406">
        <v>10.8781461827274</v>
      </c>
      <c r="Q406" t="s">
        <v>21</v>
      </c>
      <c r="R406">
        <v>404</v>
      </c>
      <c r="S406">
        <v>92.541434048762696</v>
      </c>
    </row>
    <row r="407" spans="1:19" x14ac:dyDescent="0.25">
      <c r="A407">
        <v>7303</v>
      </c>
      <c r="B407">
        <v>152.00443484226901</v>
      </c>
      <c r="C407">
        <v>1.2749053675742901</v>
      </c>
      <c r="D407">
        <v>65.029427638510995</v>
      </c>
      <c r="E407">
        <v>32.633257066718002</v>
      </c>
      <c r="F407">
        <v>29.390359491782199</v>
      </c>
      <c r="G407">
        <v>0.221203777315955</v>
      </c>
      <c r="H407">
        <v>0.59127355368243995</v>
      </c>
      <c r="I407">
        <v>4.0880396477530798</v>
      </c>
      <c r="J407">
        <v>80.956853389846401</v>
      </c>
      <c r="K407">
        <v>24.805105459338701</v>
      </c>
      <c r="L407" t="s">
        <v>27</v>
      </c>
      <c r="M407" t="s">
        <v>37</v>
      </c>
      <c r="N407">
        <v>35</v>
      </c>
      <c r="O407">
        <v>70.021608071598394</v>
      </c>
      <c r="P407">
        <v>9.1443418753531809</v>
      </c>
      <c r="Q407" t="s">
        <v>25</v>
      </c>
      <c r="R407">
        <v>405</v>
      </c>
      <c r="S407">
        <v>82.250174608308399</v>
      </c>
    </row>
    <row r="408" spans="1:19" x14ac:dyDescent="0.25">
      <c r="A408">
        <v>1851</v>
      </c>
      <c r="B408">
        <v>128.02695731184201</v>
      </c>
      <c r="C408">
        <v>1.5002639794282899</v>
      </c>
      <c r="D408">
        <v>94.010633169477401</v>
      </c>
      <c r="E408">
        <v>33.760393229728798</v>
      </c>
      <c r="F408">
        <v>17.0320524220298</v>
      </c>
      <c r="G408">
        <v>1.99536129029639</v>
      </c>
      <c r="H408">
        <v>0.68628629350283299</v>
      </c>
      <c r="I408">
        <v>3.1771519533258199</v>
      </c>
      <c r="J408">
        <v>29.106618208217999</v>
      </c>
      <c r="K408">
        <v>31.1303603598789</v>
      </c>
      <c r="L408" t="s">
        <v>19</v>
      </c>
      <c r="M408" t="s">
        <v>33</v>
      </c>
      <c r="N408">
        <v>27</v>
      </c>
      <c r="O408">
        <v>64.376042725797603</v>
      </c>
      <c r="P408">
        <v>6.6387165185537897</v>
      </c>
      <c r="Q408" t="s">
        <v>25</v>
      </c>
      <c r="R408">
        <v>406</v>
      </c>
      <c r="S408">
        <v>64.044475570195004</v>
      </c>
    </row>
    <row r="409" spans="1:19" x14ac:dyDescent="0.25">
      <c r="A409">
        <v>2687</v>
      </c>
      <c r="B409">
        <v>128.01484591363101</v>
      </c>
      <c r="C409">
        <v>1.80060337446455</v>
      </c>
      <c r="D409">
        <v>72.807197396960902</v>
      </c>
      <c r="E409">
        <v>32.162160390466703</v>
      </c>
      <c r="F409">
        <v>22.679622836091699</v>
      </c>
      <c r="G409">
        <v>0.705932993801203</v>
      </c>
      <c r="H409">
        <v>0.76046075970489901</v>
      </c>
      <c r="I409">
        <v>4.5865182592358202</v>
      </c>
      <c r="J409">
        <v>67.391976091119105</v>
      </c>
      <c r="K409">
        <v>64.217099280660506</v>
      </c>
      <c r="L409" t="s">
        <v>27</v>
      </c>
      <c r="M409" t="s">
        <v>28</v>
      </c>
      <c r="N409">
        <v>20</v>
      </c>
      <c r="O409">
        <v>78.443966931002393</v>
      </c>
      <c r="P409">
        <v>22.329479795611501</v>
      </c>
      <c r="Q409" t="s">
        <v>29</v>
      </c>
      <c r="R409">
        <v>407</v>
      </c>
      <c r="S409">
        <v>66.297681918752303</v>
      </c>
    </row>
    <row r="410" spans="1:19" x14ac:dyDescent="0.25">
      <c r="A410">
        <v>7833</v>
      </c>
      <c r="B410">
        <v>128.56729897565199</v>
      </c>
      <c r="C410">
        <v>0.77807259193322897</v>
      </c>
      <c r="D410">
        <v>30.6586059282569</v>
      </c>
      <c r="E410">
        <v>35.014409608047004</v>
      </c>
      <c r="F410">
        <v>22.422333931949701</v>
      </c>
      <c r="G410">
        <v>1.4024350145226001</v>
      </c>
      <c r="H410">
        <v>0.63009967113583598</v>
      </c>
      <c r="I410">
        <v>1.1725561967490801</v>
      </c>
      <c r="J410">
        <v>39.3700292785702</v>
      </c>
      <c r="K410">
        <v>43.878092838030803</v>
      </c>
      <c r="L410" t="s">
        <v>34</v>
      </c>
      <c r="M410" t="s">
        <v>37</v>
      </c>
      <c r="N410">
        <v>29</v>
      </c>
      <c r="O410">
        <v>78.866205881569499</v>
      </c>
      <c r="P410">
        <v>3.56519383128829</v>
      </c>
      <c r="Q410" t="s">
        <v>25</v>
      </c>
      <c r="R410">
        <v>408</v>
      </c>
      <c r="S410">
        <v>59.715723697135502</v>
      </c>
    </row>
    <row r="411" spans="1:19" x14ac:dyDescent="0.25">
      <c r="A411">
        <v>3427</v>
      </c>
      <c r="B411">
        <v>176.534959671216</v>
      </c>
      <c r="C411">
        <v>0.35190952343137999</v>
      </c>
      <c r="D411">
        <v>47.656270765859901</v>
      </c>
      <c r="E411">
        <v>30.706031339217802</v>
      </c>
      <c r="F411">
        <v>16.6537275312246</v>
      </c>
      <c r="G411">
        <v>0.51802816551734898</v>
      </c>
      <c r="H411">
        <v>0.79278423051569502</v>
      </c>
      <c r="I411">
        <v>7.9524806148668201</v>
      </c>
      <c r="J411">
        <v>40.838367900882503</v>
      </c>
      <c r="K411">
        <v>77.735489374947804</v>
      </c>
      <c r="L411" t="s">
        <v>27</v>
      </c>
      <c r="M411" t="s">
        <v>23</v>
      </c>
      <c r="N411">
        <v>18</v>
      </c>
      <c r="O411">
        <v>55.336634080630702</v>
      </c>
      <c r="P411">
        <v>28.7707016508108</v>
      </c>
      <c r="Q411" t="s">
        <v>25</v>
      </c>
      <c r="R411">
        <v>409</v>
      </c>
      <c r="S411">
        <v>100.769741716916</v>
      </c>
    </row>
    <row r="412" spans="1:19" x14ac:dyDescent="0.25">
      <c r="A412">
        <v>5000</v>
      </c>
      <c r="B412">
        <v>142.63870904463101</v>
      </c>
      <c r="C412">
        <v>1.2247315752542001</v>
      </c>
      <c r="D412">
        <v>66.283084956145004</v>
      </c>
      <c r="E412">
        <v>34.573400997363102</v>
      </c>
      <c r="F412">
        <v>26.781475010456699</v>
      </c>
      <c r="G412">
        <v>1.2444113579584499</v>
      </c>
      <c r="H412">
        <v>0.87367772499321195</v>
      </c>
      <c r="I412">
        <v>2.5385040421082699</v>
      </c>
      <c r="J412">
        <v>86.130396228686607</v>
      </c>
      <c r="K412">
        <v>86.246625699915299</v>
      </c>
      <c r="L412" t="s">
        <v>19</v>
      </c>
      <c r="M412" t="s">
        <v>23</v>
      </c>
      <c r="N412">
        <v>28</v>
      </c>
      <c r="O412">
        <v>75.5402170196611</v>
      </c>
      <c r="P412">
        <v>17.269349287494901</v>
      </c>
      <c r="Q412" t="s">
        <v>21</v>
      </c>
      <c r="R412">
        <v>410</v>
      </c>
      <c r="S412">
        <v>75.644898705175805</v>
      </c>
    </row>
    <row r="413" spans="1:19" x14ac:dyDescent="0.25">
      <c r="A413">
        <v>6052</v>
      </c>
      <c r="B413">
        <v>143.60083294382099</v>
      </c>
      <c r="C413">
        <v>0.88964378704292002</v>
      </c>
      <c r="D413">
        <v>76.199979663311098</v>
      </c>
      <c r="E413">
        <v>32.730817234946201</v>
      </c>
      <c r="F413">
        <v>33.623366529263997</v>
      </c>
      <c r="G413">
        <v>1.8272629756181999</v>
      </c>
      <c r="H413">
        <v>0.48507666650167303</v>
      </c>
      <c r="I413">
        <v>1.39514152267573</v>
      </c>
      <c r="J413">
        <v>111.125615183428</v>
      </c>
      <c r="K413">
        <v>75.422769395618801</v>
      </c>
      <c r="L413" t="s">
        <v>19</v>
      </c>
      <c r="M413" t="s">
        <v>33</v>
      </c>
      <c r="N413">
        <v>35</v>
      </c>
      <c r="O413">
        <v>59.4314500980731</v>
      </c>
      <c r="P413">
        <v>14.503404937764399</v>
      </c>
      <c r="Q413" t="s">
        <v>21</v>
      </c>
      <c r="R413">
        <v>411</v>
      </c>
      <c r="S413">
        <v>69.533173960215393</v>
      </c>
    </row>
    <row r="414" spans="1:19" x14ac:dyDescent="0.25">
      <c r="A414">
        <v>3738</v>
      </c>
      <c r="B414">
        <v>155.60566908063601</v>
      </c>
      <c r="C414">
        <v>1.2459299011763401</v>
      </c>
      <c r="D414">
        <v>68.868230222001998</v>
      </c>
      <c r="E414">
        <v>34.031501846812198</v>
      </c>
      <c r="F414">
        <v>21.914969627580799</v>
      </c>
      <c r="G414">
        <v>0.77632610137118896</v>
      </c>
      <c r="H414">
        <v>0.64835086254958296</v>
      </c>
      <c r="I414">
        <v>6.8832882361457104</v>
      </c>
      <c r="J414">
        <v>60.375661047834598</v>
      </c>
      <c r="K414">
        <v>43.315906724666704</v>
      </c>
      <c r="L414" t="s">
        <v>34</v>
      </c>
      <c r="M414" t="s">
        <v>36</v>
      </c>
      <c r="N414">
        <v>30</v>
      </c>
      <c r="O414">
        <v>87.309889083713898</v>
      </c>
      <c r="P414">
        <v>16.1731556905203</v>
      </c>
      <c r="Q414" t="s">
        <v>29</v>
      </c>
      <c r="R414">
        <v>412</v>
      </c>
      <c r="S414">
        <v>96.379440244550494</v>
      </c>
    </row>
    <row r="415" spans="1:19" x14ac:dyDescent="0.25">
      <c r="A415">
        <v>6732</v>
      </c>
      <c r="B415">
        <v>139.77578318053</v>
      </c>
      <c r="C415">
        <v>1.42610984059126</v>
      </c>
      <c r="D415">
        <v>94.3794157958732</v>
      </c>
      <c r="E415">
        <v>33.095761780870397</v>
      </c>
      <c r="F415">
        <v>24.525105441368801</v>
      </c>
      <c r="G415">
        <v>1.4064571568798401</v>
      </c>
      <c r="H415">
        <v>0.62441105020679399</v>
      </c>
      <c r="I415">
        <v>7.9654251594130496</v>
      </c>
      <c r="J415">
        <v>40.774927301219002</v>
      </c>
      <c r="K415">
        <v>74.151482192356795</v>
      </c>
      <c r="L415" t="s">
        <v>22</v>
      </c>
      <c r="M415" t="s">
        <v>20</v>
      </c>
      <c r="N415">
        <v>34</v>
      </c>
      <c r="O415">
        <v>80.136344687638299</v>
      </c>
      <c r="P415">
        <v>21.704453239568998</v>
      </c>
      <c r="Q415" t="s">
        <v>24</v>
      </c>
      <c r="R415">
        <v>413</v>
      </c>
      <c r="S415">
        <v>82.157317151163397</v>
      </c>
    </row>
    <row r="416" spans="1:19" x14ac:dyDescent="0.25">
      <c r="A416">
        <v>6387</v>
      </c>
      <c r="B416">
        <v>129.819157083585</v>
      </c>
      <c r="C416">
        <v>1.2733757954884899</v>
      </c>
      <c r="D416">
        <v>30.977962719227499</v>
      </c>
      <c r="E416">
        <v>34.3674666432305</v>
      </c>
      <c r="F416">
        <v>22.422592379076601</v>
      </c>
      <c r="G416">
        <v>0.53822645983714901</v>
      </c>
      <c r="H416">
        <v>0.77810564222735001</v>
      </c>
      <c r="I416">
        <v>8.3244621843355802</v>
      </c>
      <c r="J416">
        <v>84.874693723665402</v>
      </c>
      <c r="K416">
        <v>41.3581255103012</v>
      </c>
      <c r="L416" t="s">
        <v>22</v>
      </c>
      <c r="M416" t="s">
        <v>28</v>
      </c>
      <c r="N416">
        <v>25</v>
      </c>
      <c r="O416">
        <v>58.895783458492403</v>
      </c>
      <c r="P416">
        <v>14.241287729994999</v>
      </c>
      <c r="Q416" t="s">
        <v>29</v>
      </c>
      <c r="R416">
        <v>414</v>
      </c>
      <c r="S416">
        <v>80.596577566742496</v>
      </c>
    </row>
    <row r="417" spans="1:19" x14ac:dyDescent="0.25">
      <c r="A417">
        <v>9002</v>
      </c>
      <c r="B417">
        <v>131.0730030183</v>
      </c>
      <c r="C417">
        <v>2.22623376723537</v>
      </c>
      <c r="D417">
        <v>72.871758730103195</v>
      </c>
      <c r="E417">
        <v>32.535165642536597</v>
      </c>
      <c r="F417">
        <v>18.432076650464101</v>
      </c>
      <c r="G417">
        <v>1.3246317176936999</v>
      </c>
      <c r="H417">
        <v>0.53742710589186105</v>
      </c>
      <c r="I417">
        <v>5.4415826439453996</v>
      </c>
      <c r="J417">
        <v>107.11870463503099</v>
      </c>
      <c r="K417">
        <v>27.532506582422499</v>
      </c>
      <c r="L417" t="s">
        <v>27</v>
      </c>
      <c r="M417" t="s">
        <v>37</v>
      </c>
      <c r="N417">
        <v>37</v>
      </c>
      <c r="O417">
        <v>69.9119899878566</v>
      </c>
      <c r="P417">
        <v>16.465826304866098</v>
      </c>
      <c r="Q417" t="s">
        <v>31</v>
      </c>
      <c r="R417">
        <v>415</v>
      </c>
      <c r="S417">
        <v>71.802329786282499</v>
      </c>
    </row>
    <row r="418" spans="1:19" x14ac:dyDescent="0.25">
      <c r="A418">
        <v>6536</v>
      </c>
      <c r="B418">
        <v>133.56797481171799</v>
      </c>
      <c r="C418">
        <v>1.6633723823011599</v>
      </c>
      <c r="D418">
        <v>33.640415492256899</v>
      </c>
      <c r="E418">
        <v>31.6816554897866</v>
      </c>
      <c r="F418">
        <v>12.896198610989901</v>
      </c>
      <c r="G418">
        <v>0.80561063327151805</v>
      </c>
      <c r="H418">
        <v>0.75213800322375102</v>
      </c>
      <c r="I418">
        <v>2.8483136622098599</v>
      </c>
      <c r="J418">
        <v>94.831880112248996</v>
      </c>
      <c r="K418">
        <v>17.504490364939301</v>
      </c>
      <c r="L418" t="s">
        <v>19</v>
      </c>
      <c r="M418" t="s">
        <v>32</v>
      </c>
      <c r="N418">
        <v>36</v>
      </c>
      <c r="O418">
        <v>75.944691061861406</v>
      </c>
      <c r="P418">
        <v>26.424638508736901</v>
      </c>
      <c r="Q418" t="s">
        <v>25</v>
      </c>
      <c r="R418">
        <v>416</v>
      </c>
      <c r="S418">
        <v>71.260694215340905</v>
      </c>
    </row>
    <row r="419" spans="1:19" x14ac:dyDescent="0.25">
      <c r="A419">
        <v>4913</v>
      </c>
      <c r="B419">
        <v>134.25555526980301</v>
      </c>
      <c r="C419">
        <v>1.6502371798054101</v>
      </c>
      <c r="D419">
        <v>85.194245909683303</v>
      </c>
      <c r="E419">
        <v>34.7046051447252</v>
      </c>
      <c r="F419">
        <v>18.471132584523101</v>
      </c>
      <c r="G419">
        <v>0.58017486545831298</v>
      </c>
      <c r="H419">
        <v>0.88261908295231795</v>
      </c>
      <c r="I419">
        <v>7.6350490952484398</v>
      </c>
      <c r="J419">
        <v>106.87572305365801</v>
      </c>
      <c r="K419">
        <v>43.928753457076503</v>
      </c>
      <c r="L419" t="s">
        <v>19</v>
      </c>
      <c r="M419" t="s">
        <v>26</v>
      </c>
      <c r="N419">
        <v>34</v>
      </c>
      <c r="O419">
        <v>63.010459094719202</v>
      </c>
      <c r="P419">
        <v>20.775245115225601</v>
      </c>
      <c r="Q419" t="s">
        <v>24</v>
      </c>
      <c r="R419">
        <v>417</v>
      </c>
      <c r="S419">
        <v>79.823488154510301</v>
      </c>
    </row>
    <row r="420" spans="1:19" x14ac:dyDescent="0.25">
      <c r="A420">
        <v>2066</v>
      </c>
      <c r="B420">
        <v>149.55259087273899</v>
      </c>
      <c r="C420">
        <v>1.8111035720216999</v>
      </c>
      <c r="D420">
        <v>68.110825711159904</v>
      </c>
      <c r="E420">
        <v>32.863823224941399</v>
      </c>
      <c r="F420">
        <v>15.040208095241301</v>
      </c>
      <c r="G420">
        <v>0.76372769126654305</v>
      </c>
      <c r="H420">
        <v>0.62997237988649202</v>
      </c>
      <c r="I420">
        <v>7.2974176943890301</v>
      </c>
      <c r="J420">
        <v>73.655467101079907</v>
      </c>
      <c r="K420">
        <v>82.766947777296096</v>
      </c>
      <c r="L420" t="s">
        <v>34</v>
      </c>
      <c r="M420" t="s">
        <v>36</v>
      </c>
      <c r="N420">
        <v>19</v>
      </c>
      <c r="O420">
        <v>57.069256321285998</v>
      </c>
      <c r="P420">
        <v>8.0003051248329307</v>
      </c>
      <c r="Q420" t="s">
        <v>21</v>
      </c>
      <c r="R420">
        <v>418</v>
      </c>
      <c r="S420">
        <v>84.110369635237404</v>
      </c>
    </row>
    <row r="421" spans="1:19" x14ac:dyDescent="0.25">
      <c r="A421">
        <v>8723</v>
      </c>
      <c r="B421">
        <v>136.03891771614599</v>
      </c>
      <c r="C421">
        <v>0.93058344110961499</v>
      </c>
      <c r="D421">
        <v>78.392199440482301</v>
      </c>
      <c r="E421">
        <v>33.265870168348997</v>
      </c>
      <c r="F421">
        <v>30.520510390295499</v>
      </c>
      <c r="G421">
        <v>0.52191392331403796</v>
      </c>
      <c r="H421">
        <v>0.90105863498857097</v>
      </c>
      <c r="I421">
        <v>3.2164366069285499</v>
      </c>
      <c r="J421">
        <v>95.187624436919094</v>
      </c>
      <c r="K421">
        <v>32.923994081675701</v>
      </c>
      <c r="L421" t="s">
        <v>34</v>
      </c>
      <c r="M421" t="s">
        <v>28</v>
      </c>
      <c r="N421">
        <v>20</v>
      </c>
      <c r="O421">
        <v>68.814290625621197</v>
      </c>
      <c r="P421">
        <v>12.3380133246249</v>
      </c>
      <c r="Q421" t="s">
        <v>31</v>
      </c>
      <c r="R421">
        <v>419</v>
      </c>
      <c r="S421">
        <v>68.197033830109007</v>
      </c>
    </row>
    <row r="422" spans="1:19" x14ac:dyDescent="0.25">
      <c r="A422">
        <v>5380</v>
      </c>
      <c r="B422">
        <v>149.65280154431099</v>
      </c>
      <c r="C422">
        <v>2.0195558937101299</v>
      </c>
      <c r="D422">
        <v>52.722340788204598</v>
      </c>
      <c r="E422">
        <v>34.481702296853697</v>
      </c>
      <c r="F422">
        <v>21.424451530383799</v>
      </c>
      <c r="G422">
        <v>1.82344899410818</v>
      </c>
      <c r="H422">
        <v>0.94624005641341302</v>
      </c>
      <c r="I422">
        <v>9.1306698027651301</v>
      </c>
      <c r="J422">
        <v>34.006455935893598</v>
      </c>
      <c r="K422">
        <v>30.4884873697338</v>
      </c>
      <c r="L422" t="s">
        <v>19</v>
      </c>
      <c r="M422" t="s">
        <v>26</v>
      </c>
      <c r="N422">
        <v>20</v>
      </c>
      <c r="O422">
        <v>66.7250873072378</v>
      </c>
      <c r="P422">
        <v>3.7486667997339902</v>
      </c>
      <c r="Q422" t="s">
        <v>31</v>
      </c>
      <c r="R422">
        <v>420</v>
      </c>
      <c r="S422">
        <v>88.929568264398299</v>
      </c>
    </row>
    <row r="423" spans="1:19" x14ac:dyDescent="0.25">
      <c r="A423">
        <v>5107</v>
      </c>
      <c r="B423">
        <v>133.385668397828</v>
      </c>
      <c r="C423">
        <v>1.4621178567322699</v>
      </c>
      <c r="D423">
        <v>95.589298633154996</v>
      </c>
      <c r="E423">
        <v>31.761653709486598</v>
      </c>
      <c r="F423">
        <v>20.270403354764099</v>
      </c>
      <c r="G423">
        <v>0.91493639537083205</v>
      </c>
      <c r="H423">
        <v>0.45835062747137301</v>
      </c>
      <c r="I423">
        <v>1.9393431227454601</v>
      </c>
      <c r="J423">
        <v>54.827461536319099</v>
      </c>
      <c r="K423">
        <v>87.736558893077998</v>
      </c>
      <c r="L423" t="s">
        <v>34</v>
      </c>
      <c r="M423" t="s">
        <v>20</v>
      </c>
      <c r="N423">
        <v>23</v>
      </c>
      <c r="O423">
        <v>60.685755327943397</v>
      </c>
      <c r="P423">
        <v>22.921972556071001</v>
      </c>
      <c r="Q423" t="s">
        <v>25</v>
      </c>
      <c r="R423">
        <v>421</v>
      </c>
      <c r="S423">
        <v>69.987896492213906</v>
      </c>
    </row>
    <row r="424" spans="1:19" x14ac:dyDescent="0.25">
      <c r="A424">
        <v>6726</v>
      </c>
      <c r="B424">
        <v>136.57270380632099</v>
      </c>
      <c r="C424">
        <v>1.8352403086205999</v>
      </c>
      <c r="D424">
        <v>90.834493281177004</v>
      </c>
      <c r="E424">
        <v>33.714589077167098</v>
      </c>
      <c r="F424">
        <v>26.445769123939002</v>
      </c>
      <c r="G424">
        <v>0.64150274895386095</v>
      </c>
      <c r="H424">
        <v>0.52817925339167204</v>
      </c>
      <c r="I424">
        <v>9.8441941563219295</v>
      </c>
      <c r="J424">
        <v>58.954916448152197</v>
      </c>
      <c r="K424">
        <v>16.875308463794401</v>
      </c>
      <c r="L424" t="s">
        <v>22</v>
      </c>
      <c r="M424" t="s">
        <v>26</v>
      </c>
      <c r="N424">
        <v>27</v>
      </c>
      <c r="O424">
        <v>77.888736089742906</v>
      </c>
      <c r="P424">
        <v>23.775998734246599</v>
      </c>
      <c r="Q424" t="s">
        <v>21</v>
      </c>
      <c r="R424">
        <v>422</v>
      </c>
      <c r="S424">
        <v>83.593436704833195</v>
      </c>
    </row>
    <row r="425" spans="1:19" x14ac:dyDescent="0.25">
      <c r="A425">
        <v>4373</v>
      </c>
      <c r="B425">
        <v>95.035986309357796</v>
      </c>
      <c r="C425">
        <v>0.96407138347992205</v>
      </c>
      <c r="D425">
        <v>81.670886060237706</v>
      </c>
      <c r="E425">
        <v>32.292126292244497</v>
      </c>
      <c r="F425">
        <v>16.391244485720499</v>
      </c>
      <c r="G425">
        <v>1.00713411382867</v>
      </c>
      <c r="H425">
        <v>0.92270886331515101</v>
      </c>
      <c r="I425">
        <v>8.7422302987971801</v>
      </c>
      <c r="J425">
        <v>71.129574624603407</v>
      </c>
      <c r="K425">
        <v>73.933661279531506</v>
      </c>
      <c r="L425" t="s">
        <v>22</v>
      </c>
      <c r="M425" t="s">
        <v>32</v>
      </c>
      <c r="N425">
        <v>39</v>
      </c>
      <c r="O425">
        <v>57.6883636601018</v>
      </c>
      <c r="P425">
        <v>10.5250760009922</v>
      </c>
      <c r="Q425" t="s">
        <v>24</v>
      </c>
      <c r="R425">
        <v>423</v>
      </c>
      <c r="S425">
        <v>63.405612046811598</v>
      </c>
    </row>
    <row r="426" spans="1:19" x14ac:dyDescent="0.25">
      <c r="A426">
        <v>9945</v>
      </c>
      <c r="B426">
        <v>153.32655349404899</v>
      </c>
      <c r="C426">
        <v>0.72312061699196695</v>
      </c>
      <c r="D426">
        <v>67.409655062731105</v>
      </c>
      <c r="E426">
        <v>32.841396773226698</v>
      </c>
      <c r="F426">
        <v>18.165679809977199</v>
      </c>
      <c r="G426">
        <v>0.77696510025169196</v>
      </c>
      <c r="H426">
        <v>0.92708022756476205</v>
      </c>
      <c r="I426">
        <v>7.1910878093116697</v>
      </c>
      <c r="J426">
        <v>112.907636025682</v>
      </c>
      <c r="K426">
        <v>39.102746680565197</v>
      </c>
      <c r="L426" t="s">
        <v>27</v>
      </c>
      <c r="M426" t="s">
        <v>26</v>
      </c>
      <c r="N426">
        <v>35</v>
      </c>
      <c r="O426">
        <v>67.137080012056401</v>
      </c>
      <c r="P426">
        <v>36.438818718583597</v>
      </c>
      <c r="Q426" t="s">
        <v>21</v>
      </c>
      <c r="R426">
        <v>424</v>
      </c>
      <c r="S426">
        <v>90.886338896102501</v>
      </c>
    </row>
    <row r="427" spans="1:19" x14ac:dyDescent="0.25">
      <c r="A427">
        <v>3082</v>
      </c>
      <c r="B427">
        <v>141.92976951795899</v>
      </c>
      <c r="C427">
        <v>1.9089448290125099</v>
      </c>
      <c r="D427">
        <v>81.597145705902605</v>
      </c>
      <c r="E427">
        <v>33.086734758461098</v>
      </c>
      <c r="F427">
        <v>22.3403613462431</v>
      </c>
      <c r="G427">
        <v>1.5399546568639799</v>
      </c>
      <c r="H427">
        <v>0.45373900146271701</v>
      </c>
      <c r="I427">
        <v>9.4487489945184908</v>
      </c>
      <c r="J427">
        <v>107.429656022217</v>
      </c>
      <c r="K427">
        <v>17.811596765224401</v>
      </c>
      <c r="L427" t="s">
        <v>34</v>
      </c>
      <c r="M427" t="s">
        <v>36</v>
      </c>
      <c r="N427">
        <v>35</v>
      </c>
      <c r="O427">
        <v>69.454610300642003</v>
      </c>
      <c r="P427">
        <v>37.503088456093302</v>
      </c>
      <c r="Q427" t="s">
        <v>25</v>
      </c>
      <c r="R427">
        <v>425</v>
      </c>
      <c r="S427">
        <v>91.777371457476605</v>
      </c>
    </row>
    <row r="428" spans="1:19" x14ac:dyDescent="0.25">
      <c r="A428">
        <v>9967</v>
      </c>
      <c r="B428">
        <v>154.96020219719301</v>
      </c>
      <c r="C428">
        <v>1.68820476304875</v>
      </c>
      <c r="D428">
        <v>55.862148640252997</v>
      </c>
      <c r="E428">
        <v>31.199733766263599</v>
      </c>
      <c r="F428">
        <v>27.143844957117398</v>
      </c>
      <c r="G428">
        <v>1.94819584139388</v>
      </c>
      <c r="H428">
        <v>0.40824917520742499</v>
      </c>
      <c r="I428">
        <v>7.5008005149133696</v>
      </c>
      <c r="J428">
        <v>33.4525492289184</v>
      </c>
      <c r="K428">
        <v>83.835190515718693</v>
      </c>
      <c r="L428" t="s">
        <v>27</v>
      </c>
      <c r="M428" t="s">
        <v>35</v>
      </c>
      <c r="N428">
        <v>31</v>
      </c>
      <c r="O428">
        <v>70.471779196118604</v>
      </c>
      <c r="P428">
        <v>18.182476266105201</v>
      </c>
      <c r="Q428" t="s">
        <v>31</v>
      </c>
      <c r="R428">
        <v>426</v>
      </c>
      <c r="S428">
        <v>94.511294243944803</v>
      </c>
    </row>
    <row r="429" spans="1:19" x14ac:dyDescent="0.25">
      <c r="A429">
        <v>7748</v>
      </c>
      <c r="B429">
        <v>77.074892436126206</v>
      </c>
      <c r="C429">
        <v>1.04897422282124</v>
      </c>
      <c r="D429">
        <v>87.111113180414193</v>
      </c>
      <c r="E429">
        <v>32.065395548615399</v>
      </c>
      <c r="F429">
        <v>24.508425225843901</v>
      </c>
      <c r="G429">
        <v>0.98846058205576404</v>
      </c>
      <c r="H429">
        <v>0.48860501279103202</v>
      </c>
      <c r="I429">
        <v>2.7141129732704101</v>
      </c>
      <c r="J429">
        <v>37.278965188246303</v>
      </c>
      <c r="K429">
        <v>25.473174765718699</v>
      </c>
      <c r="L429" t="s">
        <v>34</v>
      </c>
      <c r="M429" t="s">
        <v>36</v>
      </c>
      <c r="N429">
        <v>33</v>
      </c>
      <c r="O429">
        <v>77.045385685311103</v>
      </c>
      <c r="P429">
        <v>11.621059591199501</v>
      </c>
      <c r="Q429" t="s">
        <v>25</v>
      </c>
      <c r="R429">
        <v>427</v>
      </c>
      <c r="S429">
        <v>44.1000048933927</v>
      </c>
    </row>
    <row r="430" spans="1:19" x14ac:dyDescent="0.25">
      <c r="A430">
        <v>1417</v>
      </c>
      <c r="B430">
        <v>176.76749409561401</v>
      </c>
      <c r="C430">
        <v>1.06516845936265</v>
      </c>
      <c r="D430">
        <v>102.989617886478</v>
      </c>
      <c r="E430">
        <v>34.621287470895702</v>
      </c>
      <c r="F430">
        <v>23.241625712579399</v>
      </c>
      <c r="G430">
        <v>1.7498601199500301</v>
      </c>
      <c r="H430">
        <v>0.94780703086023599</v>
      </c>
      <c r="I430">
        <v>4.9794052430153002</v>
      </c>
      <c r="J430">
        <v>55.764054958891101</v>
      </c>
      <c r="K430">
        <v>56.383446279427098</v>
      </c>
      <c r="L430" t="s">
        <v>34</v>
      </c>
      <c r="M430" t="s">
        <v>32</v>
      </c>
      <c r="N430">
        <v>24</v>
      </c>
      <c r="O430">
        <v>66.079709471994704</v>
      </c>
      <c r="P430">
        <v>20.190409515453101</v>
      </c>
      <c r="Q430" t="s">
        <v>29</v>
      </c>
      <c r="R430">
        <v>428</v>
      </c>
      <c r="S430">
        <v>92.042397265618007</v>
      </c>
    </row>
    <row r="431" spans="1:19" x14ac:dyDescent="0.25">
      <c r="A431">
        <v>9306</v>
      </c>
      <c r="B431">
        <v>132.208207436896</v>
      </c>
      <c r="C431">
        <v>2.06271739220738</v>
      </c>
      <c r="D431">
        <v>91.412211199583695</v>
      </c>
      <c r="E431">
        <v>34.063429426301703</v>
      </c>
      <c r="F431">
        <v>22.390588676179998</v>
      </c>
      <c r="G431">
        <v>1.21855353240731</v>
      </c>
      <c r="H431">
        <v>0.498999789135877</v>
      </c>
      <c r="I431">
        <v>1.6435272189847101</v>
      </c>
      <c r="J431">
        <v>49.074386589067302</v>
      </c>
      <c r="K431">
        <v>35.554065557215999</v>
      </c>
      <c r="L431" t="s">
        <v>22</v>
      </c>
      <c r="M431" t="s">
        <v>37</v>
      </c>
      <c r="N431">
        <v>18</v>
      </c>
      <c r="O431">
        <v>48</v>
      </c>
      <c r="P431">
        <v>11.431744480418599</v>
      </c>
      <c r="Q431" t="s">
        <v>31</v>
      </c>
      <c r="R431">
        <v>429</v>
      </c>
      <c r="S431">
        <v>63.3960731084522</v>
      </c>
    </row>
    <row r="432" spans="1:19" x14ac:dyDescent="0.25">
      <c r="A432">
        <v>9808</v>
      </c>
      <c r="B432">
        <v>157.16365633474999</v>
      </c>
      <c r="C432">
        <v>0.90529405356633597</v>
      </c>
      <c r="D432">
        <v>55.407950603851802</v>
      </c>
      <c r="E432">
        <v>32.924832507207299</v>
      </c>
      <c r="F432">
        <v>24.001179277633799</v>
      </c>
      <c r="G432">
        <v>0.48302419716961997</v>
      </c>
      <c r="H432">
        <v>0.676401183697112</v>
      </c>
      <c r="I432">
        <v>4.5069168005930296</v>
      </c>
      <c r="J432">
        <v>81.477095315626201</v>
      </c>
      <c r="K432">
        <v>19.889460163851801</v>
      </c>
      <c r="L432" t="s">
        <v>19</v>
      </c>
      <c r="M432" t="s">
        <v>35</v>
      </c>
      <c r="N432">
        <v>34</v>
      </c>
      <c r="O432">
        <v>64.905782217043097</v>
      </c>
      <c r="P432">
        <v>25.6002583693361</v>
      </c>
      <c r="Q432" t="s">
        <v>25</v>
      </c>
      <c r="R432">
        <v>430</v>
      </c>
      <c r="S432">
        <v>82.241707009247804</v>
      </c>
    </row>
    <row r="433" spans="1:19" x14ac:dyDescent="0.25">
      <c r="A433">
        <v>4974</v>
      </c>
      <c r="B433">
        <v>114.20188145748899</v>
      </c>
      <c r="C433">
        <v>2.3213364766279798</v>
      </c>
      <c r="D433">
        <v>77.228346345462</v>
      </c>
      <c r="E433">
        <v>33.291748150215398</v>
      </c>
      <c r="F433">
        <v>23.008264525646201</v>
      </c>
      <c r="G433">
        <v>1.4431209357464101</v>
      </c>
      <c r="H433">
        <v>0.86662974953678096</v>
      </c>
      <c r="I433">
        <v>7.67442717763487</v>
      </c>
      <c r="J433">
        <v>110.277604776454</v>
      </c>
      <c r="K433">
        <v>18.744186424753401</v>
      </c>
      <c r="L433" t="s">
        <v>34</v>
      </c>
      <c r="M433" t="s">
        <v>20</v>
      </c>
      <c r="N433">
        <v>22</v>
      </c>
      <c r="O433">
        <v>73.805306133245097</v>
      </c>
      <c r="P433">
        <v>19.330874048223802</v>
      </c>
      <c r="Q433" t="s">
        <v>24</v>
      </c>
      <c r="R433">
        <v>431</v>
      </c>
      <c r="S433">
        <v>69.382761945636503</v>
      </c>
    </row>
    <row r="434" spans="1:19" x14ac:dyDescent="0.25">
      <c r="A434">
        <v>4267</v>
      </c>
      <c r="B434">
        <v>147.25547810125099</v>
      </c>
      <c r="C434">
        <v>1.0496896326760601</v>
      </c>
      <c r="D434">
        <v>44.137169124826997</v>
      </c>
      <c r="E434">
        <v>32.646908993236202</v>
      </c>
      <c r="F434">
        <v>16.850138626115299</v>
      </c>
      <c r="G434">
        <v>1.12418209482647</v>
      </c>
      <c r="H434">
        <v>0.41122088587851302</v>
      </c>
      <c r="I434">
        <v>4.4779901583773496</v>
      </c>
      <c r="J434">
        <v>116.229154167258</v>
      </c>
      <c r="K434">
        <v>23.666752412725401</v>
      </c>
      <c r="L434" t="s">
        <v>34</v>
      </c>
      <c r="M434" t="s">
        <v>36</v>
      </c>
      <c r="N434">
        <v>18</v>
      </c>
      <c r="O434">
        <v>66.846795263832803</v>
      </c>
      <c r="P434">
        <v>19.9061893358936</v>
      </c>
      <c r="Q434" t="s">
        <v>24</v>
      </c>
      <c r="R434">
        <v>432</v>
      </c>
      <c r="S434">
        <v>79.467401159925501</v>
      </c>
    </row>
    <row r="435" spans="1:19" x14ac:dyDescent="0.25">
      <c r="A435">
        <v>1825</v>
      </c>
      <c r="B435">
        <v>113.931688736526</v>
      </c>
      <c r="C435">
        <v>1.81919596280419</v>
      </c>
      <c r="D435">
        <v>81.447806223513496</v>
      </c>
      <c r="E435">
        <v>34.627900062993497</v>
      </c>
      <c r="F435">
        <v>22.230396108165699</v>
      </c>
      <c r="G435">
        <v>1.37109174185378</v>
      </c>
      <c r="H435">
        <v>0.73246894024215203</v>
      </c>
      <c r="I435">
        <v>3.9726475792131999</v>
      </c>
      <c r="J435">
        <v>85.360295253522594</v>
      </c>
      <c r="K435">
        <v>20.352526041703499</v>
      </c>
      <c r="L435" t="s">
        <v>34</v>
      </c>
      <c r="M435" t="s">
        <v>35</v>
      </c>
      <c r="N435">
        <v>38</v>
      </c>
      <c r="O435">
        <v>66.906007649301699</v>
      </c>
      <c r="P435">
        <v>32.073326443761701</v>
      </c>
      <c r="Q435" t="s">
        <v>24</v>
      </c>
      <c r="R435">
        <v>433</v>
      </c>
      <c r="S435">
        <v>65.665293301928102</v>
      </c>
    </row>
    <row r="436" spans="1:19" x14ac:dyDescent="0.25">
      <c r="A436">
        <v>8668</v>
      </c>
      <c r="B436">
        <v>122.52462078608301</v>
      </c>
      <c r="C436">
        <v>1.3356907621255001</v>
      </c>
      <c r="D436">
        <v>79.012068257250704</v>
      </c>
      <c r="E436">
        <v>32.759576906646998</v>
      </c>
      <c r="F436">
        <v>16.631556705411199</v>
      </c>
      <c r="G436">
        <v>1.80143734262899</v>
      </c>
      <c r="H436">
        <v>0.55236399687829296</v>
      </c>
      <c r="I436">
        <v>6.3582015025927996</v>
      </c>
      <c r="J436">
        <v>103.81592014010801</v>
      </c>
      <c r="K436">
        <v>72.041858663994205</v>
      </c>
      <c r="L436" t="s">
        <v>19</v>
      </c>
      <c r="M436" t="s">
        <v>23</v>
      </c>
      <c r="N436">
        <v>34</v>
      </c>
      <c r="O436">
        <v>72.2097065726078</v>
      </c>
      <c r="P436">
        <v>13.0478133902033</v>
      </c>
      <c r="Q436" t="s">
        <v>29</v>
      </c>
      <c r="R436">
        <v>434</v>
      </c>
      <c r="S436">
        <v>73.564201941064297</v>
      </c>
    </row>
    <row r="437" spans="1:19" x14ac:dyDescent="0.25">
      <c r="A437">
        <v>6745</v>
      </c>
      <c r="B437">
        <v>173.280627077335</v>
      </c>
      <c r="C437">
        <v>1.8015937155411701</v>
      </c>
      <c r="D437">
        <v>32.6036732093567</v>
      </c>
      <c r="E437">
        <v>33.278210510561799</v>
      </c>
      <c r="F437">
        <v>22.405412714504099</v>
      </c>
      <c r="G437">
        <v>0.99278222718088305</v>
      </c>
      <c r="H437">
        <v>0.87428420404185203</v>
      </c>
      <c r="I437">
        <v>8.84984076099005</v>
      </c>
      <c r="J437">
        <v>72.520220023079702</v>
      </c>
      <c r="K437">
        <v>51.417465171257099</v>
      </c>
      <c r="L437" t="s">
        <v>27</v>
      </c>
      <c r="M437" t="s">
        <v>36</v>
      </c>
      <c r="N437">
        <v>27</v>
      </c>
      <c r="O437">
        <v>73.264346885843196</v>
      </c>
      <c r="P437">
        <v>13.368072865154801</v>
      </c>
      <c r="Q437" t="s">
        <v>21</v>
      </c>
      <c r="R437">
        <v>435</v>
      </c>
      <c r="S437">
        <v>101.58556289736499</v>
      </c>
    </row>
    <row r="438" spans="1:19" x14ac:dyDescent="0.25">
      <c r="A438">
        <v>1412</v>
      </c>
      <c r="B438">
        <v>131.18635198473299</v>
      </c>
      <c r="C438">
        <v>1.2279429989429</v>
      </c>
      <c r="D438">
        <v>46.764323121752703</v>
      </c>
      <c r="E438">
        <v>34.375236172970403</v>
      </c>
      <c r="F438">
        <v>19.596760292558699</v>
      </c>
      <c r="G438">
        <v>1.8221197217912399</v>
      </c>
      <c r="H438">
        <v>0.55590363209524296</v>
      </c>
      <c r="I438">
        <v>1.42824873291501</v>
      </c>
      <c r="J438">
        <v>40.832694686003897</v>
      </c>
      <c r="K438">
        <v>40.716906851173398</v>
      </c>
      <c r="L438" t="s">
        <v>27</v>
      </c>
      <c r="M438" t="s">
        <v>35</v>
      </c>
      <c r="N438">
        <v>29</v>
      </c>
      <c r="O438">
        <v>53.7089055054238</v>
      </c>
      <c r="P438">
        <v>24.866963675323099</v>
      </c>
      <c r="Q438" t="s">
        <v>24</v>
      </c>
      <c r="R438">
        <v>436</v>
      </c>
      <c r="S438">
        <v>69.266745610197702</v>
      </c>
    </row>
    <row r="439" spans="1:19" x14ac:dyDescent="0.25">
      <c r="A439">
        <v>8543</v>
      </c>
      <c r="B439">
        <v>139.34865746359401</v>
      </c>
      <c r="C439">
        <v>1.41860354696385</v>
      </c>
      <c r="D439">
        <v>64.337222065124607</v>
      </c>
      <c r="E439">
        <v>32.067154218184903</v>
      </c>
      <c r="F439">
        <v>34.696908113914297</v>
      </c>
      <c r="G439">
        <v>1.55120422570697</v>
      </c>
      <c r="H439">
        <v>0.77771564615504896</v>
      </c>
      <c r="I439">
        <v>4.4692339122976099</v>
      </c>
      <c r="J439">
        <v>72.468841209347701</v>
      </c>
      <c r="K439">
        <v>46.377668259900503</v>
      </c>
      <c r="L439" t="s">
        <v>34</v>
      </c>
      <c r="M439" t="s">
        <v>33</v>
      </c>
      <c r="N439">
        <v>37</v>
      </c>
      <c r="O439">
        <v>67.8505269530026</v>
      </c>
      <c r="P439">
        <v>14.624020986132599</v>
      </c>
      <c r="Q439" t="s">
        <v>29</v>
      </c>
      <c r="R439">
        <v>437</v>
      </c>
      <c r="S439">
        <v>72.712911516519199</v>
      </c>
    </row>
    <row r="440" spans="1:19" x14ac:dyDescent="0.25">
      <c r="A440">
        <v>8587</v>
      </c>
      <c r="B440">
        <v>152.401354613775</v>
      </c>
      <c r="C440">
        <v>1.5204595876978599</v>
      </c>
      <c r="D440">
        <v>63.982805057183398</v>
      </c>
      <c r="E440">
        <v>34.870547021396199</v>
      </c>
      <c r="F440">
        <v>21.800528081241399</v>
      </c>
      <c r="G440">
        <v>1.0794888665803699</v>
      </c>
      <c r="H440">
        <v>0.77082079784606805</v>
      </c>
      <c r="I440">
        <v>2.4241666763373599</v>
      </c>
      <c r="J440">
        <v>75.508260143765099</v>
      </c>
      <c r="K440">
        <v>84.671005167946703</v>
      </c>
      <c r="L440" t="s">
        <v>34</v>
      </c>
      <c r="M440" t="s">
        <v>37</v>
      </c>
      <c r="N440">
        <v>19</v>
      </c>
      <c r="O440">
        <v>66.438286230705401</v>
      </c>
      <c r="P440">
        <v>30.8306513748913</v>
      </c>
      <c r="Q440" t="s">
        <v>24</v>
      </c>
      <c r="R440">
        <v>438</v>
      </c>
      <c r="S440">
        <v>82.979044862336906</v>
      </c>
    </row>
    <row r="441" spans="1:19" x14ac:dyDescent="0.25">
      <c r="A441">
        <v>1728</v>
      </c>
      <c r="B441">
        <v>144.913637759452</v>
      </c>
      <c r="C441">
        <v>0.99890627210926297</v>
      </c>
      <c r="D441">
        <v>45.810461291623803</v>
      </c>
      <c r="E441">
        <v>31.163446308307901</v>
      </c>
      <c r="F441">
        <v>14.978802168692001</v>
      </c>
      <c r="G441">
        <v>1.2857998441843299</v>
      </c>
      <c r="H441">
        <v>0.52182145187280204</v>
      </c>
      <c r="I441">
        <v>7.2581882565868199</v>
      </c>
      <c r="J441">
        <v>94.245756421355594</v>
      </c>
      <c r="K441">
        <v>83.306385955360994</v>
      </c>
      <c r="L441" t="s">
        <v>27</v>
      </c>
      <c r="M441" t="s">
        <v>28</v>
      </c>
      <c r="N441">
        <v>33</v>
      </c>
      <c r="O441">
        <v>68.600955008493997</v>
      </c>
      <c r="P441">
        <v>26.003973091924401</v>
      </c>
      <c r="Q441" t="s">
        <v>29</v>
      </c>
      <c r="R441">
        <v>439</v>
      </c>
      <c r="S441">
        <v>82.710332113888796</v>
      </c>
    </row>
    <row r="442" spans="1:19" x14ac:dyDescent="0.25">
      <c r="A442">
        <v>8164</v>
      </c>
      <c r="B442">
        <v>138.00837810287101</v>
      </c>
      <c r="C442">
        <v>1.87041217271006</v>
      </c>
      <c r="D442">
        <v>77.779574587043598</v>
      </c>
      <c r="E442">
        <v>34.955570557335299</v>
      </c>
      <c r="F442">
        <v>21.3290989466153</v>
      </c>
      <c r="G442">
        <v>0.78604603853421995</v>
      </c>
      <c r="H442">
        <v>0.419139559927592</v>
      </c>
      <c r="I442">
        <v>1.95152104388021</v>
      </c>
      <c r="J442">
        <v>41.988298970734903</v>
      </c>
      <c r="K442">
        <v>68.675736009193201</v>
      </c>
      <c r="L442" t="s">
        <v>27</v>
      </c>
      <c r="M442" t="s">
        <v>26</v>
      </c>
      <c r="N442">
        <v>32</v>
      </c>
      <c r="O442">
        <v>52.241950590455602</v>
      </c>
      <c r="P442">
        <v>15.029111143478699</v>
      </c>
      <c r="Q442" t="s">
        <v>24</v>
      </c>
      <c r="R442">
        <v>440</v>
      </c>
      <c r="S442">
        <v>69.805530506384898</v>
      </c>
    </row>
    <row r="443" spans="1:19" x14ac:dyDescent="0.25">
      <c r="A443">
        <v>9867</v>
      </c>
      <c r="B443">
        <v>142.29922004932399</v>
      </c>
      <c r="C443">
        <v>1.2433932167641999</v>
      </c>
      <c r="D443">
        <v>75.029472178810195</v>
      </c>
      <c r="E443">
        <v>32.552789299257597</v>
      </c>
      <c r="F443">
        <v>24.5967937281894</v>
      </c>
      <c r="G443">
        <v>1.9704751395297899</v>
      </c>
      <c r="H443">
        <v>0.62508726558196803</v>
      </c>
      <c r="I443">
        <v>6.9832698272222</v>
      </c>
      <c r="J443">
        <v>56.8310382086731</v>
      </c>
      <c r="K443">
        <v>81.351178306626494</v>
      </c>
      <c r="L443" t="s">
        <v>22</v>
      </c>
      <c r="M443" t="s">
        <v>35</v>
      </c>
      <c r="N443">
        <v>30</v>
      </c>
      <c r="O443">
        <v>78.584682022486803</v>
      </c>
      <c r="P443">
        <v>3.5074653454888298</v>
      </c>
      <c r="Q443" t="s">
        <v>21</v>
      </c>
      <c r="R443">
        <v>441</v>
      </c>
      <c r="S443">
        <v>79.6074804116233</v>
      </c>
    </row>
    <row r="444" spans="1:19" x14ac:dyDescent="0.25">
      <c r="A444">
        <v>6988</v>
      </c>
      <c r="B444">
        <v>183.06831170476499</v>
      </c>
      <c r="C444">
        <v>1.3857000423299899</v>
      </c>
      <c r="D444">
        <v>66.114617360429605</v>
      </c>
      <c r="E444">
        <v>32.708761502609597</v>
      </c>
      <c r="F444">
        <v>30.3668197307626</v>
      </c>
      <c r="G444">
        <v>1.4012320934907101</v>
      </c>
      <c r="H444">
        <v>0.55905623358122802</v>
      </c>
      <c r="I444">
        <v>3.5756278371811598</v>
      </c>
      <c r="J444">
        <v>56.402746921456597</v>
      </c>
      <c r="K444">
        <v>38.973602069071802</v>
      </c>
      <c r="L444" t="s">
        <v>34</v>
      </c>
      <c r="M444" t="s">
        <v>28</v>
      </c>
      <c r="N444">
        <v>35</v>
      </c>
      <c r="O444">
        <v>68.053790657062706</v>
      </c>
      <c r="P444">
        <v>6.3820516323335204</v>
      </c>
      <c r="Q444" t="s">
        <v>25</v>
      </c>
      <c r="R444">
        <v>442</v>
      </c>
      <c r="S444">
        <v>91.356990354693295</v>
      </c>
    </row>
    <row r="445" spans="1:19" x14ac:dyDescent="0.25">
      <c r="A445">
        <v>3504</v>
      </c>
      <c r="B445">
        <v>133.84762405932801</v>
      </c>
      <c r="C445">
        <v>1.00282531269574</v>
      </c>
      <c r="D445">
        <v>54.884169996832703</v>
      </c>
      <c r="E445">
        <v>30.731987794580402</v>
      </c>
      <c r="F445">
        <v>19.052738000306402</v>
      </c>
      <c r="G445">
        <v>0.278924334493933</v>
      </c>
      <c r="H445">
        <v>0.84493776228753903</v>
      </c>
      <c r="I445">
        <v>2.7902513236350202</v>
      </c>
      <c r="J445">
        <v>115.94395957411599</v>
      </c>
      <c r="K445">
        <v>43.583199450621201</v>
      </c>
      <c r="L445" t="s">
        <v>27</v>
      </c>
      <c r="M445" t="s">
        <v>36</v>
      </c>
      <c r="N445">
        <v>37</v>
      </c>
      <c r="O445">
        <v>71.399938720371495</v>
      </c>
      <c r="P445">
        <v>14.145871510060299</v>
      </c>
      <c r="Q445" t="s">
        <v>24</v>
      </c>
      <c r="R445">
        <v>443</v>
      </c>
      <c r="S445">
        <v>70.385202203362496</v>
      </c>
    </row>
    <row r="446" spans="1:19" x14ac:dyDescent="0.25">
      <c r="A446">
        <v>3967</v>
      </c>
      <c r="B446">
        <v>139.02198093429899</v>
      </c>
      <c r="C446">
        <v>0.218833170602344</v>
      </c>
      <c r="D446">
        <v>90.9741425283312</v>
      </c>
      <c r="E446">
        <v>32.4542463391467</v>
      </c>
      <c r="F446">
        <v>14.0878601298818</v>
      </c>
      <c r="G446">
        <v>0.78791943034641498</v>
      </c>
      <c r="H446">
        <v>0.84020030365043996</v>
      </c>
      <c r="I446">
        <v>9.4271730204248598</v>
      </c>
      <c r="J446">
        <v>64.394496032671896</v>
      </c>
      <c r="K446">
        <v>61.028413639067097</v>
      </c>
      <c r="L446" t="s">
        <v>22</v>
      </c>
      <c r="M446" t="s">
        <v>28</v>
      </c>
      <c r="N446">
        <v>39</v>
      </c>
      <c r="O446">
        <v>82.127873712062694</v>
      </c>
      <c r="P446">
        <v>21.237678948717701</v>
      </c>
      <c r="Q446" t="s">
        <v>25</v>
      </c>
      <c r="R446">
        <v>444</v>
      </c>
      <c r="S446">
        <v>81.598582982439893</v>
      </c>
    </row>
    <row r="447" spans="1:19" x14ac:dyDescent="0.25">
      <c r="A447">
        <v>3786</v>
      </c>
      <c r="B447">
        <v>156.013087920152</v>
      </c>
      <c r="C447">
        <v>1.40448611869991</v>
      </c>
      <c r="D447">
        <v>103.108142261765</v>
      </c>
      <c r="E447">
        <v>31.752232162767701</v>
      </c>
      <c r="F447">
        <v>26.084185057154901</v>
      </c>
      <c r="G447">
        <v>1.3219659807663</v>
      </c>
      <c r="H447">
        <v>0.65136317370594399</v>
      </c>
      <c r="I447">
        <v>1.1667211907135999</v>
      </c>
      <c r="J447">
        <v>95.509396729814597</v>
      </c>
      <c r="K447">
        <v>61.771946047294797</v>
      </c>
      <c r="L447" t="s">
        <v>19</v>
      </c>
      <c r="M447" t="s">
        <v>23</v>
      </c>
      <c r="N447">
        <v>31</v>
      </c>
      <c r="O447">
        <v>71.477222379203994</v>
      </c>
      <c r="P447">
        <v>26.818216866413401</v>
      </c>
      <c r="Q447" t="s">
        <v>24</v>
      </c>
      <c r="R447">
        <v>445</v>
      </c>
      <c r="S447">
        <v>73.920035254056501</v>
      </c>
    </row>
    <row r="448" spans="1:19" x14ac:dyDescent="0.25">
      <c r="A448">
        <v>2122</v>
      </c>
      <c r="B448">
        <v>157.110518659159</v>
      </c>
      <c r="C448">
        <v>2.7063077108064499</v>
      </c>
      <c r="D448">
        <v>60.3287703230692</v>
      </c>
      <c r="E448">
        <v>32.270824385551798</v>
      </c>
      <c r="F448">
        <v>15.0970064705017</v>
      </c>
      <c r="G448">
        <v>0.30139990003863099</v>
      </c>
      <c r="H448">
        <v>0.73358172392776999</v>
      </c>
      <c r="I448">
        <v>4.9399954470061198</v>
      </c>
      <c r="J448">
        <v>95.081138137443901</v>
      </c>
      <c r="K448">
        <v>51.127487850925498</v>
      </c>
      <c r="L448" t="s">
        <v>34</v>
      </c>
      <c r="M448" t="s">
        <v>30</v>
      </c>
      <c r="N448">
        <v>35</v>
      </c>
      <c r="O448">
        <v>55.680744776276299</v>
      </c>
      <c r="P448">
        <v>16.261699203607201</v>
      </c>
      <c r="Q448" t="s">
        <v>21</v>
      </c>
      <c r="R448">
        <v>446</v>
      </c>
      <c r="S448">
        <v>86.578699803450903</v>
      </c>
    </row>
    <row r="449" spans="1:19" x14ac:dyDescent="0.25">
      <c r="A449">
        <v>5079</v>
      </c>
      <c r="B449">
        <v>158.740606111207</v>
      </c>
      <c r="C449">
        <v>1.89230214394901</v>
      </c>
      <c r="D449">
        <v>57.756661656903503</v>
      </c>
      <c r="E449">
        <v>32.835226841053299</v>
      </c>
      <c r="F449">
        <v>19.819222792462501</v>
      </c>
      <c r="G449">
        <v>0.242991544374457</v>
      </c>
      <c r="H449">
        <v>0.73234273379280801</v>
      </c>
      <c r="I449">
        <v>1.19464293215614</v>
      </c>
      <c r="J449">
        <v>46.554418480324102</v>
      </c>
      <c r="K449">
        <v>45.049338632846499</v>
      </c>
      <c r="L449" t="s">
        <v>27</v>
      </c>
      <c r="M449" t="s">
        <v>30</v>
      </c>
      <c r="N449">
        <v>19</v>
      </c>
      <c r="O449">
        <v>67.308450632388301</v>
      </c>
      <c r="P449">
        <v>10.888893863803901</v>
      </c>
      <c r="Q449" t="s">
        <v>25</v>
      </c>
      <c r="R449">
        <v>447</v>
      </c>
      <c r="S449">
        <v>75.929387259054394</v>
      </c>
    </row>
    <row r="450" spans="1:19" x14ac:dyDescent="0.25">
      <c r="A450">
        <v>2571</v>
      </c>
      <c r="B450">
        <v>147.774604440583</v>
      </c>
      <c r="C450">
        <v>1.4903698101328</v>
      </c>
      <c r="D450">
        <v>79.8241533082399</v>
      </c>
      <c r="E450">
        <v>34.149349937367397</v>
      </c>
      <c r="F450">
        <v>20.711897572445</v>
      </c>
      <c r="G450">
        <v>1.01004363115004</v>
      </c>
      <c r="H450">
        <v>0.85493698163519205</v>
      </c>
      <c r="I450">
        <v>5.3523374329389597</v>
      </c>
      <c r="J450">
        <v>77.186968937173205</v>
      </c>
      <c r="K450">
        <v>88.963523370652098</v>
      </c>
      <c r="L450" t="s">
        <v>34</v>
      </c>
      <c r="M450" t="s">
        <v>37</v>
      </c>
      <c r="N450">
        <v>19</v>
      </c>
      <c r="O450">
        <v>73.399104743318603</v>
      </c>
      <c r="P450">
        <v>16.8740655946137</v>
      </c>
      <c r="Q450" t="s">
        <v>29</v>
      </c>
      <c r="R450">
        <v>448</v>
      </c>
      <c r="S450">
        <v>79.975859713176703</v>
      </c>
    </row>
    <row r="451" spans="1:19" x14ac:dyDescent="0.25">
      <c r="A451">
        <v>6073</v>
      </c>
      <c r="B451">
        <v>112.13990174539001</v>
      </c>
      <c r="C451">
        <v>1.3685545853958601</v>
      </c>
      <c r="D451">
        <v>62.839412405060202</v>
      </c>
      <c r="E451">
        <v>33.2491240216807</v>
      </c>
      <c r="F451">
        <v>21.651832733499401</v>
      </c>
      <c r="G451">
        <v>0.79884232344680595</v>
      </c>
      <c r="H451">
        <v>0.633751327767758</v>
      </c>
      <c r="I451">
        <v>5.5094264001497599</v>
      </c>
      <c r="J451">
        <v>109.430289331864</v>
      </c>
      <c r="K451">
        <v>76.584271958829305</v>
      </c>
      <c r="L451" t="s">
        <v>22</v>
      </c>
      <c r="M451" t="s">
        <v>35</v>
      </c>
      <c r="N451">
        <v>20</v>
      </c>
      <c r="O451">
        <v>68.453029710852505</v>
      </c>
      <c r="P451">
        <v>18.162954808882599</v>
      </c>
      <c r="Q451" t="s">
        <v>24</v>
      </c>
      <c r="R451">
        <v>449</v>
      </c>
      <c r="S451">
        <v>61.8109931334496</v>
      </c>
    </row>
    <row r="452" spans="1:19" x14ac:dyDescent="0.25">
      <c r="A452">
        <v>6104</v>
      </c>
      <c r="B452">
        <v>167.668630646021</v>
      </c>
      <c r="C452">
        <v>1.5112329464060199</v>
      </c>
      <c r="D452">
        <v>67.212055986735294</v>
      </c>
      <c r="E452">
        <v>33.369211984081304</v>
      </c>
      <c r="F452">
        <v>25.445822285371602</v>
      </c>
      <c r="G452">
        <v>0.98893749445969803</v>
      </c>
      <c r="H452">
        <v>0.55149567388478005</v>
      </c>
      <c r="I452">
        <v>3.8949622425527202</v>
      </c>
      <c r="J452">
        <v>67.519771945694899</v>
      </c>
      <c r="K452">
        <v>47.623514841603303</v>
      </c>
      <c r="L452" t="s">
        <v>27</v>
      </c>
      <c r="M452" t="s">
        <v>23</v>
      </c>
      <c r="N452">
        <v>22</v>
      </c>
      <c r="O452">
        <v>81.6545717628359</v>
      </c>
      <c r="P452">
        <v>28.439562539063701</v>
      </c>
      <c r="Q452" t="s">
        <v>24</v>
      </c>
      <c r="R452">
        <v>450</v>
      </c>
      <c r="S452">
        <v>87.137085675944604</v>
      </c>
    </row>
    <row r="453" spans="1:19" x14ac:dyDescent="0.25">
      <c r="A453">
        <v>3143</v>
      </c>
      <c r="B453">
        <v>112.073092139626</v>
      </c>
      <c r="C453">
        <v>1.7735595575876</v>
      </c>
      <c r="D453">
        <v>84.7930630344934</v>
      </c>
      <c r="E453">
        <v>31.685376733385301</v>
      </c>
      <c r="F453">
        <v>18.581828588568001</v>
      </c>
      <c r="G453">
        <v>0.67284795778400897</v>
      </c>
      <c r="H453">
        <v>0.54576920497730097</v>
      </c>
      <c r="I453">
        <v>2.1894559977252102</v>
      </c>
      <c r="J453">
        <v>114.51175073425399</v>
      </c>
      <c r="K453">
        <v>69.546935792967602</v>
      </c>
      <c r="L453" t="s">
        <v>19</v>
      </c>
      <c r="M453" t="s">
        <v>26</v>
      </c>
      <c r="N453">
        <v>33</v>
      </c>
      <c r="O453">
        <v>61.152302730194101</v>
      </c>
      <c r="P453">
        <v>27.995393534375001</v>
      </c>
      <c r="Q453" t="s">
        <v>29</v>
      </c>
      <c r="R453">
        <v>451</v>
      </c>
      <c r="S453">
        <v>61.184050573929397</v>
      </c>
    </row>
    <row r="454" spans="1:19" x14ac:dyDescent="0.25">
      <c r="A454">
        <v>7806</v>
      </c>
      <c r="B454">
        <v>141.05270930478</v>
      </c>
      <c r="C454">
        <v>0.90959359234557702</v>
      </c>
      <c r="D454">
        <v>31.812878249854101</v>
      </c>
      <c r="E454">
        <v>31.9430950924767</v>
      </c>
      <c r="F454">
        <v>20.631353739166101</v>
      </c>
      <c r="G454">
        <v>0.496491944497365</v>
      </c>
      <c r="H454">
        <v>0.69490575360521201</v>
      </c>
      <c r="I454">
        <v>4.3874878396102703</v>
      </c>
      <c r="J454">
        <v>41.4458229324161</v>
      </c>
      <c r="K454">
        <v>35.2171269939344</v>
      </c>
      <c r="L454" t="s">
        <v>19</v>
      </c>
      <c r="M454" t="s">
        <v>20</v>
      </c>
      <c r="N454">
        <v>39</v>
      </c>
      <c r="O454">
        <v>77.960980175901199</v>
      </c>
      <c r="P454">
        <v>9.9847825852604402</v>
      </c>
      <c r="Q454" t="s">
        <v>21</v>
      </c>
      <c r="R454">
        <v>452</v>
      </c>
      <c r="S454">
        <v>72.906825064791803</v>
      </c>
    </row>
    <row r="455" spans="1:19" x14ac:dyDescent="0.25">
      <c r="A455">
        <v>8357</v>
      </c>
      <c r="B455">
        <v>119.91448299961201</v>
      </c>
      <c r="C455">
        <v>2.0571608473344298</v>
      </c>
      <c r="D455">
        <v>96.366046497053304</v>
      </c>
      <c r="E455">
        <v>35.158470022021497</v>
      </c>
      <c r="F455">
        <v>21.928648235253</v>
      </c>
      <c r="G455">
        <v>1.4404580425646001</v>
      </c>
      <c r="H455">
        <v>0.64703151150271598</v>
      </c>
      <c r="I455">
        <v>7.0503664593930901</v>
      </c>
      <c r="J455">
        <v>27.415910577403</v>
      </c>
      <c r="K455">
        <v>22.512699467799699</v>
      </c>
      <c r="L455" t="s">
        <v>22</v>
      </c>
      <c r="M455" t="s">
        <v>32</v>
      </c>
      <c r="N455">
        <v>32</v>
      </c>
      <c r="O455">
        <v>74.712539911678803</v>
      </c>
      <c r="P455">
        <v>21.632734386163001</v>
      </c>
      <c r="Q455" t="s">
        <v>31</v>
      </c>
      <c r="R455">
        <v>453</v>
      </c>
      <c r="S455">
        <v>76.7775899816058</v>
      </c>
    </row>
    <row r="456" spans="1:19" x14ac:dyDescent="0.25">
      <c r="A456">
        <v>4440</v>
      </c>
      <c r="B456">
        <v>133.71723306813999</v>
      </c>
      <c r="C456">
        <v>1.85769065772062</v>
      </c>
      <c r="D456">
        <v>71.453610486586797</v>
      </c>
      <c r="E456">
        <v>32.117758758284097</v>
      </c>
      <c r="F456">
        <v>22.747989787593902</v>
      </c>
      <c r="G456">
        <v>1.12622800928204</v>
      </c>
      <c r="H456">
        <v>0.64206642404171399</v>
      </c>
      <c r="I456">
        <v>8.0415622778001303</v>
      </c>
      <c r="J456">
        <v>109.14538731447399</v>
      </c>
      <c r="K456">
        <v>41.432326916455501</v>
      </c>
      <c r="L456" t="s">
        <v>19</v>
      </c>
      <c r="M456" t="s">
        <v>37</v>
      </c>
      <c r="N456">
        <v>29</v>
      </c>
      <c r="O456">
        <v>68.710133486835602</v>
      </c>
      <c r="P456">
        <v>11.1692313964663</v>
      </c>
      <c r="Q456" t="s">
        <v>24</v>
      </c>
      <c r="R456">
        <v>454</v>
      </c>
      <c r="S456">
        <v>82.9924616491233</v>
      </c>
    </row>
    <row r="457" spans="1:19" x14ac:dyDescent="0.25">
      <c r="A457">
        <v>4766</v>
      </c>
      <c r="B457">
        <v>141.57524820606901</v>
      </c>
      <c r="C457">
        <v>1.85909286285396</v>
      </c>
      <c r="D457">
        <v>61.770137108756302</v>
      </c>
      <c r="E457">
        <v>34.987449902468697</v>
      </c>
      <c r="F457">
        <v>22.489135873539599</v>
      </c>
      <c r="G457">
        <v>0.56027758024885999</v>
      </c>
      <c r="H457">
        <v>0.45012553649933901</v>
      </c>
      <c r="I457">
        <v>5.7767554214932799</v>
      </c>
      <c r="J457">
        <v>104.768119796221</v>
      </c>
      <c r="K457">
        <v>45.2229600092545</v>
      </c>
      <c r="L457" t="s">
        <v>19</v>
      </c>
      <c r="M457" t="s">
        <v>32</v>
      </c>
      <c r="N457">
        <v>26</v>
      </c>
      <c r="O457">
        <v>70.650634016486407</v>
      </c>
      <c r="P457">
        <v>11.3951850925461</v>
      </c>
      <c r="Q457" t="s">
        <v>29</v>
      </c>
      <c r="R457">
        <v>455</v>
      </c>
      <c r="S457">
        <v>77.292714976421905</v>
      </c>
    </row>
    <row r="458" spans="1:19" x14ac:dyDescent="0.25">
      <c r="A458">
        <v>6644</v>
      </c>
      <c r="B458">
        <v>141.427144309005</v>
      </c>
      <c r="C458">
        <v>1.71923786940486</v>
      </c>
      <c r="D458">
        <v>68.215316915570995</v>
      </c>
      <c r="E458">
        <v>32.708326561342901</v>
      </c>
      <c r="F458">
        <v>24.1800288761129</v>
      </c>
      <c r="G458">
        <v>0.77526096726799698</v>
      </c>
      <c r="H458">
        <v>0.795232057379607</v>
      </c>
      <c r="I458">
        <v>6.3085095499578001</v>
      </c>
      <c r="J458">
        <v>119.25898759338401</v>
      </c>
      <c r="K458">
        <v>16.240284342050298</v>
      </c>
      <c r="L458" t="s">
        <v>19</v>
      </c>
      <c r="M458" t="s">
        <v>30</v>
      </c>
      <c r="N458">
        <v>31</v>
      </c>
      <c r="O458">
        <v>60.178491695579197</v>
      </c>
      <c r="P458">
        <v>26.309404104771598</v>
      </c>
      <c r="Q458" t="s">
        <v>31</v>
      </c>
      <c r="R458">
        <v>456</v>
      </c>
      <c r="S458">
        <v>79.410789603983702</v>
      </c>
    </row>
    <row r="459" spans="1:19" x14ac:dyDescent="0.25">
      <c r="A459">
        <v>3914</v>
      </c>
      <c r="B459">
        <v>143.43841508470501</v>
      </c>
      <c r="C459">
        <v>1.5098083288469899</v>
      </c>
      <c r="D459">
        <v>69.248587100410305</v>
      </c>
      <c r="E459">
        <v>33.002745523372198</v>
      </c>
      <c r="F459">
        <v>26.219197548208601</v>
      </c>
      <c r="G459">
        <v>1.2652542337939801</v>
      </c>
      <c r="H459">
        <v>0.51755517839005005</v>
      </c>
      <c r="I459">
        <v>2.80554734012187</v>
      </c>
      <c r="J459">
        <v>87.939348811242596</v>
      </c>
      <c r="K459">
        <v>76.109400122692193</v>
      </c>
      <c r="L459" t="s">
        <v>19</v>
      </c>
      <c r="M459" t="s">
        <v>33</v>
      </c>
      <c r="N459">
        <v>38</v>
      </c>
      <c r="O459">
        <v>65.5419477194488</v>
      </c>
      <c r="P459">
        <v>16.405540221863799</v>
      </c>
      <c r="Q459" t="s">
        <v>24</v>
      </c>
      <c r="R459">
        <v>457</v>
      </c>
      <c r="S459">
        <v>64.847663254940699</v>
      </c>
    </row>
    <row r="460" spans="1:19" x14ac:dyDescent="0.25">
      <c r="A460">
        <v>5968</v>
      </c>
      <c r="B460">
        <v>167.27422538117199</v>
      </c>
      <c r="C460">
        <v>1.83643061798341</v>
      </c>
      <c r="D460">
        <v>35.375973931101399</v>
      </c>
      <c r="E460">
        <v>34.2844381922759</v>
      </c>
      <c r="F460">
        <v>23.9631705782548</v>
      </c>
      <c r="G460">
        <v>0.33001282689046002</v>
      </c>
      <c r="H460">
        <v>0.50832449661479595</v>
      </c>
      <c r="I460">
        <v>3.58597299904884</v>
      </c>
      <c r="J460">
        <v>113.668792666714</v>
      </c>
      <c r="K460">
        <v>41.9395051791886</v>
      </c>
      <c r="L460" t="s">
        <v>19</v>
      </c>
      <c r="M460" t="s">
        <v>20</v>
      </c>
      <c r="N460">
        <v>33</v>
      </c>
      <c r="O460">
        <v>72.616940045105096</v>
      </c>
      <c r="P460">
        <v>23.118893876596101</v>
      </c>
      <c r="Q460" t="s">
        <v>25</v>
      </c>
      <c r="R460">
        <v>458</v>
      </c>
      <c r="S460">
        <v>83.257155344197699</v>
      </c>
    </row>
    <row r="461" spans="1:19" x14ac:dyDescent="0.25">
      <c r="A461">
        <v>6917</v>
      </c>
      <c r="B461">
        <v>144.07068603027901</v>
      </c>
      <c r="C461">
        <v>1.79590706687068</v>
      </c>
      <c r="D461">
        <v>99.898764549064694</v>
      </c>
      <c r="E461">
        <v>34.526270906326303</v>
      </c>
      <c r="F461">
        <v>24.267927617546</v>
      </c>
      <c r="G461">
        <v>0.46541541667912301</v>
      </c>
      <c r="H461">
        <v>0.62701707615256597</v>
      </c>
      <c r="I461">
        <v>2.4570604904712199</v>
      </c>
      <c r="J461">
        <v>102.694902508411</v>
      </c>
      <c r="K461">
        <v>58.531362433510999</v>
      </c>
      <c r="L461" t="s">
        <v>19</v>
      </c>
      <c r="M461" t="s">
        <v>20</v>
      </c>
      <c r="N461">
        <v>28</v>
      </c>
      <c r="O461">
        <v>66.807062854279096</v>
      </c>
      <c r="P461">
        <v>22.277877248300399</v>
      </c>
      <c r="Q461" t="s">
        <v>29</v>
      </c>
      <c r="R461">
        <v>459</v>
      </c>
      <c r="S461">
        <v>70.034450172840096</v>
      </c>
    </row>
    <row r="462" spans="1:19" x14ac:dyDescent="0.25">
      <c r="A462">
        <v>9787</v>
      </c>
      <c r="B462">
        <v>130.11686729418699</v>
      </c>
      <c r="C462">
        <v>1.3229796445294799</v>
      </c>
      <c r="D462">
        <v>70.826512645412294</v>
      </c>
      <c r="E462">
        <v>32.867024927665</v>
      </c>
      <c r="F462">
        <v>14.088884166267601</v>
      </c>
      <c r="G462">
        <v>0.33184208739330201</v>
      </c>
      <c r="H462">
        <v>0.52527808788979002</v>
      </c>
      <c r="I462">
        <v>3.2436581500415</v>
      </c>
      <c r="J462">
        <v>104.442633312008</v>
      </c>
      <c r="K462">
        <v>20.5472390453216</v>
      </c>
      <c r="L462" t="s">
        <v>19</v>
      </c>
      <c r="M462" t="s">
        <v>32</v>
      </c>
      <c r="N462">
        <v>23</v>
      </c>
      <c r="O462">
        <v>68.481909674229797</v>
      </c>
      <c r="P462">
        <v>17.3641169855253</v>
      </c>
      <c r="Q462" t="s">
        <v>25</v>
      </c>
      <c r="R462">
        <v>460</v>
      </c>
      <c r="S462">
        <v>63.8763268512932</v>
      </c>
    </row>
    <row r="463" spans="1:19" x14ac:dyDescent="0.25">
      <c r="A463">
        <v>1728</v>
      </c>
      <c r="B463">
        <v>154.281743365767</v>
      </c>
      <c r="C463">
        <v>1.2131991135515401</v>
      </c>
      <c r="D463">
        <v>78.860042608947495</v>
      </c>
      <c r="E463">
        <v>32.5341083357741</v>
      </c>
      <c r="F463">
        <v>22.2511384958284</v>
      </c>
      <c r="G463">
        <v>1.66217119888541</v>
      </c>
      <c r="H463">
        <v>0.72112204701940796</v>
      </c>
      <c r="I463">
        <v>3.0239810220297798</v>
      </c>
      <c r="J463">
        <v>76.914157045426805</v>
      </c>
      <c r="K463">
        <v>28.124762156293698</v>
      </c>
      <c r="L463" t="s">
        <v>27</v>
      </c>
      <c r="M463" t="s">
        <v>33</v>
      </c>
      <c r="N463">
        <v>27</v>
      </c>
      <c r="O463">
        <v>75.939546373266296</v>
      </c>
      <c r="P463">
        <v>20.663901860090998</v>
      </c>
      <c r="Q463" t="s">
        <v>21</v>
      </c>
      <c r="R463">
        <v>461</v>
      </c>
      <c r="S463">
        <v>78.815241287307302</v>
      </c>
    </row>
    <row r="464" spans="1:19" x14ac:dyDescent="0.25">
      <c r="A464">
        <v>2365</v>
      </c>
      <c r="B464">
        <v>158.789409778492</v>
      </c>
      <c r="C464">
        <v>1.55092814763099</v>
      </c>
      <c r="D464">
        <v>89.030995411480802</v>
      </c>
      <c r="E464">
        <v>32.932895461773299</v>
      </c>
      <c r="F464">
        <v>24.397537740008001</v>
      </c>
      <c r="G464">
        <v>1.55433661978161</v>
      </c>
      <c r="H464">
        <v>0.60430483663395895</v>
      </c>
      <c r="I464">
        <v>5.6750390775211299</v>
      </c>
      <c r="J464">
        <v>58.236459791671003</v>
      </c>
      <c r="K464">
        <v>81.727029399567002</v>
      </c>
      <c r="L464" t="s">
        <v>19</v>
      </c>
      <c r="M464" t="s">
        <v>36</v>
      </c>
      <c r="N464">
        <v>25</v>
      </c>
      <c r="O464">
        <v>52.742049730193003</v>
      </c>
      <c r="P464">
        <v>19.630827269804399</v>
      </c>
      <c r="Q464" t="s">
        <v>31</v>
      </c>
      <c r="R464">
        <v>462</v>
      </c>
      <c r="S464">
        <v>87.697539768512399</v>
      </c>
    </row>
    <row r="465" spans="1:19" x14ac:dyDescent="0.25">
      <c r="A465">
        <v>5492</v>
      </c>
      <c r="B465">
        <v>110.44784369726</v>
      </c>
      <c r="C465">
        <v>2.2745100757475898</v>
      </c>
      <c r="D465">
        <v>49.5767508487939</v>
      </c>
      <c r="E465">
        <v>33.405549033878501</v>
      </c>
      <c r="F465">
        <v>25.644705972852201</v>
      </c>
      <c r="G465">
        <v>1.5559632773826599</v>
      </c>
      <c r="H465">
        <v>0.64690144742603395</v>
      </c>
      <c r="I465">
        <v>6.06419880211656</v>
      </c>
      <c r="J465">
        <v>113.45580725432799</v>
      </c>
      <c r="K465">
        <v>60.651564591209997</v>
      </c>
      <c r="L465" t="s">
        <v>27</v>
      </c>
      <c r="M465" t="s">
        <v>28</v>
      </c>
      <c r="N465">
        <v>33</v>
      </c>
      <c r="O465">
        <v>70.955078352266597</v>
      </c>
      <c r="P465">
        <v>8.7964017069437208</v>
      </c>
      <c r="Q465" t="s">
        <v>29</v>
      </c>
      <c r="R465">
        <v>463</v>
      </c>
      <c r="S465">
        <v>70.224654282801396</v>
      </c>
    </row>
    <row r="466" spans="1:19" x14ac:dyDescent="0.25">
      <c r="A466">
        <v>1698</v>
      </c>
      <c r="B466">
        <v>146.948001396997</v>
      </c>
      <c r="C466">
        <v>0.880446462173049</v>
      </c>
      <c r="D466">
        <v>79.469437980704498</v>
      </c>
      <c r="E466">
        <v>34.069564424243701</v>
      </c>
      <c r="F466">
        <v>18.538246128830998</v>
      </c>
      <c r="G466">
        <v>1.4893856182568499</v>
      </c>
      <c r="H466">
        <v>0.69544312688221499</v>
      </c>
      <c r="I466">
        <v>9.5045267873935408</v>
      </c>
      <c r="J466">
        <v>63.211717561589403</v>
      </c>
      <c r="K466">
        <v>86.271303762786403</v>
      </c>
      <c r="L466" t="s">
        <v>34</v>
      </c>
      <c r="M466" t="s">
        <v>37</v>
      </c>
      <c r="N466">
        <v>20</v>
      </c>
      <c r="O466">
        <v>82.212308115467394</v>
      </c>
      <c r="P466">
        <v>21.898604700685802</v>
      </c>
      <c r="Q466" t="s">
        <v>24</v>
      </c>
      <c r="R466">
        <v>464</v>
      </c>
      <c r="S466">
        <v>90.127998047850795</v>
      </c>
    </row>
    <row r="467" spans="1:19" x14ac:dyDescent="0.25">
      <c r="A467">
        <v>8186</v>
      </c>
      <c r="B467">
        <v>149.02345484621699</v>
      </c>
      <c r="C467">
        <v>0.76623736712377999</v>
      </c>
      <c r="D467">
        <v>64.647178182024106</v>
      </c>
      <c r="E467">
        <v>33.005075830792897</v>
      </c>
      <c r="F467">
        <v>18.7048036255567</v>
      </c>
      <c r="G467">
        <v>1.40489376260576</v>
      </c>
      <c r="H467">
        <v>0.51194453736499201</v>
      </c>
      <c r="I467">
        <v>2.7601358239136999</v>
      </c>
      <c r="J467">
        <v>73.881936724966906</v>
      </c>
      <c r="K467">
        <v>89.906252579348703</v>
      </c>
      <c r="L467" t="s">
        <v>22</v>
      </c>
      <c r="M467" t="s">
        <v>23</v>
      </c>
      <c r="N467">
        <v>19</v>
      </c>
      <c r="O467">
        <v>64.985066804322003</v>
      </c>
      <c r="P467">
        <v>12.3520199610877</v>
      </c>
      <c r="Q467" t="s">
        <v>24</v>
      </c>
      <c r="R467">
        <v>465</v>
      </c>
      <c r="S467">
        <v>68.744305735340902</v>
      </c>
    </row>
    <row r="468" spans="1:19" x14ac:dyDescent="0.25">
      <c r="A468">
        <v>1395</v>
      </c>
      <c r="B468">
        <v>129.0487299328</v>
      </c>
      <c r="C468">
        <v>1.5823804206182499</v>
      </c>
      <c r="D468">
        <v>86.935415504329796</v>
      </c>
      <c r="E468">
        <v>33.742663557627701</v>
      </c>
      <c r="F468">
        <v>19.129496623582</v>
      </c>
      <c r="G468">
        <v>1.0585854476807099</v>
      </c>
      <c r="H468">
        <v>0.48566339257604102</v>
      </c>
      <c r="I468">
        <v>6.77508139145346</v>
      </c>
      <c r="J468">
        <v>64.611430712518697</v>
      </c>
      <c r="K468">
        <v>42.889508649981998</v>
      </c>
      <c r="L468" t="s">
        <v>19</v>
      </c>
      <c r="M468" t="s">
        <v>20</v>
      </c>
      <c r="N468">
        <v>33</v>
      </c>
      <c r="O468">
        <v>58.0457678138823</v>
      </c>
      <c r="P468">
        <v>9.4472422063002703</v>
      </c>
      <c r="Q468" t="s">
        <v>31</v>
      </c>
      <c r="R468">
        <v>466</v>
      </c>
      <c r="S468">
        <v>72.342258627889194</v>
      </c>
    </row>
    <row r="469" spans="1:19" x14ac:dyDescent="0.25">
      <c r="A469">
        <v>8400</v>
      </c>
      <c r="B469">
        <v>162.51413626623199</v>
      </c>
      <c r="C469">
        <v>1.5254438509279999</v>
      </c>
      <c r="D469">
        <v>27.45545159297</v>
      </c>
      <c r="E469">
        <v>34.966031678725102</v>
      </c>
      <c r="F469">
        <v>24.682069499456698</v>
      </c>
      <c r="G469">
        <v>1.3561006943128</v>
      </c>
      <c r="H469">
        <v>0.88423204658048205</v>
      </c>
      <c r="I469">
        <v>8.3553334208876997</v>
      </c>
      <c r="J469">
        <v>76.4818313960197</v>
      </c>
      <c r="K469">
        <v>37.410229806245503</v>
      </c>
      <c r="L469" t="s">
        <v>22</v>
      </c>
      <c r="M469" t="s">
        <v>32</v>
      </c>
      <c r="N469">
        <v>36</v>
      </c>
      <c r="O469">
        <v>64.887253176317898</v>
      </c>
      <c r="P469">
        <v>24.8371473787425</v>
      </c>
      <c r="Q469" t="s">
        <v>25</v>
      </c>
      <c r="R469">
        <v>467</v>
      </c>
      <c r="S469">
        <v>96.782878513111896</v>
      </c>
    </row>
    <row r="470" spans="1:19" x14ac:dyDescent="0.25">
      <c r="A470">
        <v>9082</v>
      </c>
      <c r="B470">
        <v>131.998888259349</v>
      </c>
      <c r="C470">
        <v>1.5866708321852001</v>
      </c>
      <c r="D470">
        <v>68.018113995174602</v>
      </c>
      <c r="E470">
        <v>33.457571534717701</v>
      </c>
      <c r="F470">
        <v>27.169405274620999</v>
      </c>
      <c r="G470">
        <v>0.26905079861835401</v>
      </c>
      <c r="H470">
        <v>0.63854803655728098</v>
      </c>
      <c r="I470">
        <v>6.0421731740474698</v>
      </c>
      <c r="J470">
        <v>67.050507899232699</v>
      </c>
      <c r="K470">
        <v>79.376704136932204</v>
      </c>
      <c r="L470" t="s">
        <v>19</v>
      </c>
      <c r="M470" t="s">
        <v>28</v>
      </c>
      <c r="N470">
        <v>26</v>
      </c>
      <c r="O470">
        <v>55.8633386050724</v>
      </c>
      <c r="P470">
        <v>13.2694455488254</v>
      </c>
      <c r="Q470" t="s">
        <v>25</v>
      </c>
      <c r="R470">
        <v>468</v>
      </c>
      <c r="S470">
        <v>74.516377174391295</v>
      </c>
    </row>
    <row r="471" spans="1:19" x14ac:dyDescent="0.25">
      <c r="A471">
        <v>5171</v>
      </c>
      <c r="B471">
        <v>137.51152906943</v>
      </c>
      <c r="C471">
        <v>1.6219765989542501</v>
      </c>
      <c r="D471">
        <v>57.943586884320702</v>
      </c>
      <c r="E471">
        <v>33.373983427205701</v>
      </c>
      <c r="F471">
        <v>19.962699463541899</v>
      </c>
      <c r="G471">
        <v>1.31863596078221</v>
      </c>
      <c r="H471">
        <v>0.62665148529789605</v>
      </c>
      <c r="I471">
        <v>3.29503287250968</v>
      </c>
      <c r="J471">
        <v>24.796755857947499</v>
      </c>
      <c r="K471">
        <v>89.895857027809001</v>
      </c>
      <c r="L471" t="s">
        <v>27</v>
      </c>
      <c r="M471" t="s">
        <v>30</v>
      </c>
      <c r="N471">
        <v>33</v>
      </c>
      <c r="O471">
        <v>69.805480581919696</v>
      </c>
      <c r="P471">
        <v>26.885505036800101</v>
      </c>
      <c r="Q471" t="s">
        <v>29</v>
      </c>
      <c r="R471">
        <v>469</v>
      </c>
      <c r="S471">
        <v>75.412598013650694</v>
      </c>
    </row>
    <row r="472" spans="1:19" x14ac:dyDescent="0.25">
      <c r="A472">
        <v>5360</v>
      </c>
      <c r="B472">
        <v>131.53856351432199</v>
      </c>
      <c r="C472">
        <v>1.38839887268259</v>
      </c>
      <c r="D472">
        <v>78.645259012683098</v>
      </c>
      <c r="E472">
        <v>31.177307009891901</v>
      </c>
      <c r="F472">
        <v>26.5398115681352</v>
      </c>
      <c r="G472">
        <v>1.6001798699663701</v>
      </c>
      <c r="H472">
        <v>0.41958668265006199</v>
      </c>
      <c r="I472">
        <v>3.36295207018</v>
      </c>
      <c r="J472">
        <v>108.204818600769</v>
      </c>
      <c r="K472">
        <v>62.2230925674343</v>
      </c>
      <c r="L472" t="s">
        <v>19</v>
      </c>
      <c r="M472" t="s">
        <v>23</v>
      </c>
      <c r="N472">
        <v>39</v>
      </c>
      <c r="O472">
        <v>67.410447744358507</v>
      </c>
      <c r="P472">
        <v>26.786877988273101</v>
      </c>
      <c r="Q472" t="s">
        <v>29</v>
      </c>
      <c r="R472">
        <v>470</v>
      </c>
      <c r="S472">
        <v>68.680546235544995</v>
      </c>
    </row>
    <row r="473" spans="1:19" x14ac:dyDescent="0.25">
      <c r="A473">
        <v>3502</v>
      </c>
      <c r="B473">
        <v>135.311580951629</v>
      </c>
      <c r="C473">
        <v>2.2449317193010399</v>
      </c>
      <c r="D473">
        <v>79.400883747364006</v>
      </c>
      <c r="E473">
        <v>30</v>
      </c>
      <c r="F473">
        <v>22.6173990458229</v>
      </c>
      <c r="G473">
        <v>1.1006450486918999</v>
      </c>
      <c r="H473">
        <v>0.673886966423066</v>
      </c>
      <c r="I473">
        <v>1.35327747763899</v>
      </c>
      <c r="J473">
        <v>64.4393818915769</v>
      </c>
      <c r="K473">
        <v>74.635554188364097</v>
      </c>
      <c r="L473" t="s">
        <v>34</v>
      </c>
      <c r="M473" t="s">
        <v>32</v>
      </c>
      <c r="N473">
        <v>21</v>
      </c>
      <c r="O473">
        <v>70.549854816823697</v>
      </c>
      <c r="P473">
        <v>14.1859916632535</v>
      </c>
      <c r="Q473" t="s">
        <v>25</v>
      </c>
      <c r="R473">
        <v>471</v>
      </c>
      <c r="S473">
        <v>69.699332352814494</v>
      </c>
    </row>
    <row r="474" spans="1:19" x14ac:dyDescent="0.25">
      <c r="A474">
        <v>1717</v>
      </c>
      <c r="B474">
        <v>113.07449826209501</v>
      </c>
      <c r="C474">
        <v>0.699548010761742</v>
      </c>
      <c r="D474">
        <v>55.8474821035594</v>
      </c>
      <c r="E474">
        <v>33.466050875076199</v>
      </c>
      <c r="F474">
        <v>21.3785711141878</v>
      </c>
      <c r="G474">
        <v>0.84352399116902599</v>
      </c>
      <c r="H474">
        <v>0.70479334688605</v>
      </c>
      <c r="I474">
        <v>3.74899803893633</v>
      </c>
      <c r="J474">
        <v>78.894364850734803</v>
      </c>
      <c r="K474">
        <v>73.630939411145505</v>
      </c>
      <c r="L474" t="s">
        <v>22</v>
      </c>
      <c r="M474" t="s">
        <v>37</v>
      </c>
      <c r="N474">
        <v>27</v>
      </c>
      <c r="O474">
        <v>66.950115125227597</v>
      </c>
      <c r="P474">
        <v>26.546727536186101</v>
      </c>
      <c r="Q474" t="s">
        <v>29</v>
      </c>
      <c r="R474">
        <v>472</v>
      </c>
      <c r="S474">
        <v>63.264881833827197</v>
      </c>
    </row>
    <row r="475" spans="1:19" x14ac:dyDescent="0.25">
      <c r="A475">
        <v>3782</v>
      </c>
      <c r="B475">
        <v>106.198982348114</v>
      </c>
      <c r="C475">
        <v>1.0857514876098699</v>
      </c>
      <c r="D475">
        <v>55.756522716479097</v>
      </c>
      <c r="E475">
        <v>32.886210922462901</v>
      </c>
      <c r="F475">
        <v>20.943078850910101</v>
      </c>
      <c r="G475">
        <v>0.69936812264176196</v>
      </c>
      <c r="H475">
        <v>0.70736247902506599</v>
      </c>
      <c r="I475">
        <v>7.7014331110304202</v>
      </c>
      <c r="J475">
        <v>33.918780275798703</v>
      </c>
      <c r="K475">
        <v>41.650478116465997</v>
      </c>
      <c r="L475" t="s">
        <v>22</v>
      </c>
      <c r="M475" t="s">
        <v>26</v>
      </c>
      <c r="N475">
        <v>36</v>
      </c>
      <c r="O475">
        <v>69.567160942749297</v>
      </c>
      <c r="P475">
        <v>14.885398557025299</v>
      </c>
      <c r="Q475" t="s">
        <v>25</v>
      </c>
      <c r="R475">
        <v>473</v>
      </c>
      <c r="S475">
        <v>67.659100925838999</v>
      </c>
    </row>
    <row r="476" spans="1:19" x14ac:dyDescent="0.25">
      <c r="A476">
        <v>5946</v>
      </c>
      <c r="B476">
        <v>166.89010126449901</v>
      </c>
      <c r="C476">
        <v>1.4483726199254701</v>
      </c>
      <c r="D476">
        <v>67.786692628853402</v>
      </c>
      <c r="E476">
        <v>32.382260790102301</v>
      </c>
      <c r="F476">
        <v>25.733056823010699</v>
      </c>
      <c r="G476">
        <v>1.35704369029174</v>
      </c>
      <c r="H476">
        <v>0.78886714312758599</v>
      </c>
      <c r="I476">
        <v>1.4276598148639901</v>
      </c>
      <c r="J476">
        <v>20.338784798263902</v>
      </c>
      <c r="K476">
        <v>58.070278519281501</v>
      </c>
      <c r="L476" t="s">
        <v>34</v>
      </c>
      <c r="M476" t="s">
        <v>20</v>
      </c>
      <c r="N476">
        <v>30</v>
      </c>
      <c r="O476">
        <v>71.603871398012103</v>
      </c>
      <c r="P476">
        <v>17.452881907271301</v>
      </c>
      <c r="Q476" t="s">
        <v>31</v>
      </c>
      <c r="R476">
        <v>474</v>
      </c>
      <c r="S476">
        <v>81.220119439284602</v>
      </c>
    </row>
    <row r="477" spans="1:19" x14ac:dyDescent="0.25">
      <c r="A477">
        <v>6486</v>
      </c>
      <c r="B477">
        <v>118.060773033633</v>
      </c>
      <c r="C477">
        <v>0.67840559442291604</v>
      </c>
      <c r="D477">
        <v>52.067155453695797</v>
      </c>
      <c r="E477">
        <v>33.292236245023602</v>
      </c>
      <c r="F477">
        <v>23.627889083935301</v>
      </c>
      <c r="G477">
        <v>1.4470421575338299</v>
      </c>
      <c r="H477">
        <v>0.49761500924505597</v>
      </c>
      <c r="I477">
        <v>2.9736575425434699</v>
      </c>
      <c r="J477">
        <v>44.529009364364299</v>
      </c>
      <c r="K477">
        <v>77.479270594816001</v>
      </c>
      <c r="L477" t="s">
        <v>27</v>
      </c>
      <c r="M477" t="s">
        <v>30</v>
      </c>
      <c r="N477">
        <v>35</v>
      </c>
      <c r="O477">
        <v>58.418819854532501</v>
      </c>
      <c r="P477">
        <v>21.950288005597798</v>
      </c>
      <c r="Q477" t="s">
        <v>29</v>
      </c>
      <c r="R477">
        <v>475</v>
      </c>
      <c r="S477">
        <v>60.211482336795903</v>
      </c>
    </row>
    <row r="478" spans="1:19" x14ac:dyDescent="0.25">
      <c r="A478">
        <v>9335</v>
      </c>
      <c r="B478">
        <v>115.172153010873</v>
      </c>
      <c r="C478">
        <v>1.41207279778396</v>
      </c>
      <c r="D478">
        <v>86.839673909042503</v>
      </c>
      <c r="E478">
        <v>32.927515524963702</v>
      </c>
      <c r="F478">
        <v>33.379127138238097</v>
      </c>
      <c r="G478">
        <v>1.76774167975257</v>
      </c>
      <c r="H478">
        <v>0.53872272382684006</v>
      </c>
      <c r="I478">
        <v>7.3560924867860296</v>
      </c>
      <c r="J478">
        <v>90.458603213334996</v>
      </c>
      <c r="K478">
        <v>66.608540719579096</v>
      </c>
      <c r="L478" t="s">
        <v>27</v>
      </c>
      <c r="M478" t="s">
        <v>37</v>
      </c>
      <c r="N478">
        <v>32</v>
      </c>
      <c r="O478">
        <v>70.768680149716403</v>
      </c>
      <c r="P478">
        <v>34.315171307177401</v>
      </c>
      <c r="Q478" t="s">
        <v>25</v>
      </c>
      <c r="R478">
        <v>476</v>
      </c>
      <c r="S478">
        <v>72.380743057496503</v>
      </c>
    </row>
    <row r="479" spans="1:19" x14ac:dyDescent="0.25">
      <c r="A479">
        <v>5980</v>
      </c>
      <c r="B479">
        <v>91.932197727925697</v>
      </c>
      <c r="C479">
        <v>2.3307350828639999</v>
      </c>
      <c r="D479">
        <v>62.615855991050999</v>
      </c>
      <c r="E479">
        <v>34.353336300760603</v>
      </c>
      <c r="F479">
        <v>17.7388767850133</v>
      </c>
      <c r="G479">
        <v>0.81620134842978298</v>
      </c>
      <c r="H479">
        <v>0.845901755876727</v>
      </c>
      <c r="I479">
        <v>8.0438640654058897</v>
      </c>
      <c r="J479">
        <v>29.9194530112878</v>
      </c>
      <c r="K479">
        <v>16.5872860486528</v>
      </c>
      <c r="L479" t="s">
        <v>34</v>
      </c>
      <c r="M479" t="s">
        <v>35</v>
      </c>
      <c r="N479">
        <v>21</v>
      </c>
      <c r="O479">
        <v>79.585656577563995</v>
      </c>
      <c r="P479">
        <v>25.527177169479099</v>
      </c>
      <c r="Q479" t="s">
        <v>29</v>
      </c>
      <c r="R479">
        <v>477</v>
      </c>
      <c r="S479">
        <v>63.709754459316301</v>
      </c>
    </row>
    <row r="480" spans="1:19" x14ac:dyDescent="0.25">
      <c r="A480">
        <v>8266</v>
      </c>
      <c r="B480">
        <v>122.220765046209</v>
      </c>
      <c r="C480">
        <v>1.51044324414798</v>
      </c>
      <c r="D480">
        <v>20</v>
      </c>
      <c r="E480">
        <v>33.103333041910702</v>
      </c>
      <c r="F480">
        <v>24.5905085101498</v>
      </c>
      <c r="G480">
        <v>1.58559015329405</v>
      </c>
      <c r="H480">
        <v>0.92094383926386603</v>
      </c>
      <c r="I480">
        <v>5.0978656905573496</v>
      </c>
      <c r="J480">
        <v>110.888744038646</v>
      </c>
      <c r="K480">
        <v>40.252925167314999</v>
      </c>
      <c r="L480" t="s">
        <v>22</v>
      </c>
      <c r="M480" t="s">
        <v>30</v>
      </c>
      <c r="N480">
        <v>26</v>
      </c>
      <c r="O480">
        <v>60.306221776870899</v>
      </c>
      <c r="P480">
        <v>17.537683574646699</v>
      </c>
      <c r="Q480" t="s">
        <v>24</v>
      </c>
      <c r="R480">
        <v>478</v>
      </c>
      <c r="S480">
        <v>64.570339966293901</v>
      </c>
    </row>
    <row r="481" spans="1:19" x14ac:dyDescent="0.25">
      <c r="A481">
        <v>5491</v>
      </c>
      <c r="B481">
        <v>108.53820413184999</v>
      </c>
      <c r="C481">
        <v>1.6153504528593401</v>
      </c>
      <c r="D481">
        <v>62.503558867563797</v>
      </c>
      <c r="E481">
        <v>32.103692057915801</v>
      </c>
      <c r="F481">
        <v>19.353994950942401</v>
      </c>
      <c r="G481">
        <v>1.2104404835408</v>
      </c>
      <c r="H481">
        <v>0.47476301105202601</v>
      </c>
      <c r="I481">
        <v>7.2826690463078396</v>
      </c>
      <c r="J481">
        <v>41.502256935618398</v>
      </c>
      <c r="K481">
        <v>25.835677244595399</v>
      </c>
      <c r="L481" t="s">
        <v>19</v>
      </c>
      <c r="M481" t="s">
        <v>23</v>
      </c>
      <c r="N481">
        <v>21</v>
      </c>
      <c r="O481">
        <v>70.466611861916405</v>
      </c>
      <c r="P481">
        <v>18.826418849353701</v>
      </c>
      <c r="Q481" t="s">
        <v>24</v>
      </c>
      <c r="R481">
        <v>479</v>
      </c>
      <c r="S481">
        <v>67.846621917280501</v>
      </c>
    </row>
    <row r="482" spans="1:19" x14ac:dyDescent="0.25">
      <c r="A482">
        <v>8192</v>
      </c>
      <c r="B482">
        <v>167.840303202727</v>
      </c>
      <c r="C482">
        <v>0.86991761741370899</v>
      </c>
      <c r="D482">
        <v>49.229123583120497</v>
      </c>
      <c r="E482">
        <v>34.188199486751103</v>
      </c>
      <c r="F482">
        <v>17.6535650650567</v>
      </c>
      <c r="G482">
        <v>1.7891056832205401</v>
      </c>
      <c r="H482">
        <v>0.67370725497786998</v>
      </c>
      <c r="I482">
        <v>4.4915695178940203</v>
      </c>
      <c r="J482">
        <v>40.459361429177498</v>
      </c>
      <c r="K482">
        <v>32.472915905852901</v>
      </c>
      <c r="L482" t="s">
        <v>27</v>
      </c>
      <c r="M482" t="s">
        <v>35</v>
      </c>
      <c r="N482">
        <v>33</v>
      </c>
      <c r="O482">
        <v>78.357590781103596</v>
      </c>
      <c r="P482">
        <v>5.3350205382477904</v>
      </c>
      <c r="Q482" t="s">
        <v>21</v>
      </c>
      <c r="R482">
        <v>480</v>
      </c>
      <c r="S482">
        <v>89.9554008859036</v>
      </c>
    </row>
    <row r="483" spans="1:19" x14ac:dyDescent="0.25">
      <c r="A483">
        <v>6588</v>
      </c>
      <c r="B483">
        <v>155.196341786852</v>
      </c>
      <c r="C483">
        <v>1.19181929598026</v>
      </c>
      <c r="D483">
        <v>37.374483690780998</v>
      </c>
      <c r="E483">
        <v>32.739442710064502</v>
      </c>
      <c r="F483">
        <v>21.945664314825098</v>
      </c>
      <c r="G483">
        <v>1.1500617949321099</v>
      </c>
      <c r="H483">
        <v>0.51779693900677204</v>
      </c>
      <c r="I483">
        <v>2.4392192052171402</v>
      </c>
      <c r="J483">
        <v>38.150796162149497</v>
      </c>
      <c r="K483">
        <v>82.911710811849403</v>
      </c>
      <c r="L483" t="s">
        <v>19</v>
      </c>
      <c r="M483" t="s">
        <v>30</v>
      </c>
      <c r="N483">
        <v>38</v>
      </c>
      <c r="O483">
        <v>58.759637715957801</v>
      </c>
      <c r="P483">
        <v>26.0384120072091</v>
      </c>
      <c r="Q483" t="s">
        <v>25</v>
      </c>
      <c r="R483">
        <v>481</v>
      </c>
      <c r="S483">
        <v>79.988245685330895</v>
      </c>
    </row>
    <row r="484" spans="1:19" x14ac:dyDescent="0.25">
      <c r="A484">
        <v>8651</v>
      </c>
      <c r="B484">
        <v>121.236993096445</v>
      </c>
      <c r="C484">
        <v>1.3124018098380299</v>
      </c>
      <c r="D484">
        <v>45.251467235548503</v>
      </c>
      <c r="E484">
        <v>33.631844020406703</v>
      </c>
      <c r="F484">
        <v>22.6867623970351</v>
      </c>
      <c r="G484">
        <v>1.13173369111634</v>
      </c>
      <c r="H484">
        <v>0.43304024259523999</v>
      </c>
      <c r="I484">
        <v>4.5833454417061503</v>
      </c>
      <c r="J484">
        <v>21.3981712971364</v>
      </c>
      <c r="K484">
        <v>17.766996668307598</v>
      </c>
      <c r="L484" t="s">
        <v>22</v>
      </c>
      <c r="M484" t="s">
        <v>32</v>
      </c>
      <c r="N484">
        <v>32</v>
      </c>
      <c r="O484">
        <v>74.382837076336202</v>
      </c>
      <c r="P484">
        <v>25.1786939656395</v>
      </c>
      <c r="Q484" t="s">
        <v>21</v>
      </c>
      <c r="R484">
        <v>482</v>
      </c>
      <c r="S484">
        <v>72.157041133289994</v>
      </c>
    </row>
    <row r="485" spans="1:19" x14ac:dyDescent="0.25">
      <c r="A485">
        <v>4636</v>
      </c>
      <c r="B485">
        <v>180.04871610688599</v>
      </c>
      <c r="C485">
        <v>1.3411424516218799</v>
      </c>
      <c r="D485">
        <v>72.188169436659393</v>
      </c>
      <c r="E485">
        <v>32.427107152568603</v>
      </c>
      <c r="F485">
        <v>36.590867775300403</v>
      </c>
      <c r="G485">
        <v>1.24017874659363</v>
      </c>
      <c r="H485">
        <v>0.57902683596937399</v>
      </c>
      <c r="I485">
        <v>6.2197103818282802</v>
      </c>
      <c r="J485">
        <v>97.180546847823393</v>
      </c>
      <c r="K485">
        <v>31.485053397144199</v>
      </c>
      <c r="L485" t="s">
        <v>19</v>
      </c>
      <c r="M485" t="s">
        <v>26</v>
      </c>
      <c r="N485">
        <v>19</v>
      </c>
      <c r="O485">
        <v>66.223806872385197</v>
      </c>
      <c r="P485">
        <v>20.267938450965399</v>
      </c>
      <c r="Q485" t="s">
        <v>25</v>
      </c>
      <c r="R485">
        <v>483</v>
      </c>
      <c r="S485">
        <v>98.762962407640899</v>
      </c>
    </row>
    <row r="486" spans="1:19" x14ac:dyDescent="0.25">
      <c r="A486">
        <v>2167</v>
      </c>
      <c r="B486">
        <v>154.635309739831</v>
      </c>
      <c r="C486">
        <v>2.1408218975018798</v>
      </c>
      <c r="D486">
        <v>96.572816564964597</v>
      </c>
      <c r="E486">
        <v>32.220207737403001</v>
      </c>
      <c r="F486">
        <v>21.079270921583898</v>
      </c>
      <c r="G486">
        <v>1.5487676392563801</v>
      </c>
      <c r="H486">
        <v>0.47902819385131701</v>
      </c>
      <c r="I486">
        <v>9.5324795366760107</v>
      </c>
      <c r="J486">
        <v>107.503453124525</v>
      </c>
      <c r="K486">
        <v>38.217701417867303</v>
      </c>
      <c r="L486" t="s">
        <v>34</v>
      </c>
      <c r="M486" t="s">
        <v>28</v>
      </c>
      <c r="N486">
        <v>31</v>
      </c>
      <c r="O486">
        <v>76.090703643853402</v>
      </c>
      <c r="P486">
        <v>23.742049117895</v>
      </c>
      <c r="Q486" t="s">
        <v>29</v>
      </c>
      <c r="R486">
        <v>484</v>
      </c>
      <c r="S486">
        <v>91.3557441343074</v>
      </c>
    </row>
    <row r="487" spans="1:19" x14ac:dyDescent="0.25">
      <c r="A487">
        <v>2062</v>
      </c>
      <c r="B487">
        <v>128.50337232982699</v>
      </c>
      <c r="C487">
        <v>1.7788455303625601</v>
      </c>
      <c r="D487">
        <v>76.263689477299593</v>
      </c>
      <c r="E487">
        <v>33.101001876222803</v>
      </c>
      <c r="F487">
        <v>16.349106352576499</v>
      </c>
      <c r="G487">
        <v>1.9364428618912199</v>
      </c>
      <c r="H487">
        <v>0.79046319038883495</v>
      </c>
      <c r="I487">
        <v>1.6187585687980901</v>
      </c>
      <c r="J487">
        <v>81.4162702616198</v>
      </c>
      <c r="K487">
        <v>61.266305397479599</v>
      </c>
      <c r="L487" t="s">
        <v>27</v>
      </c>
      <c r="M487" t="s">
        <v>26</v>
      </c>
      <c r="N487">
        <v>20</v>
      </c>
      <c r="O487">
        <v>61.404342383270503</v>
      </c>
      <c r="P487">
        <v>1.7984991951022999</v>
      </c>
      <c r="Q487" t="s">
        <v>25</v>
      </c>
      <c r="R487">
        <v>485</v>
      </c>
      <c r="S487">
        <v>64.509539244812004</v>
      </c>
    </row>
    <row r="488" spans="1:19" x14ac:dyDescent="0.25">
      <c r="A488">
        <v>3156</v>
      </c>
      <c r="B488">
        <v>85.011885702528502</v>
      </c>
      <c r="C488">
        <v>0.94427102153148401</v>
      </c>
      <c r="D488">
        <v>57.869932235685198</v>
      </c>
      <c r="E488">
        <v>33.015394372252402</v>
      </c>
      <c r="F488">
        <v>23.365053587471898</v>
      </c>
      <c r="G488">
        <v>0.33241403758837801</v>
      </c>
      <c r="H488">
        <v>0.69354897751929401</v>
      </c>
      <c r="I488">
        <v>5.5665468446046402</v>
      </c>
      <c r="J488">
        <v>38.819998167986199</v>
      </c>
      <c r="K488">
        <v>55.057626756439902</v>
      </c>
      <c r="L488" t="s">
        <v>27</v>
      </c>
      <c r="M488" t="s">
        <v>26</v>
      </c>
      <c r="N488">
        <v>39</v>
      </c>
      <c r="O488">
        <v>67.9275583409419</v>
      </c>
      <c r="P488">
        <v>9.3458750668602306</v>
      </c>
      <c r="Q488" t="s">
        <v>24</v>
      </c>
      <c r="R488">
        <v>486</v>
      </c>
      <c r="S488">
        <v>48.483459583842503</v>
      </c>
    </row>
    <row r="489" spans="1:19" x14ac:dyDescent="0.25">
      <c r="A489">
        <v>8860</v>
      </c>
      <c r="B489">
        <v>180.818851451814</v>
      </c>
      <c r="C489">
        <v>1.623252389216</v>
      </c>
      <c r="D489">
        <v>79.118083903414004</v>
      </c>
      <c r="E489">
        <v>33.575792442440097</v>
      </c>
      <c r="F489">
        <v>11.6267998122681</v>
      </c>
      <c r="G489">
        <v>0.29618228430382998</v>
      </c>
      <c r="H489">
        <v>0.47910895904467099</v>
      </c>
      <c r="I489">
        <v>3.96027800389651</v>
      </c>
      <c r="J489">
        <v>48.527799694087904</v>
      </c>
      <c r="K489">
        <v>31.370211214003898</v>
      </c>
      <c r="L489" t="s">
        <v>34</v>
      </c>
      <c r="M489" t="s">
        <v>32</v>
      </c>
      <c r="N489">
        <v>21</v>
      </c>
      <c r="O489">
        <v>55.8520876229747</v>
      </c>
      <c r="P489">
        <v>32.4117889167374</v>
      </c>
      <c r="Q489" t="s">
        <v>29</v>
      </c>
      <c r="R489">
        <v>487</v>
      </c>
      <c r="S489">
        <v>93.832173579477796</v>
      </c>
    </row>
    <row r="490" spans="1:19" x14ac:dyDescent="0.25">
      <c r="A490">
        <v>6161</v>
      </c>
      <c r="B490">
        <v>107.20855066472799</v>
      </c>
      <c r="C490">
        <v>1.7491108742483901</v>
      </c>
      <c r="D490">
        <v>60.818193795620097</v>
      </c>
      <c r="E490">
        <v>32.677625096028301</v>
      </c>
      <c r="F490">
        <v>21.540216086978599</v>
      </c>
      <c r="G490">
        <v>1.8875906073332001</v>
      </c>
      <c r="H490">
        <v>0.40508287362303202</v>
      </c>
      <c r="I490">
        <v>5.5748052484902502</v>
      </c>
      <c r="J490">
        <v>67.592669736496305</v>
      </c>
      <c r="K490">
        <v>27.318080041736501</v>
      </c>
      <c r="L490" t="s">
        <v>34</v>
      </c>
      <c r="M490" t="s">
        <v>33</v>
      </c>
      <c r="N490">
        <v>18</v>
      </c>
      <c r="O490">
        <v>71.4983112893661</v>
      </c>
      <c r="P490">
        <v>15.938181340541201</v>
      </c>
      <c r="Q490" t="s">
        <v>24</v>
      </c>
      <c r="R490">
        <v>488</v>
      </c>
      <c r="S490">
        <v>62.117745296993903</v>
      </c>
    </row>
    <row r="491" spans="1:19" x14ac:dyDescent="0.25">
      <c r="A491">
        <v>6305</v>
      </c>
      <c r="B491">
        <v>102.092025060862</v>
      </c>
      <c r="C491">
        <v>2.07007451926063</v>
      </c>
      <c r="D491">
        <v>56.1079926167371</v>
      </c>
      <c r="E491">
        <v>30.7963682594755</v>
      </c>
      <c r="F491">
        <v>22.080126411475799</v>
      </c>
      <c r="G491">
        <v>1.1537761259327699</v>
      </c>
      <c r="H491">
        <v>0.84448637696331696</v>
      </c>
      <c r="I491">
        <v>1.21577902638878</v>
      </c>
      <c r="J491">
        <v>115.43459516233</v>
      </c>
      <c r="K491">
        <v>32.759852594708903</v>
      </c>
      <c r="L491" t="s">
        <v>27</v>
      </c>
      <c r="M491" t="s">
        <v>30</v>
      </c>
      <c r="N491">
        <v>26</v>
      </c>
      <c r="O491">
        <v>71.589893825808602</v>
      </c>
      <c r="P491">
        <v>24.059463739517</v>
      </c>
      <c r="Q491" t="s">
        <v>29</v>
      </c>
      <c r="R491">
        <v>489</v>
      </c>
      <c r="S491">
        <v>50.089447952545697</v>
      </c>
    </row>
    <row r="492" spans="1:19" x14ac:dyDescent="0.25">
      <c r="A492">
        <v>7541</v>
      </c>
      <c r="B492">
        <v>155.451408640192</v>
      </c>
      <c r="C492">
        <v>2.2902703432841802</v>
      </c>
      <c r="D492">
        <v>46.912746635340298</v>
      </c>
      <c r="E492">
        <v>32.480671339693899</v>
      </c>
      <c r="F492">
        <v>25.973001914726002</v>
      </c>
      <c r="G492">
        <v>1.3068254262204799</v>
      </c>
      <c r="H492">
        <v>0.49690692339033599</v>
      </c>
      <c r="I492">
        <v>3.8172281923142299</v>
      </c>
      <c r="J492">
        <v>44.735137181774199</v>
      </c>
      <c r="K492">
        <v>52.689722002624102</v>
      </c>
      <c r="L492" t="s">
        <v>27</v>
      </c>
      <c r="M492" t="s">
        <v>28</v>
      </c>
      <c r="N492">
        <v>34</v>
      </c>
      <c r="O492">
        <v>72.326419363189501</v>
      </c>
      <c r="P492">
        <v>12.0268835067421</v>
      </c>
      <c r="Q492" t="s">
        <v>25</v>
      </c>
      <c r="R492">
        <v>490</v>
      </c>
      <c r="S492">
        <v>87.618244700535399</v>
      </c>
    </row>
    <row r="493" spans="1:19" x14ac:dyDescent="0.25">
      <c r="A493">
        <v>5729</v>
      </c>
      <c r="B493">
        <v>183.79504812678499</v>
      </c>
      <c r="C493">
        <v>0.99245290408606501</v>
      </c>
      <c r="D493">
        <v>34.963423864965598</v>
      </c>
      <c r="E493">
        <v>33.952582160572497</v>
      </c>
      <c r="F493">
        <v>26.868111247139201</v>
      </c>
      <c r="G493">
        <v>1.0683624828705101</v>
      </c>
      <c r="H493">
        <v>0.73341915322142104</v>
      </c>
      <c r="I493">
        <v>8.3788133277430408</v>
      </c>
      <c r="J493">
        <v>93.164590391988796</v>
      </c>
      <c r="K493">
        <v>35.338333928340198</v>
      </c>
      <c r="L493" t="s">
        <v>27</v>
      </c>
      <c r="M493" t="s">
        <v>36</v>
      </c>
      <c r="N493">
        <v>31</v>
      </c>
      <c r="O493">
        <v>71.932797202068102</v>
      </c>
      <c r="P493">
        <v>14.4626586772627</v>
      </c>
      <c r="Q493" t="s">
        <v>25</v>
      </c>
      <c r="R493">
        <v>491</v>
      </c>
      <c r="S493">
        <v>102.95647996645</v>
      </c>
    </row>
    <row r="494" spans="1:19" x14ac:dyDescent="0.25">
      <c r="A494">
        <v>8330</v>
      </c>
      <c r="B494">
        <v>162.68545637021001</v>
      </c>
      <c r="C494">
        <v>1.0945712443948299</v>
      </c>
      <c r="D494">
        <v>62.201525868810997</v>
      </c>
      <c r="E494">
        <v>32.643148704908199</v>
      </c>
      <c r="F494">
        <v>19.4821519054614</v>
      </c>
      <c r="G494">
        <v>0.36858341469345401</v>
      </c>
      <c r="H494">
        <v>0.58530705219221002</v>
      </c>
      <c r="I494">
        <v>5.9854756046917297</v>
      </c>
      <c r="J494">
        <v>63.944822329292002</v>
      </c>
      <c r="K494">
        <v>86.070187620579105</v>
      </c>
      <c r="L494" t="s">
        <v>22</v>
      </c>
      <c r="M494" t="s">
        <v>32</v>
      </c>
      <c r="N494">
        <v>34</v>
      </c>
      <c r="O494">
        <v>67.271397195916805</v>
      </c>
      <c r="P494">
        <v>32.837462247458397</v>
      </c>
      <c r="Q494" t="s">
        <v>24</v>
      </c>
      <c r="R494">
        <v>492</v>
      </c>
      <c r="S494">
        <v>96.075553671547894</v>
      </c>
    </row>
    <row r="495" spans="1:19" x14ac:dyDescent="0.25">
      <c r="A495">
        <v>6334</v>
      </c>
      <c r="B495">
        <v>146.27818240104699</v>
      </c>
      <c r="C495">
        <v>0.87121107054269098</v>
      </c>
      <c r="D495">
        <v>73.161069798402593</v>
      </c>
      <c r="E495">
        <v>32.704339916982498</v>
      </c>
      <c r="F495">
        <v>21.246929926850299</v>
      </c>
      <c r="G495">
        <v>1.5825608811535901</v>
      </c>
      <c r="H495">
        <v>0.72201726607326899</v>
      </c>
      <c r="I495">
        <v>5.0552424353450496</v>
      </c>
      <c r="J495">
        <v>49.784734836002102</v>
      </c>
      <c r="K495">
        <v>49.789891607163497</v>
      </c>
      <c r="L495" t="s">
        <v>22</v>
      </c>
      <c r="M495" t="s">
        <v>33</v>
      </c>
      <c r="N495">
        <v>18</v>
      </c>
      <c r="O495">
        <v>56.178962728140597</v>
      </c>
      <c r="P495">
        <v>16.7403854481087</v>
      </c>
      <c r="Q495" t="s">
        <v>31</v>
      </c>
      <c r="R495">
        <v>493</v>
      </c>
      <c r="S495">
        <v>80.247696454705206</v>
      </c>
    </row>
    <row r="496" spans="1:19" x14ac:dyDescent="0.25">
      <c r="A496">
        <v>9924</v>
      </c>
      <c r="B496">
        <v>146.89508683330499</v>
      </c>
      <c r="C496">
        <v>1.3829900704464999</v>
      </c>
      <c r="D496">
        <v>68.067526599702205</v>
      </c>
      <c r="E496">
        <v>34.183651807087102</v>
      </c>
      <c r="F496">
        <v>18.1693958469466</v>
      </c>
      <c r="G496">
        <v>1.5450043611594499</v>
      </c>
      <c r="H496">
        <v>0.57360949484027801</v>
      </c>
      <c r="I496">
        <v>3.5697256454380502</v>
      </c>
      <c r="J496">
        <v>65.591593702211298</v>
      </c>
      <c r="K496">
        <v>19.409701240847699</v>
      </c>
      <c r="L496" t="s">
        <v>22</v>
      </c>
      <c r="M496" t="s">
        <v>32</v>
      </c>
      <c r="N496">
        <v>27</v>
      </c>
      <c r="O496">
        <v>75.9366223093011</v>
      </c>
      <c r="P496">
        <v>22.188480596304299</v>
      </c>
      <c r="Q496" t="s">
        <v>25</v>
      </c>
      <c r="R496">
        <v>494</v>
      </c>
      <c r="S496">
        <v>74.570934755461593</v>
      </c>
    </row>
    <row r="497" spans="1:19" x14ac:dyDescent="0.25">
      <c r="A497">
        <v>5330</v>
      </c>
      <c r="B497">
        <v>152.068311175606</v>
      </c>
      <c r="C497">
        <v>1.7331791872231599</v>
      </c>
      <c r="D497">
        <v>61.680661441052798</v>
      </c>
      <c r="E497">
        <v>32.145632127289197</v>
      </c>
      <c r="F497">
        <v>16.359687225961501</v>
      </c>
      <c r="G497">
        <v>0.76106597868706105</v>
      </c>
      <c r="H497">
        <v>0.44781675838073898</v>
      </c>
      <c r="I497">
        <v>3.6823827051221998</v>
      </c>
      <c r="J497">
        <v>27.120671754123201</v>
      </c>
      <c r="K497">
        <v>69.694980437747503</v>
      </c>
      <c r="L497" t="s">
        <v>19</v>
      </c>
      <c r="M497" t="s">
        <v>33</v>
      </c>
      <c r="N497">
        <v>33</v>
      </c>
      <c r="O497">
        <v>67.692525922089501</v>
      </c>
      <c r="P497">
        <v>19.043646331981702</v>
      </c>
      <c r="Q497" t="s">
        <v>31</v>
      </c>
      <c r="R497">
        <v>495</v>
      </c>
      <c r="S497">
        <v>78.108410004585494</v>
      </c>
    </row>
    <row r="498" spans="1:19" x14ac:dyDescent="0.25">
      <c r="A498">
        <v>9010</v>
      </c>
      <c r="B498">
        <v>150.178571795735</v>
      </c>
      <c r="C498">
        <v>1.99366725829455</v>
      </c>
      <c r="D498">
        <v>51.085078786064301</v>
      </c>
      <c r="E498">
        <v>31.1486361381085</v>
      </c>
      <c r="F498">
        <v>23.549473896903098</v>
      </c>
      <c r="G498">
        <v>0.75123064141111995</v>
      </c>
      <c r="H498">
        <v>0.52262250470676397</v>
      </c>
      <c r="I498">
        <v>4.4479129023152604</v>
      </c>
      <c r="J498">
        <v>99.868737093036202</v>
      </c>
      <c r="K498">
        <v>39.663396615674202</v>
      </c>
      <c r="L498" t="s">
        <v>22</v>
      </c>
      <c r="M498" t="s">
        <v>26</v>
      </c>
      <c r="N498">
        <v>36</v>
      </c>
      <c r="O498">
        <v>71.147872073608497</v>
      </c>
      <c r="P498">
        <v>19.971337384980899</v>
      </c>
      <c r="Q498" t="s">
        <v>29</v>
      </c>
      <c r="R498">
        <v>496</v>
      </c>
      <c r="S498">
        <v>80.244982373420399</v>
      </c>
    </row>
    <row r="499" spans="1:19" x14ac:dyDescent="0.25">
      <c r="A499">
        <v>7801</v>
      </c>
      <c r="B499">
        <v>140.62382847938699</v>
      </c>
      <c r="C499">
        <v>1.4620244881787301</v>
      </c>
      <c r="D499">
        <v>82.164923833699305</v>
      </c>
      <c r="E499">
        <v>32.8072426565694</v>
      </c>
      <c r="F499">
        <v>15.632072257017001</v>
      </c>
      <c r="G499">
        <v>1.70811448562993</v>
      </c>
      <c r="H499">
        <v>0.50343221156349105</v>
      </c>
      <c r="I499">
        <v>8.5201363896810403</v>
      </c>
      <c r="J499">
        <v>44.3301927982967</v>
      </c>
      <c r="K499">
        <v>64.011669904368503</v>
      </c>
      <c r="L499" t="s">
        <v>27</v>
      </c>
      <c r="M499" t="s">
        <v>20</v>
      </c>
      <c r="N499">
        <v>20</v>
      </c>
      <c r="O499">
        <v>66.518274338294106</v>
      </c>
      <c r="P499">
        <v>19.697817564868998</v>
      </c>
      <c r="Q499" t="s">
        <v>31</v>
      </c>
      <c r="R499">
        <v>497</v>
      </c>
      <c r="S499">
        <v>83.801943350536803</v>
      </c>
    </row>
    <row r="500" spans="1:19" x14ac:dyDescent="0.25">
      <c r="A500">
        <v>5846</v>
      </c>
      <c r="B500">
        <v>137.084022079037</v>
      </c>
      <c r="C500">
        <v>1.34007623837257</v>
      </c>
      <c r="D500">
        <v>43.657361601068303</v>
      </c>
      <c r="E500">
        <v>32.418991258501499</v>
      </c>
      <c r="F500">
        <v>19.9268654971406</v>
      </c>
      <c r="G500">
        <v>0.33024306393438702</v>
      </c>
      <c r="H500">
        <v>0.63541064384180401</v>
      </c>
      <c r="I500">
        <v>9.7049188612744093</v>
      </c>
      <c r="J500">
        <v>92.541212319297003</v>
      </c>
      <c r="K500">
        <v>35.9695777892424</v>
      </c>
      <c r="L500" t="s">
        <v>22</v>
      </c>
      <c r="M500" t="s">
        <v>20</v>
      </c>
      <c r="N500">
        <v>29</v>
      </c>
      <c r="O500">
        <v>83.670082983681993</v>
      </c>
      <c r="P500">
        <v>2.1791738376088499</v>
      </c>
      <c r="Q500" t="s">
        <v>24</v>
      </c>
      <c r="R500">
        <v>498</v>
      </c>
      <c r="S500">
        <v>82.880298498224505</v>
      </c>
    </row>
    <row r="501" spans="1:19" x14ac:dyDescent="0.25">
      <c r="A501">
        <v>7731</v>
      </c>
      <c r="B501">
        <v>133.74813744200901</v>
      </c>
      <c r="C501">
        <v>1.57587899612437</v>
      </c>
      <c r="D501">
        <v>85.520558276869494</v>
      </c>
      <c r="E501">
        <v>31.840504416296</v>
      </c>
      <c r="F501">
        <v>17.024130200503802</v>
      </c>
      <c r="G501">
        <v>1.78598926704181</v>
      </c>
      <c r="H501">
        <v>0.76205608088438603</v>
      </c>
      <c r="I501">
        <v>4.9478984321533703</v>
      </c>
      <c r="J501">
        <v>26.834837144819399</v>
      </c>
      <c r="K501">
        <v>57.8057806299989</v>
      </c>
      <c r="L501" t="s">
        <v>27</v>
      </c>
      <c r="M501" t="s">
        <v>35</v>
      </c>
      <c r="N501">
        <v>20</v>
      </c>
      <c r="O501">
        <v>63.458810858280401</v>
      </c>
      <c r="P501">
        <v>21.816526934066001</v>
      </c>
      <c r="Q501" t="s">
        <v>21</v>
      </c>
      <c r="R501">
        <v>499</v>
      </c>
      <c r="S501">
        <v>75.884017212130601</v>
      </c>
    </row>
    <row r="502" spans="1:19" x14ac:dyDescent="0.25">
      <c r="A502">
        <v>8241</v>
      </c>
      <c r="B502">
        <v>119.92070822266599</v>
      </c>
      <c r="C502">
        <v>1.0824285491849801</v>
      </c>
      <c r="D502">
        <v>49.9556596214655</v>
      </c>
      <c r="E502">
        <v>32.789545852921499</v>
      </c>
      <c r="F502">
        <v>24.748415931451198</v>
      </c>
      <c r="G502">
        <v>0.66199104181264601</v>
      </c>
      <c r="H502">
        <v>0.54509334122049602</v>
      </c>
      <c r="I502">
        <v>4.5401755487298496</v>
      </c>
      <c r="J502">
        <v>115.509855616568</v>
      </c>
      <c r="K502">
        <v>72.911437860559801</v>
      </c>
      <c r="L502" t="s">
        <v>34</v>
      </c>
      <c r="M502" t="s">
        <v>36</v>
      </c>
      <c r="N502">
        <v>32</v>
      </c>
      <c r="O502">
        <v>63.151114671922301</v>
      </c>
      <c r="P502">
        <v>13.6989648361128</v>
      </c>
      <c r="Q502" t="s">
        <v>21</v>
      </c>
      <c r="R502">
        <v>500</v>
      </c>
      <c r="S502">
        <v>67.017419415796596</v>
      </c>
    </row>
    <row r="503" spans="1:19" x14ac:dyDescent="0.25">
      <c r="A503">
        <v>1953</v>
      </c>
      <c r="B503">
        <v>129.38649846266401</v>
      </c>
      <c r="C503">
        <v>2.54476936084738</v>
      </c>
      <c r="D503">
        <v>54.951295252939303</v>
      </c>
      <c r="E503">
        <v>33.589806776696101</v>
      </c>
      <c r="F503">
        <v>31.0071504963324</v>
      </c>
      <c r="G503">
        <v>1.2673725459598799</v>
      </c>
      <c r="H503">
        <v>0.40663846441533902</v>
      </c>
      <c r="I503">
        <v>8.6189569823787604</v>
      </c>
      <c r="J503">
        <v>39.301498540569803</v>
      </c>
      <c r="K503">
        <v>84.600655633091506</v>
      </c>
      <c r="L503" t="s">
        <v>19</v>
      </c>
      <c r="M503" t="s">
        <v>28</v>
      </c>
      <c r="N503">
        <v>34</v>
      </c>
      <c r="O503">
        <v>55.506849115968997</v>
      </c>
      <c r="P503">
        <v>32.236537378095498</v>
      </c>
      <c r="Q503" t="s">
        <v>24</v>
      </c>
      <c r="R503">
        <v>501</v>
      </c>
      <c r="S503">
        <v>83.887426131250194</v>
      </c>
    </row>
    <row r="504" spans="1:19" x14ac:dyDescent="0.25">
      <c r="A504">
        <v>3539</v>
      </c>
      <c r="B504">
        <v>101.140863716092</v>
      </c>
      <c r="C504">
        <v>0.69616948644096999</v>
      </c>
      <c r="D504">
        <v>40.664296187686404</v>
      </c>
      <c r="E504">
        <v>32.988853726118599</v>
      </c>
      <c r="F504">
        <v>15.492060085983301</v>
      </c>
      <c r="G504">
        <v>1.8847895222031901</v>
      </c>
      <c r="H504">
        <v>0.68541555034561596</v>
      </c>
      <c r="I504">
        <v>4.8421478857267299</v>
      </c>
      <c r="J504">
        <v>108.274207620708</v>
      </c>
      <c r="K504">
        <v>34.584535832480697</v>
      </c>
      <c r="L504" t="s">
        <v>19</v>
      </c>
      <c r="M504" t="s">
        <v>33</v>
      </c>
      <c r="N504">
        <v>35</v>
      </c>
      <c r="O504">
        <v>68.903308797914605</v>
      </c>
      <c r="P504">
        <v>11.8188780504622</v>
      </c>
      <c r="Q504" t="s">
        <v>21</v>
      </c>
      <c r="R504">
        <v>502</v>
      </c>
      <c r="S504">
        <v>62.373283965405598</v>
      </c>
    </row>
    <row r="505" spans="1:19" x14ac:dyDescent="0.25">
      <c r="A505">
        <v>8056</v>
      </c>
      <c r="B505">
        <v>133.033207464105</v>
      </c>
      <c r="C505">
        <v>1.59237028944786</v>
      </c>
      <c r="D505">
        <v>59.971957062287203</v>
      </c>
      <c r="E505">
        <v>33.368377287223403</v>
      </c>
      <c r="F505">
        <v>12.734907585512101</v>
      </c>
      <c r="G505">
        <v>1.42062050276596</v>
      </c>
      <c r="H505">
        <v>0.73316771914743395</v>
      </c>
      <c r="I505">
        <v>5.9681635506608597</v>
      </c>
      <c r="J505">
        <v>100.947320961543</v>
      </c>
      <c r="K505">
        <v>40.1142713249235</v>
      </c>
      <c r="L505" t="s">
        <v>34</v>
      </c>
      <c r="M505" t="s">
        <v>30</v>
      </c>
      <c r="N505">
        <v>24</v>
      </c>
      <c r="O505">
        <v>82.867256516309396</v>
      </c>
      <c r="P505">
        <v>14.227189171862101</v>
      </c>
      <c r="Q505" t="s">
        <v>24</v>
      </c>
      <c r="R505">
        <v>503</v>
      </c>
      <c r="S505">
        <v>73.7654194594176</v>
      </c>
    </row>
    <row r="506" spans="1:19" x14ac:dyDescent="0.25">
      <c r="A506">
        <v>2542</v>
      </c>
      <c r="B506">
        <v>115.22817785698101</v>
      </c>
      <c r="C506">
        <v>2.5118031096148199</v>
      </c>
      <c r="D506">
        <v>89.506249169559496</v>
      </c>
      <c r="E506">
        <v>35.176089238218502</v>
      </c>
      <c r="F506">
        <v>21.375565573249599</v>
      </c>
      <c r="G506">
        <v>0.94597366244066505</v>
      </c>
      <c r="H506">
        <v>0.92957877170099501</v>
      </c>
      <c r="I506">
        <v>3.0784749813887</v>
      </c>
      <c r="J506">
        <v>116.785992408141</v>
      </c>
      <c r="K506">
        <v>49.819981521445399</v>
      </c>
      <c r="L506" t="s">
        <v>27</v>
      </c>
      <c r="M506" t="s">
        <v>26</v>
      </c>
      <c r="N506">
        <v>36</v>
      </c>
      <c r="O506">
        <v>69.000301388229502</v>
      </c>
      <c r="P506">
        <v>37.568911964482901</v>
      </c>
      <c r="Q506" t="s">
        <v>25</v>
      </c>
      <c r="R506">
        <v>504</v>
      </c>
      <c r="S506">
        <v>67.228813116903297</v>
      </c>
    </row>
    <row r="507" spans="1:19" x14ac:dyDescent="0.25">
      <c r="A507">
        <v>6293</v>
      </c>
      <c r="B507">
        <v>112.928213655684</v>
      </c>
      <c r="C507">
        <v>1.5033999222799901</v>
      </c>
      <c r="D507">
        <v>80.312561768879107</v>
      </c>
      <c r="E507">
        <v>32.588545366130901</v>
      </c>
      <c r="F507">
        <v>22.078488979788698</v>
      </c>
      <c r="G507">
        <v>1.44116157602974</v>
      </c>
      <c r="H507">
        <v>0.72420894170128502</v>
      </c>
      <c r="I507">
        <v>7.6915228220116703</v>
      </c>
      <c r="J507">
        <v>67.789066094574906</v>
      </c>
      <c r="K507">
        <v>84.538112830199097</v>
      </c>
      <c r="L507" t="s">
        <v>19</v>
      </c>
      <c r="M507" t="s">
        <v>23</v>
      </c>
      <c r="N507">
        <v>24</v>
      </c>
      <c r="O507">
        <v>69.8169230742227</v>
      </c>
      <c r="P507">
        <v>23.787239002992401</v>
      </c>
      <c r="Q507" t="s">
        <v>31</v>
      </c>
      <c r="R507">
        <v>505</v>
      </c>
      <c r="S507">
        <v>75.225340798410002</v>
      </c>
    </row>
    <row r="508" spans="1:19" x14ac:dyDescent="0.25">
      <c r="A508">
        <v>2191</v>
      </c>
      <c r="B508">
        <v>138.59788302306899</v>
      </c>
      <c r="C508">
        <v>1.40498048249925</v>
      </c>
      <c r="D508">
        <v>89.568442240560699</v>
      </c>
      <c r="E508">
        <v>33.334018361573598</v>
      </c>
      <c r="F508">
        <v>23.0932965337864</v>
      </c>
      <c r="G508">
        <v>0.819163345369466</v>
      </c>
      <c r="H508">
        <v>0.65914490765797795</v>
      </c>
      <c r="I508">
        <v>5.7878948644370301</v>
      </c>
      <c r="J508">
        <v>92.739729384595094</v>
      </c>
      <c r="K508">
        <v>82.604014260799204</v>
      </c>
      <c r="L508" t="s">
        <v>22</v>
      </c>
      <c r="M508" t="s">
        <v>30</v>
      </c>
      <c r="N508">
        <v>22</v>
      </c>
      <c r="O508">
        <v>75.785712849072695</v>
      </c>
      <c r="P508">
        <v>10.132647939546899</v>
      </c>
      <c r="Q508" t="s">
        <v>21</v>
      </c>
      <c r="R508">
        <v>506</v>
      </c>
      <c r="S508">
        <v>80.621530340249905</v>
      </c>
    </row>
    <row r="509" spans="1:19" x14ac:dyDescent="0.25">
      <c r="A509">
        <v>7313</v>
      </c>
      <c r="B509">
        <v>162.84004572689199</v>
      </c>
      <c r="C509">
        <v>1.3212772885947801</v>
      </c>
      <c r="D509">
        <v>80.442850918678701</v>
      </c>
      <c r="E509">
        <v>32.388943964881001</v>
      </c>
      <c r="F509">
        <v>19.768397423828201</v>
      </c>
      <c r="G509">
        <v>0.69906514942853504</v>
      </c>
      <c r="H509">
        <v>0.71537089424373701</v>
      </c>
      <c r="I509">
        <v>8.2813109521630697</v>
      </c>
      <c r="J509">
        <v>57.071065703778402</v>
      </c>
      <c r="K509">
        <v>21.740871007547799</v>
      </c>
      <c r="L509" t="s">
        <v>27</v>
      </c>
      <c r="M509" t="s">
        <v>30</v>
      </c>
      <c r="N509">
        <v>25</v>
      </c>
      <c r="O509">
        <v>69.296772442218</v>
      </c>
      <c r="P509">
        <v>19.411289274977999</v>
      </c>
      <c r="Q509" t="s">
        <v>25</v>
      </c>
      <c r="R509">
        <v>507</v>
      </c>
      <c r="S509">
        <v>88.942850140214404</v>
      </c>
    </row>
    <row r="510" spans="1:19" x14ac:dyDescent="0.25">
      <c r="A510">
        <v>7938</v>
      </c>
      <c r="B510">
        <v>153.366332120046</v>
      </c>
      <c r="C510">
        <v>1.40980415911879</v>
      </c>
      <c r="D510">
        <v>47.9266034293926</v>
      </c>
      <c r="E510">
        <v>31.984368336135599</v>
      </c>
      <c r="F510">
        <v>20.996803505872801</v>
      </c>
      <c r="G510">
        <v>1.99402990028242</v>
      </c>
      <c r="H510">
        <v>0.91034534642411402</v>
      </c>
      <c r="I510">
        <v>8.0265945702580197</v>
      </c>
      <c r="J510">
        <v>38.436823801969297</v>
      </c>
      <c r="K510">
        <v>24.8947369315358</v>
      </c>
      <c r="L510" t="s">
        <v>19</v>
      </c>
      <c r="M510" t="s">
        <v>33</v>
      </c>
      <c r="N510">
        <v>38</v>
      </c>
      <c r="O510">
        <v>77.5943168245349</v>
      </c>
      <c r="P510">
        <v>8.2368469474873294</v>
      </c>
      <c r="Q510" t="s">
        <v>21</v>
      </c>
      <c r="R510">
        <v>508</v>
      </c>
      <c r="S510">
        <v>93.477779981411203</v>
      </c>
    </row>
    <row r="511" spans="1:19" x14ac:dyDescent="0.25">
      <c r="A511">
        <v>3681</v>
      </c>
      <c r="B511">
        <v>103.589987927536</v>
      </c>
      <c r="C511">
        <v>2.1864242373382599</v>
      </c>
      <c r="D511">
        <v>63.384215513448801</v>
      </c>
      <c r="E511">
        <v>32.298110815898603</v>
      </c>
      <c r="F511">
        <v>23.837552052703</v>
      </c>
      <c r="G511">
        <v>1.5514224161236101</v>
      </c>
      <c r="H511">
        <v>0.855607980080905</v>
      </c>
      <c r="I511">
        <v>2.9350429144302499</v>
      </c>
      <c r="J511">
        <v>64.307593293344794</v>
      </c>
      <c r="K511">
        <v>52.163188299797802</v>
      </c>
      <c r="L511" t="s">
        <v>34</v>
      </c>
      <c r="M511" t="s">
        <v>28</v>
      </c>
      <c r="N511">
        <v>33</v>
      </c>
      <c r="O511">
        <v>78.781939600696305</v>
      </c>
      <c r="P511">
        <v>20.060693553058702</v>
      </c>
      <c r="Q511" t="s">
        <v>29</v>
      </c>
      <c r="R511">
        <v>509</v>
      </c>
      <c r="S511">
        <v>54.226602533540003</v>
      </c>
    </row>
    <row r="512" spans="1:19" x14ac:dyDescent="0.25">
      <c r="A512">
        <v>2540</v>
      </c>
      <c r="B512">
        <v>115.207437268593</v>
      </c>
      <c r="C512">
        <v>0.39406904433524598</v>
      </c>
      <c r="D512">
        <v>54.396017417650697</v>
      </c>
      <c r="E512">
        <v>32.425489714173899</v>
      </c>
      <c r="F512">
        <v>27.202154463224101</v>
      </c>
      <c r="G512">
        <v>1.3604959592872701</v>
      </c>
      <c r="H512">
        <v>0.57763830335009403</v>
      </c>
      <c r="I512">
        <v>7.4407199550198602</v>
      </c>
      <c r="J512">
        <v>36.574901538845403</v>
      </c>
      <c r="K512">
        <v>22.996445460406701</v>
      </c>
      <c r="L512" t="s">
        <v>27</v>
      </c>
      <c r="M512" t="s">
        <v>26</v>
      </c>
      <c r="N512">
        <v>33</v>
      </c>
      <c r="O512">
        <v>63.256064047621301</v>
      </c>
      <c r="P512">
        <v>11.5649724586399</v>
      </c>
      <c r="Q512" t="s">
        <v>24</v>
      </c>
      <c r="R512">
        <v>510</v>
      </c>
      <c r="S512">
        <v>64.196931168798599</v>
      </c>
    </row>
    <row r="513" spans="1:19" x14ac:dyDescent="0.25">
      <c r="A513">
        <v>7172</v>
      </c>
      <c r="B513">
        <v>153.815423759764</v>
      </c>
      <c r="C513">
        <v>2.2667168506481601</v>
      </c>
      <c r="D513">
        <v>96.611498080780805</v>
      </c>
      <c r="E513">
        <v>33.431370957056501</v>
      </c>
      <c r="F513">
        <v>12.224756148408501</v>
      </c>
      <c r="G513">
        <v>0.83952135779477299</v>
      </c>
      <c r="H513">
        <v>0.53048990001142504</v>
      </c>
      <c r="I513">
        <v>8.2004896715623392</v>
      </c>
      <c r="J513">
        <v>118.204462278638</v>
      </c>
      <c r="K513">
        <v>40.918565501152301</v>
      </c>
      <c r="L513" t="s">
        <v>19</v>
      </c>
      <c r="M513" t="s">
        <v>26</v>
      </c>
      <c r="N513">
        <v>36</v>
      </c>
      <c r="O513">
        <v>56.5565586224577</v>
      </c>
      <c r="P513">
        <v>32.918787722963202</v>
      </c>
      <c r="Q513" t="s">
        <v>24</v>
      </c>
      <c r="R513">
        <v>511</v>
      </c>
      <c r="S513">
        <v>97.207617823639097</v>
      </c>
    </row>
    <row r="514" spans="1:19" x14ac:dyDescent="0.25">
      <c r="A514">
        <v>6541</v>
      </c>
      <c r="B514">
        <v>115.350252129233</v>
      </c>
      <c r="C514">
        <v>0.78802142377492701</v>
      </c>
      <c r="D514">
        <v>46.064227071473702</v>
      </c>
      <c r="E514">
        <v>35.818890944040902</v>
      </c>
      <c r="F514">
        <v>20.155302804842599</v>
      </c>
      <c r="G514">
        <v>0.28848949247908601</v>
      </c>
      <c r="H514">
        <v>0.54444848680133995</v>
      </c>
      <c r="I514">
        <v>4.1149651670415501</v>
      </c>
      <c r="J514">
        <v>29.624649114071602</v>
      </c>
      <c r="K514">
        <v>26.128903366310801</v>
      </c>
      <c r="L514" t="s">
        <v>34</v>
      </c>
      <c r="M514" t="s">
        <v>28</v>
      </c>
      <c r="N514">
        <v>32</v>
      </c>
      <c r="O514">
        <v>73.516717487810396</v>
      </c>
      <c r="P514">
        <v>21.367075791453701</v>
      </c>
      <c r="Q514" t="s">
        <v>25</v>
      </c>
      <c r="R514">
        <v>512</v>
      </c>
      <c r="S514">
        <v>65.301205452275397</v>
      </c>
    </row>
    <row r="515" spans="1:19" x14ac:dyDescent="0.25">
      <c r="A515">
        <v>2365</v>
      </c>
      <c r="B515">
        <v>130.50733700005901</v>
      </c>
      <c r="C515">
        <v>1.3666738353827901</v>
      </c>
      <c r="D515">
        <v>87.873953787782199</v>
      </c>
      <c r="E515">
        <v>32.1407478764689</v>
      </c>
      <c r="F515">
        <v>23.069043969705302</v>
      </c>
      <c r="G515">
        <v>0.25590237686327999</v>
      </c>
      <c r="H515">
        <v>0.677431571843367</v>
      </c>
      <c r="I515">
        <v>2.5534820161204701</v>
      </c>
      <c r="J515">
        <v>78.921172345261994</v>
      </c>
      <c r="K515">
        <v>62.703026634891401</v>
      </c>
      <c r="L515" t="s">
        <v>27</v>
      </c>
      <c r="M515" t="s">
        <v>20</v>
      </c>
      <c r="N515">
        <v>24</v>
      </c>
      <c r="O515">
        <v>70.581051197004697</v>
      </c>
      <c r="P515">
        <v>22.220417468137001</v>
      </c>
      <c r="Q515" t="s">
        <v>29</v>
      </c>
      <c r="R515">
        <v>513</v>
      </c>
      <c r="S515">
        <v>69.086529129795196</v>
      </c>
    </row>
    <row r="516" spans="1:19" x14ac:dyDescent="0.25">
      <c r="A516">
        <v>9691</v>
      </c>
      <c r="B516">
        <v>146.00104198049101</v>
      </c>
      <c r="C516">
        <v>1.28537778985066</v>
      </c>
      <c r="D516">
        <v>87.859077402175302</v>
      </c>
      <c r="E516">
        <v>32.500049633261398</v>
      </c>
      <c r="F516">
        <v>17.410119476946299</v>
      </c>
      <c r="G516">
        <v>1.19752625980783</v>
      </c>
      <c r="H516">
        <v>0.80922719817571698</v>
      </c>
      <c r="I516">
        <v>1.02368940021629</v>
      </c>
      <c r="J516">
        <v>82.646385525405506</v>
      </c>
      <c r="K516">
        <v>86.212157380437105</v>
      </c>
      <c r="L516" t="s">
        <v>22</v>
      </c>
      <c r="M516" t="s">
        <v>37</v>
      </c>
      <c r="N516">
        <v>22</v>
      </c>
      <c r="O516">
        <v>59.6331183009585</v>
      </c>
      <c r="P516">
        <v>25.598010615007102</v>
      </c>
      <c r="Q516" t="s">
        <v>31</v>
      </c>
      <c r="R516">
        <v>514</v>
      </c>
      <c r="S516">
        <v>70.413743114716894</v>
      </c>
    </row>
    <row r="517" spans="1:19" x14ac:dyDescent="0.25">
      <c r="A517">
        <v>9702</v>
      </c>
      <c r="B517">
        <v>115.633110902727</v>
      </c>
      <c r="C517">
        <v>1.7942766348853501</v>
      </c>
      <c r="D517">
        <v>106.59240403432101</v>
      </c>
      <c r="E517">
        <v>32.924252384266502</v>
      </c>
      <c r="F517">
        <v>30.655848158836498</v>
      </c>
      <c r="G517">
        <v>1.5716588978702899</v>
      </c>
      <c r="H517">
        <v>0.67677056395062896</v>
      </c>
      <c r="I517">
        <v>5.0581328778383297</v>
      </c>
      <c r="J517">
        <v>73.807954287405394</v>
      </c>
      <c r="K517">
        <v>89.755032772078593</v>
      </c>
      <c r="L517" t="s">
        <v>27</v>
      </c>
      <c r="M517" t="s">
        <v>35</v>
      </c>
      <c r="N517">
        <v>28</v>
      </c>
      <c r="O517">
        <v>62.575696041649401</v>
      </c>
      <c r="P517">
        <v>26.492985177599</v>
      </c>
      <c r="Q517" t="s">
        <v>29</v>
      </c>
      <c r="R517">
        <v>515</v>
      </c>
      <c r="S517">
        <v>67.426527186740003</v>
      </c>
    </row>
    <row r="518" spans="1:19" x14ac:dyDescent="0.25">
      <c r="A518">
        <v>8494</v>
      </c>
      <c r="B518">
        <v>137.107510122919</v>
      </c>
      <c r="C518">
        <v>0.70093782405812599</v>
      </c>
      <c r="D518">
        <v>61.806268147410002</v>
      </c>
      <c r="E518">
        <v>33.474958618451602</v>
      </c>
      <c r="F518">
        <v>18.822950598856298</v>
      </c>
      <c r="G518">
        <v>1.16728254279893</v>
      </c>
      <c r="H518">
        <v>0.437288017705461</v>
      </c>
      <c r="I518">
        <v>4.1718945838495696</v>
      </c>
      <c r="J518">
        <v>86.218588571183304</v>
      </c>
      <c r="K518">
        <v>43.143084937268597</v>
      </c>
      <c r="L518" t="s">
        <v>22</v>
      </c>
      <c r="M518" t="s">
        <v>32</v>
      </c>
      <c r="N518">
        <v>27</v>
      </c>
      <c r="O518">
        <v>62.550854303626998</v>
      </c>
      <c r="P518">
        <v>12.487440526010801</v>
      </c>
      <c r="Q518" t="s">
        <v>29</v>
      </c>
      <c r="R518">
        <v>516</v>
      </c>
      <c r="S518">
        <v>72.167372287582097</v>
      </c>
    </row>
    <row r="519" spans="1:19" x14ac:dyDescent="0.25">
      <c r="A519">
        <v>5312</v>
      </c>
      <c r="B519">
        <v>108.319490101635</v>
      </c>
      <c r="C519">
        <v>1.73108633304097</v>
      </c>
      <c r="D519">
        <v>84.246443191603205</v>
      </c>
      <c r="E519">
        <v>33.316260974345703</v>
      </c>
      <c r="F519">
        <v>21.7935365649635</v>
      </c>
      <c r="G519">
        <v>1.7134131294904</v>
      </c>
      <c r="H519">
        <v>0.79796938524198902</v>
      </c>
      <c r="I519">
        <v>5.9941885044286796</v>
      </c>
      <c r="J519">
        <v>31.618077501188999</v>
      </c>
      <c r="K519">
        <v>59.925947783595902</v>
      </c>
      <c r="L519" t="s">
        <v>27</v>
      </c>
      <c r="M519" t="s">
        <v>35</v>
      </c>
      <c r="N519">
        <v>38</v>
      </c>
      <c r="O519">
        <v>69.179666396629301</v>
      </c>
      <c r="P519">
        <v>18.7597498964459</v>
      </c>
      <c r="Q519" t="s">
        <v>31</v>
      </c>
      <c r="R519">
        <v>517</v>
      </c>
      <c r="S519">
        <v>62.828872710476197</v>
      </c>
    </row>
    <row r="520" spans="1:19" x14ac:dyDescent="0.25">
      <c r="A520">
        <v>2324</v>
      </c>
      <c r="B520">
        <v>122.972647120975</v>
      </c>
      <c r="C520">
        <v>2.5121548116434198</v>
      </c>
      <c r="D520">
        <v>115.633036730776</v>
      </c>
      <c r="E520">
        <v>34.540914952737701</v>
      </c>
      <c r="F520">
        <v>24.780110484211399</v>
      </c>
      <c r="G520">
        <v>0.26016775956779897</v>
      </c>
      <c r="H520">
        <v>0.84328357076902405</v>
      </c>
      <c r="I520">
        <v>2.69236983329907</v>
      </c>
      <c r="J520">
        <v>75.501852420529104</v>
      </c>
      <c r="K520">
        <v>79.220074014305993</v>
      </c>
      <c r="L520" t="s">
        <v>34</v>
      </c>
      <c r="M520" t="s">
        <v>20</v>
      </c>
      <c r="N520">
        <v>26</v>
      </c>
      <c r="O520">
        <v>75.979080377151305</v>
      </c>
      <c r="P520">
        <v>14.436167175177699</v>
      </c>
      <c r="Q520" t="s">
        <v>31</v>
      </c>
      <c r="R520">
        <v>518</v>
      </c>
      <c r="S520">
        <v>63.815863884413503</v>
      </c>
    </row>
    <row r="521" spans="1:19" x14ac:dyDescent="0.25">
      <c r="A521">
        <v>4141</v>
      </c>
      <c r="B521">
        <v>141.39563868285001</v>
      </c>
      <c r="C521">
        <v>0.81841299770359399</v>
      </c>
      <c r="D521">
        <v>57.647166461326002</v>
      </c>
      <c r="E521">
        <v>30.0883295153577</v>
      </c>
      <c r="F521">
        <v>19.043576055990499</v>
      </c>
      <c r="G521">
        <v>0.860153737566692</v>
      </c>
      <c r="H521">
        <v>0.55922382581584495</v>
      </c>
      <c r="I521">
        <v>8.7369899289982698</v>
      </c>
      <c r="J521">
        <v>48.721257112736097</v>
      </c>
      <c r="K521">
        <v>23.809655459728798</v>
      </c>
      <c r="L521" t="s">
        <v>22</v>
      </c>
      <c r="M521" t="s">
        <v>33</v>
      </c>
      <c r="N521">
        <v>18</v>
      </c>
      <c r="O521">
        <v>76.426985112804502</v>
      </c>
      <c r="P521">
        <v>34.752584766834502</v>
      </c>
      <c r="Q521" t="s">
        <v>29</v>
      </c>
      <c r="R521">
        <v>519</v>
      </c>
      <c r="S521">
        <v>87.604663944303596</v>
      </c>
    </row>
    <row r="522" spans="1:19" x14ac:dyDescent="0.25">
      <c r="A522">
        <v>8419</v>
      </c>
      <c r="B522">
        <v>103.140125329366</v>
      </c>
      <c r="C522">
        <v>1.59485308380519</v>
      </c>
      <c r="D522">
        <v>39.299195049352797</v>
      </c>
      <c r="E522">
        <v>30.135684155765102</v>
      </c>
      <c r="F522">
        <v>12.7671347609779</v>
      </c>
      <c r="G522">
        <v>0.62672670411352005</v>
      </c>
      <c r="H522">
        <v>0.76526915660584205</v>
      </c>
      <c r="I522">
        <v>3.3197969406529801</v>
      </c>
      <c r="J522">
        <v>114.017606330105</v>
      </c>
      <c r="K522">
        <v>66.717330828897303</v>
      </c>
      <c r="L522" t="s">
        <v>22</v>
      </c>
      <c r="M522" t="s">
        <v>33</v>
      </c>
      <c r="N522">
        <v>37</v>
      </c>
      <c r="O522">
        <v>74.326584970035199</v>
      </c>
      <c r="P522">
        <v>-0.28212017525438399</v>
      </c>
      <c r="Q522" t="s">
        <v>21</v>
      </c>
      <c r="R522">
        <v>520</v>
      </c>
      <c r="S522">
        <v>50.1963091459724</v>
      </c>
    </row>
    <row r="523" spans="1:19" x14ac:dyDescent="0.25">
      <c r="A523">
        <v>4486</v>
      </c>
      <c r="B523">
        <v>143.80949475920701</v>
      </c>
      <c r="C523">
        <v>1.1690089111016899</v>
      </c>
      <c r="D523">
        <v>32.399799321844696</v>
      </c>
      <c r="E523">
        <v>32.404946193587797</v>
      </c>
      <c r="F523">
        <v>19.856727365417299</v>
      </c>
      <c r="G523">
        <v>1.0050913426828101</v>
      </c>
      <c r="H523">
        <v>0.63462554557991602</v>
      </c>
      <c r="I523">
        <v>3.0378664457888398</v>
      </c>
      <c r="J523">
        <v>96.207165343972505</v>
      </c>
      <c r="K523">
        <v>45.663274629380098</v>
      </c>
      <c r="L523" t="s">
        <v>27</v>
      </c>
      <c r="M523" t="s">
        <v>36</v>
      </c>
      <c r="N523">
        <v>18</v>
      </c>
      <c r="O523">
        <v>65.663300366874594</v>
      </c>
      <c r="P523">
        <v>13.39911986595</v>
      </c>
      <c r="Q523" t="s">
        <v>21</v>
      </c>
      <c r="R523">
        <v>521</v>
      </c>
      <c r="S523">
        <v>73.523072256081903</v>
      </c>
    </row>
    <row r="524" spans="1:19" x14ac:dyDescent="0.25">
      <c r="A524">
        <v>2810</v>
      </c>
      <c r="B524">
        <v>134.60724402146599</v>
      </c>
      <c r="C524">
        <v>1.7129436030965099</v>
      </c>
      <c r="D524">
        <v>84.254240577226597</v>
      </c>
      <c r="E524">
        <v>34.316760225052398</v>
      </c>
      <c r="F524">
        <v>27.147202779635201</v>
      </c>
      <c r="G524">
        <v>0.33027750774942</v>
      </c>
      <c r="H524">
        <v>0.88901564565009294</v>
      </c>
      <c r="I524">
        <v>5.3264265083591997</v>
      </c>
      <c r="J524">
        <v>117.25144821597399</v>
      </c>
      <c r="K524">
        <v>30.4609620210123</v>
      </c>
      <c r="L524" t="s">
        <v>19</v>
      </c>
      <c r="M524" t="s">
        <v>35</v>
      </c>
      <c r="N524">
        <v>25</v>
      </c>
      <c r="O524">
        <v>85.760899880551904</v>
      </c>
      <c r="P524">
        <v>17.360308679140399</v>
      </c>
      <c r="Q524" t="s">
        <v>29</v>
      </c>
      <c r="R524">
        <v>522</v>
      </c>
      <c r="S524">
        <v>69.525943634874196</v>
      </c>
    </row>
    <row r="525" spans="1:19" x14ac:dyDescent="0.25">
      <c r="A525">
        <v>7588</v>
      </c>
      <c r="B525">
        <v>146.04979908834201</v>
      </c>
      <c r="C525">
        <v>1.50957388870787</v>
      </c>
      <c r="D525">
        <v>32.336995838828301</v>
      </c>
      <c r="E525">
        <v>31.121222362073201</v>
      </c>
      <c r="F525">
        <v>20.3155243660743</v>
      </c>
      <c r="G525">
        <v>1.91743695482793</v>
      </c>
      <c r="H525">
        <v>0.86487405698840603</v>
      </c>
      <c r="I525">
        <v>5.4896592136984603</v>
      </c>
      <c r="J525">
        <v>23.7556069740189</v>
      </c>
      <c r="K525">
        <v>45.206521406058101</v>
      </c>
      <c r="L525" t="s">
        <v>22</v>
      </c>
      <c r="M525" t="s">
        <v>35</v>
      </c>
      <c r="N525">
        <v>20</v>
      </c>
      <c r="O525">
        <v>68.265763726585803</v>
      </c>
      <c r="P525">
        <v>19.0954872408212</v>
      </c>
      <c r="Q525" t="s">
        <v>21</v>
      </c>
      <c r="R525">
        <v>523</v>
      </c>
      <c r="S525">
        <v>86.305044701753104</v>
      </c>
    </row>
    <row r="526" spans="1:19" x14ac:dyDescent="0.25">
      <c r="A526">
        <v>3923</v>
      </c>
      <c r="B526">
        <v>139.478282681293</v>
      </c>
      <c r="C526">
        <v>1.1792565454778401</v>
      </c>
      <c r="D526">
        <v>62.553618941241503</v>
      </c>
      <c r="E526">
        <v>30</v>
      </c>
      <c r="F526">
        <v>17.7678284927051</v>
      </c>
      <c r="G526">
        <v>0.60185972192484904</v>
      </c>
      <c r="H526">
        <v>0.68898759907030305</v>
      </c>
      <c r="I526">
        <v>2.9357670590658298</v>
      </c>
      <c r="J526">
        <v>48.513317518070799</v>
      </c>
      <c r="K526">
        <v>20.697021522368701</v>
      </c>
      <c r="L526" t="s">
        <v>27</v>
      </c>
      <c r="M526" t="s">
        <v>32</v>
      </c>
      <c r="N526">
        <v>19</v>
      </c>
      <c r="O526">
        <v>64.889525272664798</v>
      </c>
      <c r="P526">
        <v>18.932150409390299</v>
      </c>
      <c r="Q526" t="s">
        <v>31</v>
      </c>
      <c r="R526">
        <v>524</v>
      </c>
      <c r="S526">
        <v>71.541805668574298</v>
      </c>
    </row>
    <row r="527" spans="1:19" x14ac:dyDescent="0.25">
      <c r="A527">
        <v>6301</v>
      </c>
      <c r="B527">
        <v>162.282808599476</v>
      </c>
      <c r="C527">
        <v>1.74393614243553</v>
      </c>
      <c r="D527">
        <v>78.746263740779199</v>
      </c>
      <c r="E527">
        <v>33.685415287463002</v>
      </c>
      <c r="F527">
        <v>26.6283610475136</v>
      </c>
      <c r="G527">
        <v>1.86015399587045</v>
      </c>
      <c r="H527">
        <v>0.78032805019747697</v>
      </c>
      <c r="I527">
        <v>3.44674654053324</v>
      </c>
      <c r="J527">
        <v>39.5422586638349</v>
      </c>
      <c r="K527">
        <v>67.155536144197896</v>
      </c>
      <c r="L527" t="s">
        <v>34</v>
      </c>
      <c r="M527" t="s">
        <v>33</v>
      </c>
      <c r="N527">
        <v>21</v>
      </c>
      <c r="O527">
        <v>57.071468001307601</v>
      </c>
      <c r="P527">
        <v>17.630785102062699</v>
      </c>
      <c r="Q527" t="s">
        <v>31</v>
      </c>
      <c r="R527">
        <v>525</v>
      </c>
      <c r="S527">
        <v>80.034495157920503</v>
      </c>
    </row>
    <row r="528" spans="1:19" x14ac:dyDescent="0.25">
      <c r="A528">
        <v>5186</v>
      </c>
      <c r="B528">
        <v>137.504490052958</v>
      </c>
      <c r="C528">
        <v>2.4021740548933699</v>
      </c>
      <c r="D528">
        <v>73.703510736598204</v>
      </c>
      <c r="E528">
        <v>33.292388668443202</v>
      </c>
      <c r="F528">
        <v>20.346125519884701</v>
      </c>
      <c r="G528">
        <v>0.96660767906602696</v>
      </c>
      <c r="H528">
        <v>0.88584233556215697</v>
      </c>
      <c r="I528">
        <v>2.5273471523972</v>
      </c>
      <c r="J528">
        <v>21.115458731183001</v>
      </c>
      <c r="K528">
        <v>33.955700156133901</v>
      </c>
      <c r="L528" t="s">
        <v>27</v>
      </c>
      <c r="M528" t="s">
        <v>30</v>
      </c>
      <c r="N528">
        <v>36</v>
      </c>
      <c r="O528">
        <v>65.2196821827809</v>
      </c>
      <c r="P528">
        <v>16.7006561184844</v>
      </c>
      <c r="Q528" t="s">
        <v>21</v>
      </c>
      <c r="R528">
        <v>526</v>
      </c>
      <c r="S528">
        <v>71.701569811859898</v>
      </c>
    </row>
    <row r="529" spans="1:19" x14ac:dyDescent="0.25">
      <c r="A529">
        <v>9905</v>
      </c>
      <c r="B529">
        <v>126.411889177494</v>
      </c>
      <c r="C529">
        <v>1.4045481041363499</v>
      </c>
      <c r="D529">
        <v>78.508897283683396</v>
      </c>
      <c r="E529">
        <v>31.691749911840599</v>
      </c>
      <c r="F529">
        <v>19.4491959317489</v>
      </c>
      <c r="G529">
        <v>1.97394343985939</v>
      </c>
      <c r="H529">
        <v>0.67264435554305102</v>
      </c>
      <c r="I529">
        <v>7.4661416049084997</v>
      </c>
      <c r="J529">
        <v>44.232573024632103</v>
      </c>
      <c r="K529">
        <v>38.355423378365799</v>
      </c>
      <c r="L529" t="s">
        <v>27</v>
      </c>
      <c r="M529" t="s">
        <v>35</v>
      </c>
      <c r="N529">
        <v>28</v>
      </c>
      <c r="O529">
        <v>71.510187266040404</v>
      </c>
      <c r="P529">
        <v>19.930375748492299</v>
      </c>
      <c r="Q529" t="s">
        <v>31</v>
      </c>
      <c r="R529">
        <v>527</v>
      </c>
      <c r="S529">
        <v>73.883773023305395</v>
      </c>
    </row>
    <row r="530" spans="1:19" x14ac:dyDescent="0.25">
      <c r="A530">
        <v>6977</v>
      </c>
      <c r="B530">
        <v>137.445950060645</v>
      </c>
      <c r="C530">
        <v>1.8598789710740899</v>
      </c>
      <c r="D530">
        <v>74.445797116017005</v>
      </c>
      <c r="E530">
        <v>31.817352479134801</v>
      </c>
      <c r="F530">
        <v>22.747280448316499</v>
      </c>
      <c r="G530">
        <v>1.19730509022837</v>
      </c>
      <c r="H530">
        <v>0.57228790726885204</v>
      </c>
      <c r="I530">
        <v>7.9308012812867297</v>
      </c>
      <c r="J530">
        <v>87.877598352042895</v>
      </c>
      <c r="K530">
        <v>24.081097368109699</v>
      </c>
      <c r="L530" t="s">
        <v>22</v>
      </c>
      <c r="M530" t="s">
        <v>32</v>
      </c>
      <c r="N530">
        <v>22</v>
      </c>
      <c r="O530">
        <v>55.310085990606602</v>
      </c>
      <c r="P530">
        <v>21.692023996084</v>
      </c>
      <c r="Q530" t="s">
        <v>24</v>
      </c>
      <c r="R530">
        <v>528</v>
      </c>
      <c r="S530">
        <v>82.371674908545501</v>
      </c>
    </row>
    <row r="531" spans="1:19" x14ac:dyDescent="0.25">
      <c r="A531">
        <v>5268</v>
      </c>
      <c r="B531">
        <v>145.86596058072701</v>
      </c>
      <c r="C531">
        <v>0.85336352106441804</v>
      </c>
      <c r="D531">
        <v>95.5773162662678</v>
      </c>
      <c r="E531">
        <v>31.836307536438301</v>
      </c>
      <c r="F531">
        <v>25.853751048093901</v>
      </c>
      <c r="G531">
        <v>1.87549915551645</v>
      </c>
      <c r="H531">
        <v>0.81451637585026904</v>
      </c>
      <c r="I531">
        <v>5.1609564771335403</v>
      </c>
      <c r="J531">
        <v>43.108892213456798</v>
      </c>
      <c r="K531">
        <v>79.849433541741803</v>
      </c>
      <c r="L531" t="s">
        <v>19</v>
      </c>
      <c r="M531" t="s">
        <v>28</v>
      </c>
      <c r="N531">
        <v>27</v>
      </c>
      <c r="O531">
        <v>60.367109923176798</v>
      </c>
      <c r="P531">
        <v>32.325671020447501</v>
      </c>
      <c r="Q531" t="s">
        <v>31</v>
      </c>
      <c r="R531">
        <v>529</v>
      </c>
      <c r="S531">
        <v>82.495379543069802</v>
      </c>
    </row>
    <row r="532" spans="1:19" x14ac:dyDescent="0.25">
      <c r="A532">
        <v>5748</v>
      </c>
      <c r="B532">
        <v>135.97720140651401</v>
      </c>
      <c r="C532">
        <v>1.02178181159099</v>
      </c>
      <c r="D532">
        <v>50.953672385224003</v>
      </c>
      <c r="E532">
        <v>33.132642380968697</v>
      </c>
      <c r="F532">
        <v>33.908567658662697</v>
      </c>
      <c r="G532">
        <v>0.20962817964960101</v>
      </c>
      <c r="H532">
        <v>0.52103644013158001</v>
      </c>
      <c r="I532">
        <v>7.42678320416515</v>
      </c>
      <c r="J532">
        <v>70.900344548261799</v>
      </c>
      <c r="K532">
        <v>52.008320946205302</v>
      </c>
      <c r="L532" t="s">
        <v>34</v>
      </c>
      <c r="M532" t="s">
        <v>23</v>
      </c>
      <c r="N532">
        <v>25</v>
      </c>
      <c r="O532">
        <v>64.261270189223396</v>
      </c>
      <c r="P532">
        <v>32.254882428407797</v>
      </c>
      <c r="Q532" t="s">
        <v>29</v>
      </c>
      <c r="R532">
        <v>530</v>
      </c>
      <c r="S532">
        <v>78.655711767373006</v>
      </c>
    </row>
    <row r="533" spans="1:19" x14ac:dyDescent="0.25">
      <c r="A533">
        <v>5849</v>
      </c>
      <c r="B533">
        <v>135.81183382407701</v>
      </c>
      <c r="C533">
        <v>1.73620313894018</v>
      </c>
      <c r="D533">
        <v>56.460097230829298</v>
      </c>
      <c r="E533">
        <v>32.248421668580299</v>
      </c>
      <c r="F533">
        <v>26.1361805382871</v>
      </c>
      <c r="G533">
        <v>1.54682985112562</v>
      </c>
      <c r="H533">
        <v>0.61369213140332302</v>
      </c>
      <c r="I533">
        <v>7.6234185274370097</v>
      </c>
      <c r="J533">
        <v>108.781811496499</v>
      </c>
      <c r="K533">
        <v>57.911015833980002</v>
      </c>
      <c r="L533" t="s">
        <v>22</v>
      </c>
      <c r="M533" t="s">
        <v>28</v>
      </c>
      <c r="N533">
        <v>30</v>
      </c>
      <c r="O533">
        <v>61.796881118413701</v>
      </c>
      <c r="P533">
        <v>20.407974880825499</v>
      </c>
      <c r="Q533" t="s">
        <v>25</v>
      </c>
      <c r="R533">
        <v>531</v>
      </c>
      <c r="S533">
        <v>86.705791884888797</v>
      </c>
    </row>
    <row r="534" spans="1:19" x14ac:dyDescent="0.25">
      <c r="A534">
        <v>4709</v>
      </c>
      <c r="B534">
        <v>120.96016624386399</v>
      </c>
      <c r="C534">
        <v>2.2420580142679798</v>
      </c>
      <c r="D534">
        <v>54.546811094583497</v>
      </c>
      <c r="E534">
        <v>33.592876702770603</v>
      </c>
      <c r="F534">
        <v>27.799199831941699</v>
      </c>
      <c r="G534">
        <v>1.82549117558452</v>
      </c>
      <c r="H534">
        <v>0.87614998040873604</v>
      </c>
      <c r="I534">
        <v>2.2444797491002699</v>
      </c>
      <c r="J534">
        <v>89.375792034907505</v>
      </c>
      <c r="K534">
        <v>57.707451232114003</v>
      </c>
      <c r="L534" t="s">
        <v>22</v>
      </c>
      <c r="M534" t="s">
        <v>32</v>
      </c>
      <c r="N534">
        <v>22</v>
      </c>
      <c r="O534">
        <v>61.137024001686498</v>
      </c>
      <c r="P534">
        <v>14.037235304959401</v>
      </c>
      <c r="Q534" t="s">
        <v>21</v>
      </c>
      <c r="R534">
        <v>532</v>
      </c>
      <c r="S534">
        <v>67.861759304981803</v>
      </c>
    </row>
    <row r="535" spans="1:19" x14ac:dyDescent="0.25">
      <c r="A535">
        <v>7619</v>
      </c>
      <c r="B535">
        <v>121.741981648981</v>
      </c>
      <c r="C535">
        <v>1.6778066743928299</v>
      </c>
      <c r="D535">
        <v>86.603836237252196</v>
      </c>
      <c r="E535">
        <v>30</v>
      </c>
      <c r="F535">
        <v>19.470169005060701</v>
      </c>
      <c r="G535">
        <v>0.45149702056211699</v>
      </c>
      <c r="H535">
        <v>0.79843228714812298</v>
      </c>
      <c r="I535">
        <v>9.6956022235108303</v>
      </c>
      <c r="J535">
        <v>59.462906990603102</v>
      </c>
      <c r="K535">
        <v>45.786983590600599</v>
      </c>
      <c r="L535" t="s">
        <v>22</v>
      </c>
      <c r="M535" t="s">
        <v>30</v>
      </c>
      <c r="N535">
        <v>29</v>
      </c>
      <c r="O535">
        <v>76.996912889840104</v>
      </c>
      <c r="P535">
        <v>14.596901912922</v>
      </c>
      <c r="Q535" t="s">
        <v>21</v>
      </c>
      <c r="R535">
        <v>533</v>
      </c>
      <c r="S535">
        <v>76.792826886918306</v>
      </c>
    </row>
    <row r="536" spans="1:19" x14ac:dyDescent="0.25">
      <c r="A536">
        <v>9647</v>
      </c>
      <c r="B536">
        <v>106.94789456400601</v>
      </c>
      <c r="C536">
        <v>1.3434709847384201</v>
      </c>
      <c r="D536">
        <v>88.007971767901196</v>
      </c>
      <c r="E536">
        <v>31.971777761846599</v>
      </c>
      <c r="F536">
        <v>16.870659470152599</v>
      </c>
      <c r="G536">
        <v>0.37302653311787198</v>
      </c>
      <c r="H536">
        <v>0.62209605288612402</v>
      </c>
      <c r="I536">
        <v>8.3892875238678695</v>
      </c>
      <c r="J536">
        <v>57.246893891210803</v>
      </c>
      <c r="K536">
        <v>29.439743657860401</v>
      </c>
      <c r="L536" t="s">
        <v>34</v>
      </c>
      <c r="M536" t="s">
        <v>36</v>
      </c>
      <c r="N536">
        <v>30</v>
      </c>
      <c r="O536">
        <v>54.794563849941099</v>
      </c>
      <c r="P536">
        <v>7.4872666752700097</v>
      </c>
      <c r="Q536" t="s">
        <v>31</v>
      </c>
      <c r="R536">
        <v>534</v>
      </c>
      <c r="S536">
        <v>64.514519860351697</v>
      </c>
    </row>
    <row r="537" spans="1:19" x14ac:dyDescent="0.25">
      <c r="A537">
        <v>4072</v>
      </c>
      <c r="B537">
        <v>169.991534863738</v>
      </c>
      <c r="C537">
        <v>1.4996457027116701</v>
      </c>
      <c r="D537">
        <v>79.024506386370106</v>
      </c>
      <c r="E537">
        <v>31.6487352469067</v>
      </c>
      <c r="F537">
        <v>22.311656748095601</v>
      </c>
      <c r="G537">
        <v>0.96423069293471997</v>
      </c>
      <c r="H537">
        <v>0.51810947632459603</v>
      </c>
      <c r="I537">
        <v>2.8403511507624102</v>
      </c>
      <c r="J537">
        <v>65.573581400848397</v>
      </c>
      <c r="K537">
        <v>70.884956137379902</v>
      </c>
      <c r="L537" t="s">
        <v>19</v>
      </c>
      <c r="M537" t="s">
        <v>33</v>
      </c>
      <c r="N537">
        <v>39</v>
      </c>
      <c r="O537">
        <v>69.402959014778503</v>
      </c>
      <c r="P537">
        <v>25.625875479758701</v>
      </c>
      <c r="Q537" t="s">
        <v>31</v>
      </c>
      <c r="R537">
        <v>535</v>
      </c>
      <c r="S537">
        <v>84.679937502451907</v>
      </c>
    </row>
    <row r="538" spans="1:19" x14ac:dyDescent="0.25">
      <c r="A538">
        <v>7530</v>
      </c>
      <c r="B538">
        <v>110.122735292174</v>
      </c>
      <c r="C538">
        <v>0.87479613301514103</v>
      </c>
      <c r="D538">
        <v>93.669873337798506</v>
      </c>
      <c r="E538">
        <v>32.692391185952999</v>
      </c>
      <c r="F538">
        <v>22.535849576297899</v>
      </c>
      <c r="G538">
        <v>1.8806220310392801</v>
      </c>
      <c r="H538">
        <v>0.59578261495772999</v>
      </c>
      <c r="I538">
        <v>2.6754853217146302</v>
      </c>
      <c r="J538">
        <v>37.704144105990601</v>
      </c>
      <c r="K538">
        <v>24.529219901825499</v>
      </c>
      <c r="L538" t="s">
        <v>34</v>
      </c>
      <c r="M538" t="s">
        <v>36</v>
      </c>
      <c r="N538">
        <v>25</v>
      </c>
      <c r="O538">
        <v>72.152628478091103</v>
      </c>
      <c r="P538">
        <v>17.642122567204801</v>
      </c>
      <c r="Q538" t="s">
        <v>25</v>
      </c>
      <c r="R538">
        <v>536</v>
      </c>
      <c r="S538">
        <v>56.3911298861318</v>
      </c>
    </row>
    <row r="539" spans="1:19" x14ac:dyDescent="0.25">
      <c r="A539">
        <v>1504</v>
      </c>
      <c r="B539">
        <v>121.14189604408099</v>
      </c>
      <c r="C539">
        <v>1.8022576631776801</v>
      </c>
      <c r="D539">
        <v>46.439182652472297</v>
      </c>
      <c r="E539">
        <v>32.354342689811801</v>
      </c>
      <c r="F539">
        <v>16.607436293176999</v>
      </c>
      <c r="G539">
        <v>1.1762958083427799</v>
      </c>
      <c r="H539">
        <v>0.55625728207508796</v>
      </c>
      <c r="I539">
        <v>2.1309503102162402</v>
      </c>
      <c r="J539">
        <v>83.400076741598795</v>
      </c>
      <c r="K539">
        <v>22.790534270910701</v>
      </c>
      <c r="L539" t="s">
        <v>34</v>
      </c>
      <c r="M539" t="s">
        <v>36</v>
      </c>
      <c r="N539">
        <v>32</v>
      </c>
      <c r="O539">
        <v>64.127290465071994</v>
      </c>
      <c r="P539">
        <v>21.498092737534002</v>
      </c>
      <c r="Q539" t="s">
        <v>25</v>
      </c>
      <c r="R539">
        <v>537</v>
      </c>
      <c r="S539">
        <v>65.653443811655393</v>
      </c>
    </row>
    <row r="540" spans="1:19" x14ac:dyDescent="0.25">
      <c r="A540">
        <v>2214</v>
      </c>
      <c r="B540">
        <v>120.631854688616</v>
      </c>
      <c r="C540">
        <v>1.9411665311616999</v>
      </c>
      <c r="D540">
        <v>103.344482231022</v>
      </c>
      <c r="E540">
        <v>33.957412535874901</v>
      </c>
      <c r="F540">
        <v>21.1235273504799</v>
      </c>
      <c r="G540">
        <v>1.14942163469911</v>
      </c>
      <c r="H540">
        <v>0.496849108369119</v>
      </c>
      <c r="I540">
        <v>2.24540706287726</v>
      </c>
      <c r="J540">
        <v>56.4152819104605</v>
      </c>
      <c r="K540">
        <v>68.260877819737701</v>
      </c>
      <c r="L540" t="s">
        <v>19</v>
      </c>
      <c r="M540" t="s">
        <v>32</v>
      </c>
      <c r="N540">
        <v>30</v>
      </c>
      <c r="O540">
        <v>66.184407443655701</v>
      </c>
      <c r="P540">
        <v>20.669978537455499</v>
      </c>
      <c r="Q540" t="s">
        <v>29</v>
      </c>
      <c r="R540">
        <v>538</v>
      </c>
      <c r="S540">
        <v>60.7488380221847</v>
      </c>
    </row>
    <row r="541" spans="1:19" x14ac:dyDescent="0.25">
      <c r="A541">
        <v>2531</v>
      </c>
      <c r="B541">
        <v>152.89848753888799</v>
      </c>
      <c r="C541">
        <v>1.2739548335834501</v>
      </c>
      <c r="D541">
        <v>100.46477243424501</v>
      </c>
      <c r="E541">
        <v>30.7687958740079</v>
      </c>
      <c r="F541">
        <v>23.996588008595602</v>
      </c>
      <c r="G541">
        <v>0.45402701293877901</v>
      </c>
      <c r="H541">
        <v>0.80883310246111095</v>
      </c>
      <c r="I541">
        <v>7.7334561912582602</v>
      </c>
      <c r="J541">
        <v>105.236534926204</v>
      </c>
      <c r="K541">
        <v>30.6627765338987</v>
      </c>
      <c r="L541" t="s">
        <v>34</v>
      </c>
      <c r="M541" t="s">
        <v>33</v>
      </c>
      <c r="N541">
        <v>18</v>
      </c>
      <c r="O541">
        <v>67.675624321945406</v>
      </c>
      <c r="P541">
        <v>12.4190367135855</v>
      </c>
      <c r="Q541" t="s">
        <v>24</v>
      </c>
      <c r="R541">
        <v>539</v>
      </c>
      <c r="S541">
        <v>84.205410277164205</v>
      </c>
    </row>
    <row r="542" spans="1:19" x14ac:dyDescent="0.25">
      <c r="A542">
        <v>8576</v>
      </c>
      <c r="B542">
        <v>129.10100643415899</v>
      </c>
      <c r="C542">
        <v>1.26497892612024</v>
      </c>
      <c r="D542">
        <v>84.712439944914905</v>
      </c>
      <c r="E542">
        <v>33.054589771596902</v>
      </c>
      <c r="F542">
        <v>23.801966975090401</v>
      </c>
      <c r="G542">
        <v>0.20142111996779299</v>
      </c>
      <c r="H542">
        <v>0.53863843776759401</v>
      </c>
      <c r="I542">
        <v>5.2268883125646104</v>
      </c>
      <c r="J542">
        <v>95.655266005781598</v>
      </c>
      <c r="K542">
        <v>38.007956351462397</v>
      </c>
      <c r="L542" t="s">
        <v>27</v>
      </c>
      <c r="M542" t="s">
        <v>26</v>
      </c>
      <c r="N542">
        <v>39</v>
      </c>
      <c r="O542">
        <v>73.074450130642603</v>
      </c>
      <c r="P542">
        <v>11.431342828111701</v>
      </c>
      <c r="Q542" t="s">
        <v>29</v>
      </c>
      <c r="R542">
        <v>540</v>
      </c>
      <c r="S542">
        <v>71.650582516940105</v>
      </c>
    </row>
    <row r="543" spans="1:19" x14ac:dyDescent="0.25">
      <c r="A543">
        <v>1823</v>
      </c>
      <c r="B543">
        <v>159.95484145347399</v>
      </c>
      <c r="C543">
        <v>1.6329391148260199</v>
      </c>
      <c r="D543">
        <v>105.635978175421</v>
      </c>
      <c r="E543">
        <v>33.670003707854001</v>
      </c>
      <c r="F543">
        <v>24.521439266921298</v>
      </c>
      <c r="G543">
        <v>1.6582521633418299</v>
      </c>
      <c r="H543">
        <v>0.64979210859226999</v>
      </c>
      <c r="I543">
        <v>8.0464075546587992</v>
      </c>
      <c r="J543">
        <v>81.051316409216</v>
      </c>
      <c r="K543">
        <v>50.642060025130498</v>
      </c>
      <c r="L543" t="s">
        <v>34</v>
      </c>
      <c r="M543" t="s">
        <v>23</v>
      </c>
      <c r="N543">
        <v>23</v>
      </c>
      <c r="O543">
        <v>80.245529335378905</v>
      </c>
      <c r="P543">
        <v>14.3767000562106</v>
      </c>
      <c r="Q543" t="s">
        <v>21</v>
      </c>
      <c r="R543">
        <v>541</v>
      </c>
      <c r="S543">
        <v>87.424300238461598</v>
      </c>
    </row>
    <row r="544" spans="1:19" x14ac:dyDescent="0.25">
      <c r="A544">
        <v>1928</v>
      </c>
      <c r="B544">
        <v>121.53018751512199</v>
      </c>
      <c r="C544">
        <v>1.2816401319796999</v>
      </c>
      <c r="D544">
        <v>36.867535846444497</v>
      </c>
      <c r="E544">
        <v>35.227976923874301</v>
      </c>
      <c r="F544">
        <v>23.454823650687199</v>
      </c>
      <c r="G544">
        <v>0.35763421337522799</v>
      </c>
      <c r="H544">
        <v>0.61222269575985999</v>
      </c>
      <c r="I544">
        <v>7.7162940491518404</v>
      </c>
      <c r="J544">
        <v>56.420222264951597</v>
      </c>
      <c r="K544">
        <v>48.701348754715902</v>
      </c>
      <c r="L544" t="s">
        <v>22</v>
      </c>
      <c r="M544" t="s">
        <v>35</v>
      </c>
      <c r="N544">
        <v>28</v>
      </c>
      <c r="O544">
        <v>57.724029771582998</v>
      </c>
      <c r="P544">
        <v>21.885810614375501</v>
      </c>
      <c r="Q544" t="s">
        <v>31</v>
      </c>
      <c r="R544">
        <v>542</v>
      </c>
      <c r="S544">
        <v>77.879205802918307</v>
      </c>
    </row>
    <row r="545" spans="1:19" x14ac:dyDescent="0.25">
      <c r="A545">
        <v>6029</v>
      </c>
      <c r="B545">
        <v>140.57988324447601</v>
      </c>
      <c r="C545">
        <v>1.46693369268708</v>
      </c>
      <c r="D545">
        <v>59.511037274746897</v>
      </c>
      <c r="E545">
        <v>32.421880834687798</v>
      </c>
      <c r="F545">
        <v>19.464956703649701</v>
      </c>
      <c r="G545">
        <v>1.3409296737235801</v>
      </c>
      <c r="H545">
        <v>0.94014255824959603</v>
      </c>
      <c r="I545">
        <v>6.4415144215469899</v>
      </c>
      <c r="J545">
        <v>40.993183167348398</v>
      </c>
      <c r="K545">
        <v>68.143434379874904</v>
      </c>
      <c r="L545" t="s">
        <v>34</v>
      </c>
      <c r="M545" t="s">
        <v>36</v>
      </c>
      <c r="N545">
        <v>30</v>
      </c>
      <c r="O545">
        <v>60.669923164637801</v>
      </c>
      <c r="P545">
        <v>17.353986635669798</v>
      </c>
      <c r="Q545" t="s">
        <v>29</v>
      </c>
      <c r="R545">
        <v>543</v>
      </c>
      <c r="S545">
        <v>81.754815737401302</v>
      </c>
    </row>
    <row r="546" spans="1:19" x14ac:dyDescent="0.25">
      <c r="A546">
        <v>1133</v>
      </c>
      <c r="B546">
        <v>118.29305893480399</v>
      </c>
      <c r="C546">
        <v>2.5498608945832499</v>
      </c>
      <c r="D546">
        <v>55.293930786360903</v>
      </c>
      <c r="E546">
        <v>33.389350325222999</v>
      </c>
      <c r="F546">
        <v>19.4304968667557</v>
      </c>
      <c r="G546">
        <v>1.84630961812734</v>
      </c>
      <c r="H546">
        <v>0.61510073428152101</v>
      </c>
      <c r="I546">
        <v>7.1772994592081103</v>
      </c>
      <c r="J546">
        <v>97.615186410562202</v>
      </c>
      <c r="K546">
        <v>61.757384508252002</v>
      </c>
      <c r="L546" t="s">
        <v>22</v>
      </c>
      <c r="M546" t="s">
        <v>28</v>
      </c>
      <c r="N546">
        <v>38</v>
      </c>
      <c r="O546">
        <v>61.0727298497793</v>
      </c>
      <c r="P546">
        <v>3.87751740548129</v>
      </c>
      <c r="Q546" t="s">
        <v>31</v>
      </c>
      <c r="R546">
        <v>544</v>
      </c>
      <c r="S546">
        <v>68.452526882450798</v>
      </c>
    </row>
    <row r="547" spans="1:19" x14ac:dyDescent="0.25">
      <c r="A547">
        <v>3105</v>
      </c>
      <c r="B547">
        <v>177.90298255546699</v>
      </c>
      <c r="C547">
        <v>1.3764871496269999</v>
      </c>
      <c r="D547">
        <v>84.429586475146806</v>
      </c>
      <c r="E547">
        <v>30.835364648925101</v>
      </c>
      <c r="F547">
        <v>16.0052430100306</v>
      </c>
      <c r="G547">
        <v>0.57557344368517505</v>
      </c>
      <c r="H547">
        <v>0.44399036553821503</v>
      </c>
      <c r="I547">
        <v>1.16520151941227</v>
      </c>
      <c r="J547">
        <v>68.640909899108607</v>
      </c>
      <c r="K547">
        <v>63.329712171139903</v>
      </c>
      <c r="L547" t="s">
        <v>34</v>
      </c>
      <c r="M547" t="s">
        <v>26</v>
      </c>
      <c r="N547">
        <v>37</v>
      </c>
      <c r="O547">
        <v>67.899467325596703</v>
      </c>
      <c r="P547">
        <v>9.8068317505240294</v>
      </c>
      <c r="Q547" t="s">
        <v>31</v>
      </c>
      <c r="R547">
        <v>545</v>
      </c>
      <c r="S547">
        <v>82.737388071191504</v>
      </c>
    </row>
    <row r="548" spans="1:19" x14ac:dyDescent="0.25">
      <c r="A548">
        <v>4627</v>
      </c>
      <c r="B548">
        <v>111.24803161940901</v>
      </c>
      <c r="C548">
        <v>1.3208299239893799</v>
      </c>
      <c r="D548">
        <v>48.997185207957003</v>
      </c>
      <c r="E548">
        <v>30.1296525548243</v>
      </c>
      <c r="F548">
        <v>30.923875195925401</v>
      </c>
      <c r="G548">
        <v>1.3974911052264301</v>
      </c>
      <c r="H548">
        <v>0.44940416391464599</v>
      </c>
      <c r="I548">
        <v>3.8059988212451898</v>
      </c>
      <c r="J548">
        <v>42.475003817735697</v>
      </c>
      <c r="K548">
        <v>68.554074799159295</v>
      </c>
      <c r="L548" t="s">
        <v>22</v>
      </c>
      <c r="M548" t="s">
        <v>26</v>
      </c>
      <c r="N548">
        <v>18</v>
      </c>
      <c r="O548">
        <v>64.801755477930001</v>
      </c>
      <c r="P548">
        <v>15.861025246947699</v>
      </c>
      <c r="Q548" t="s">
        <v>29</v>
      </c>
      <c r="R548">
        <v>546</v>
      </c>
      <c r="S548">
        <v>61.480588864520897</v>
      </c>
    </row>
    <row r="549" spans="1:19" x14ac:dyDescent="0.25">
      <c r="A549">
        <v>7316</v>
      </c>
      <c r="B549">
        <v>141.19641420453999</v>
      </c>
      <c r="C549">
        <v>1.1762290971824201</v>
      </c>
      <c r="D549">
        <v>85.149902986749694</v>
      </c>
      <c r="E549">
        <v>34.013729250937999</v>
      </c>
      <c r="F549">
        <v>22.067251823096399</v>
      </c>
      <c r="G549">
        <v>0.34165743807351701</v>
      </c>
      <c r="H549">
        <v>0.72491454674418498</v>
      </c>
      <c r="I549">
        <v>6.7403996133346897</v>
      </c>
      <c r="J549">
        <v>39.5174615040006</v>
      </c>
      <c r="K549">
        <v>36.945954556759901</v>
      </c>
      <c r="L549" t="s">
        <v>22</v>
      </c>
      <c r="M549" t="s">
        <v>30</v>
      </c>
      <c r="N549">
        <v>28</v>
      </c>
      <c r="O549">
        <v>73.331395773486605</v>
      </c>
      <c r="P549">
        <v>17.7567170525538</v>
      </c>
      <c r="Q549" t="s">
        <v>29</v>
      </c>
      <c r="R549">
        <v>547</v>
      </c>
      <c r="S549">
        <v>77.5418009744117</v>
      </c>
    </row>
    <row r="550" spans="1:19" x14ac:dyDescent="0.25">
      <c r="A550">
        <v>2852</v>
      </c>
      <c r="B550">
        <v>147.67553761864099</v>
      </c>
      <c r="C550">
        <v>1.8720959857499599</v>
      </c>
      <c r="D550">
        <v>97.410722879934198</v>
      </c>
      <c r="E550">
        <v>32.993327647622301</v>
      </c>
      <c r="F550">
        <v>20.875734721025701</v>
      </c>
      <c r="G550">
        <v>1.2867592589076999</v>
      </c>
      <c r="H550">
        <v>0.729649953456046</v>
      </c>
      <c r="I550">
        <v>1.08410458137619</v>
      </c>
      <c r="J550">
        <v>36.540090450135899</v>
      </c>
      <c r="K550">
        <v>39.174998385035501</v>
      </c>
      <c r="L550" t="s">
        <v>22</v>
      </c>
      <c r="M550" t="s">
        <v>36</v>
      </c>
      <c r="N550">
        <v>28</v>
      </c>
      <c r="O550">
        <v>62.748065817211099</v>
      </c>
      <c r="P550">
        <v>22.123834927719901</v>
      </c>
      <c r="Q550" t="s">
        <v>25</v>
      </c>
      <c r="R550">
        <v>548</v>
      </c>
      <c r="S550">
        <v>69.691823877434302</v>
      </c>
    </row>
    <row r="551" spans="1:19" x14ac:dyDescent="0.25">
      <c r="A551">
        <v>5910</v>
      </c>
      <c r="B551">
        <v>143.27598194902899</v>
      </c>
      <c r="C551">
        <v>1.4093879133909399</v>
      </c>
      <c r="D551">
        <v>83.9040580016799</v>
      </c>
      <c r="E551">
        <v>34.414215227758099</v>
      </c>
      <c r="F551">
        <v>17.356039592737702</v>
      </c>
      <c r="G551">
        <v>0.49507709771576403</v>
      </c>
      <c r="H551">
        <v>0.63031744476546003</v>
      </c>
      <c r="I551">
        <v>1.2967924931433401</v>
      </c>
      <c r="J551">
        <v>97.716119620559496</v>
      </c>
      <c r="K551">
        <v>47.849831092166497</v>
      </c>
      <c r="L551" t="s">
        <v>19</v>
      </c>
      <c r="M551" t="s">
        <v>36</v>
      </c>
      <c r="N551">
        <v>25</v>
      </c>
      <c r="O551">
        <v>60.893997873763702</v>
      </c>
      <c r="P551">
        <v>18.314087752244198</v>
      </c>
      <c r="Q551" t="s">
        <v>24</v>
      </c>
      <c r="R551">
        <v>549</v>
      </c>
      <c r="S551">
        <v>69.271402975659299</v>
      </c>
    </row>
    <row r="552" spans="1:19" x14ac:dyDescent="0.25">
      <c r="A552">
        <v>5175</v>
      </c>
      <c r="B552">
        <v>131.29424682244499</v>
      </c>
      <c r="C552">
        <v>1.17531348083928</v>
      </c>
      <c r="D552">
        <v>75.675020473230006</v>
      </c>
      <c r="E552">
        <v>31.351916533236299</v>
      </c>
      <c r="F552">
        <v>36.678289511638802</v>
      </c>
      <c r="G552">
        <v>1.52471640892732</v>
      </c>
      <c r="H552">
        <v>0.63751403077161595</v>
      </c>
      <c r="I552">
        <v>8.6669918422334398</v>
      </c>
      <c r="J552">
        <v>42.898718530031097</v>
      </c>
      <c r="K552">
        <v>38.0596629775144</v>
      </c>
      <c r="L552" t="s">
        <v>34</v>
      </c>
      <c r="M552" t="s">
        <v>37</v>
      </c>
      <c r="N552">
        <v>39</v>
      </c>
      <c r="O552">
        <v>61.894900066694802</v>
      </c>
      <c r="P552">
        <v>15.098301532900001</v>
      </c>
      <c r="Q552" t="s">
        <v>25</v>
      </c>
      <c r="R552">
        <v>550</v>
      </c>
      <c r="S552">
        <v>76.3578354382024</v>
      </c>
    </row>
    <row r="553" spans="1:19" x14ac:dyDescent="0.25">
      <c r="A553">
        <v>6348</v>
      </c>
      <c r="B553">
        <v>132.40358600533099</v>
      </c>
      <c r="C553">
        <v>2.1606520161364999</v>
      </c>
      <c r="D553">
        <v>50.242533181985003</v>
      </c>
      <c r="E553">
        <v>33.623882567434499</v>
      </c>
      <c r="F553">
        <v>16.6333598388855</v>
      </c>
      <c r="G553">
        <v>0.74221633062903403</v>
      </c>
      <c r="H553">
        <v>0.42966292056247901</v>
      </c>
      <c r="I553">
        <v>7.1562237552286403</v>
      </c>
      <c r="J553">
        <v>72.664226352519705</v>
      </c>
      <c r="K553">
        <v>88.870340172814707</v>
      </c>
      <c r="L553" t="s">
        <v>34</v>
      </c>
      <c r="M553" t="s">
        <v>32</v>
      </c>
      <c r="N553">
        <v>20</v>
      </c>
      <c r="O553">
        <v>68.925510527305903</v>
      </c>
      <c r="P553">
        <v>14.8233093843006</v>
      </c>
      <c r="Q553" t="s">
        <v>24</v>
      </c>
      <c r="R553">
        <v>551</v>
      </c>
      <c r="S553">
        <v>76.389282895712199</v>
      </c>
    </row>
    <row r="554" spans="1:19" x14ac:dyDescent="0.25">
      <c r="A554">
        <v>7190</v>
      </c>
      <c r="B554">
        <v>135.876229439582</v>
      </c>
      <c r="C554">
        <v>2.20980150225681</v>
      </c>
      <c r="D554">
        <v>53.062980677492703</v>
      </c>
      <c r="E554">
        <v>35.242581408652597</v>
      </c>
      <c r="F554">
        <v>19.855760371969598</v>
      </c>
      <c r="G554">
        <v>1.03410381584836</v>
      </c>
      <c r="H554">
        <v>0.68410058071409396</v>
      </c>
      <c r="I554">
        <v>3.38832759808309</v>
      </c>
      <c r="J554">
        <v>65.154636097305598</v>
      </c>
      <c r="K554">
        <v>76.053894481607202</v>
      </c>
      <c r="L554" t="s">
        <v>27</v>
      </c>
      <c r="M554" t="s">
        <v>30</v>
      </c>
      <c r="N554">
        <v>36</v>
      </c>
      <c r="O554">
        <v>75.711384923902699</v>
      </c>
      <c r="P554">
        <v>19.611700350748301</v>
      </c>
      <c r="Q554" t="s">
        <v>29</v>
      </c>
      <c r="R554">
        <v>552</v>
      </c>
      <c r="S554">
        <v>68.3957916990218</v>
      </c>
    </row>
    <row r="555" spans="1:19" x14ac:dyDescent="0.25">
      <c r="A555">
        <v>2256</v>
      </c>
      <c r="B555">
        <v>132.05995996742999</v>
      </c>
      <c r="C555">
        <v>1.19978821713064</v>
      </c>
      <c r="D555">
        <v>94.992378105933298</v>
      </c>
      <c r="E555">
        <v>33.503646730028699</v>
      </c>
      <c r="F555">
        <v>24.0791841814303</v>
      </c>
      <c r="G555">
        <v>1.27897497564971</v>
      </c>
      <c r="H555">
        <v>0.67760671145919305</v>
      </c>
      <c r="I555">
        <v>7.1916655610683797</v>
      </c>
      <c r="J555">
        <v>77.961089922828293</v>
      </c>
      <c r="K555">
        <v>27.349101619202202</v>
      </c>
      <c r="L555" t="s">
        <v>27</v>
      </c>
      <c r="M555" t="s">
        <v>26</v>
      </c>
      <c r="N555">
        <v>29</v>
      </c>
      <c r="O555">
        <v>67.644518443223703</v>
      </c>
      <c r="P555">
        <v>21.344391747370999</v>
      </c>
      <c r="Q555" t="s">
        <v>24</v>
      </c>
      <c r="R555">
        <v>553</v>
      </c>
      <c r="S555">
        <v>82.448507175475697</v>
      </c>
    </row>
    <row r="556" spans="1:19" x14ac:dyDescent="0.25">
      <c r="A556">
        <v>4376</v>
      </c>
      <c r="B556">
        <v>154.27758233589799</v>
      </c>
      <c r="C556">
        <v>0.56673002431969099</v>
      </c>
      <c r="D556">
        <v>85.586980078106606</v>
      </c>
      <c r="E556">
        <v>33.3318978067092</v>
      </c>
      <c r="F556">
        <v>25.001064828721301</v>
      </c>
      <c r="G556">
        <v>0.508292139199231</v>
      </c>
      <c r="H556">
        <v>0.48225212520631899</v>
      </c>
      <c r="I556">
        <v>8.1321100222533698</v>
      </c>
      <c r="J556">
        <v>107.715490037119</v>
      </c>
      <c r="K556">
        <v>15.419561691140199</v>
      </c>
      <c r="L556" t="s">
        <v>27</v>
      </c>
      <c r="M556" t="s">
        <v>26</v>
      </c>
      <c r="N556">
        <v>23</v>
      </c>
      <c r="O556">
        <v>63.534707401644901</v>
      </c>
      <c r="P556">
        <v>15.3615785744364</v>
      </c>
      <c r="Q556" t="s">
        <v>21</v>
      </c>
      <c r="R556">
        <v>554</v>
      </c>
      <c r="S556">
        <v>88.118655418232294</v>
      </c>
    </row>
    <row r="557" spans="1:19" x14ac:dyDescent="0.25">
      <c r="A557">
        <v>6645</v>
      </c>
      <c r="B557">
        <v>179.21046003182701</v>
      </c>
      <c r="C557">
        <v>2.0037568449184602</v>
      </c>
      <c r="D557">
        <v>69.219609612449105</v>
      </c>
      <c r="E557">
        <v>33.010267296989198</v>
      </c>
      <c r="F557">
        <v>26.789660276078401</v>
      </c>
      <c r="G557">
        <v>1.53494807351171</v>
      </c>
      <c r="H557">
        <v>0.45711166236100997</v>
      </c>
      <c r="I557">
        <v>3.7611485479909099</v>
      </c>
      <c r="J557">
        <v>106.774739008173</v>
      </c>
      <c r="K557">
        <v>18.208745118545</v>
      </c>
      <c r="L557" t="s">
        <v>34</v>
      </c>
      <c r="M557" t="s">
        <v>37</v>
      </c>
      <c r="N557">
        <v>25</v>
      </c>
      <c r="O557">
        <v>59.751703469150101</v>
      </c>
      <c r="P557">
        <v>9.37844728724634</v>
      </c>
      <c r="Q557" t="s">
        <v>25</v>
      </c>
      <c r="R557">
        <v>555</v>
      </c>
      <c r="S557">
        <v>87.805302385803301</v>
      </c>
    </row>
    <row r="558" spans="1:19" x14ac:dyDescent="0.25">
      <c r="A558">
        <v>4486</v>
      </c>
      <c r="B558">
        <v>123.850164299843</v>
      </c>
      <c r="C558">
        <v>1.15768508711999</v>
      </c>
      <c r="D558">
        <v>61.641809084682102</v>
      </c>
      <c r="E558">
        <v>31.114942251448898</v>
      </c>
      <c r="F558">
        <v>31.038042538846302</v>
      </c>
      <c r="G558">
        <v>0.74475261314626595</v>
      </c>
      <c r="H558">
        <v>0.46796486982971902</v>
      </c>
      <c r="I558">
        <v>1.3243363974926801</v>
      </c>
      <c r="J558">
        <v>65.107607182485907</v>
      </c>
      <c r="K558">
        <v>33.304758828219299</v>
      </c>
      <c r="L558" t="s">
        <v>19</v>
      </c>
      <c r="M558" t="s">
        <v>35</v>
      </c>
      <c r="N558">
        <v>22</v>
      </c>
      <c r="O558">
        <v>79.693070553636701</v>
      </c>
      <c r="P558">
        <v>17.211156734185</v>
      </c>
      <c r="Q558" t="s">
        <v>25</v>
      </c>
      <c r="R558">
        <v>556</v>
      </c>
      <c r="S558">
        <v>63.082107117900101</v>
      </c>
    </row>
    <row r="559" spans="1:19" x14ac:dyDescent="0.25">
      <c r="A559">
        <v>4584</v>
      </c>
      <c r="B559">
        <v>107.603940408418</v>
      </c>
      <c r="C559">
        <v>1.8953127995813801</v>
      </c>
      <c r="D559">
        <v>29.4838425377724</v>
      </c>
      <c r="E559">
        <v>34.6266875228524</v>
      </c>
      <c r="F559">
        <v>24.5307882773035</v>
      </c>
      <c r="G559">
        <v>1.39226934784295</v>
      </c>
      <c r="H559">
        <v>0.45556553557019203</v>
      </c>
      <c r="I559">
        <v>9.3950121221896108</v>
      </c>
      <c r="J559">
        <v>21.536625073472301</v>
      </c>
      <c r="K559">
        <v>23.571846437764201</v>
      </c>
      <c r="L559" t="s">
        <v>22</v>
      </c>
      <c r="M559" t="s">
        <v>20</v>
      </c>
      <c r="N559">
        <v>27</v>
      </c>
      <c r="O559">
        <v>53.912280586546203</v>
      </c>
      <c r="P559">
        <v>12.8011073664143</v>
      </c>
      <c r="Q559" t="s">
        <v>25</v>
      </c>
      <c r="R559">
        <v>557</v>
      </c>
      <c r="S559">
        <v>69.310068997954801</v>
      </c>
    </row>
    <row r="560" spans="1:19" x14ac:dyDescent="0.25">
      <c r="A560">
        <v>9053</v>
      </c>
      <c r="B560">
        <v>133.234359032974</v>
      </c>
      <c r="C560">
        <v>0.51494809114408202</v>
      </c>
      <c r="D560">
        <v>48.5829516263112</v>
      </c>
      <c r="E560">
        <v>32.266970832233902</v>
      </c>
      <c r="F560">
        <v>16.719846000166601</v>
      </c>
      <c r="G560">
        <v>0.48490949125887201</v>
      </c>
      <c r="H560">
        <v>0.73533950754521704</v>
      </c>
      <c r="I560">
        <v>4.1066185446606696</v>
      </c>
      <c r="J560">
        <v>62.644380571430297</v>
      </c>
      <c r="K560">
        <v>55.000358616942897</v>
      </c>
      <c r="L560" t="s">
        <v>34</v>
      </c>
      <c r="M560" t="s">
        <v>28</v>
      </c>
      <c r="N560">
        <v>39</v>
      </c>
      <c r="O560">
        <v>66.511414555010305</v>
      </c>
      <c r="P560">
        <v>20.3006423948517</v>
      </c>
      <c r="Q560" t="s">
        <v>31</v>
      </c>
      <c r="R560">
        <v>558</v>
      </c>
      <c r="S560">
        <v>68.273126766509193</v>
      </c>
    </row>
    <row r="561" spans="1:19" x14ac:dyDescent="0.25">
      <c r="A561">
        <v>4330</v>
      </c>
      <c r="B561">
        <v>186.59418675308601</v>
      </c>
      <c r="C561">
        <v>1.94629866914965</v>
      </c>
      <c r="D561">
        <v>108.228381742794</v>
      </c>
      <c r="E561">
        <v>33.605379907659596</v>
      </c>
      <c r="F561">
        <v>20.715274374391001</v>
      </c>
      <c r="G561">
        <v>1.4386117865714301</v>
      </c>
      <c r="H561">
        <v>0.50806545882160503</v>
      </c>
      <c r="I561">
        <v>1.9583358695623501</v>
      </c>
      <c r="J561">
        <v>80.619353742414006</v>
      </c>
      <c r="K561">
        <v>79.3496417045519</v>
      </c>
      <c r="L561" t="s">
        <v>19</v>
      </c>
      <c r="M561" t="s">
        <v>20</v>
      </c>
      <c r="N561">
        <v>33</v>
      </c>
      <c r="O561">
        <v>73.917799010686295</v>
      </c>
      <c r="P561">
        <v>29.845981493798401</v>
      </c>
      <c r="Q561" t="s">
        <v>31</v>
      </c>
      <c r="R561">
        <v>559</v>
      </c>
      <c r="S561">
        <v>95.103720089100506</v>
      </c>
    </row>
    <row r="562" spans="1:19" x14ac:dyDescent="0.25">
      <c r="A562">
        <v>3703</v>
      </c>
      <c r="B562">
        <v>118.92650864060499</v>
      </c>
      <c r="C562">
        <v>0.89441403535960895</v>
      </c>
      <c r="D562">
        <v>44.390888579950598</v>
      </c>
      <c r="E562">
        <v>31.1243588321144</v>
      </c>
      <c r="F562">
        <v>23.539161862569401</v>
      </c>
      <c r="G562">
        <v>0.43073853105883098</v>
      </c>
      <c r="H562">
        <v>0.538286583703104</v>
      </c>
      <c r="I562">
        <v>5.4267118425383201</v>
      </c>
      <c r="J562">
        <v>75.776475909806095</v>
      </c>
      <c r="K562">
        <v>70.256266568491995</v>
      </c>
      <c r="L562" t="s">
        <v>19</v>
      </c>
      <c r="M562" t="s">
        <v>36</v>
      </c>
      <c r="N562">
        <v>29</v>
      </c>
      <c r="O562">
        <v>66.401126560276396</v>
      </c>
      <c r="P562">
        <v>7.1874859446218098</v>
      </c>
      <c r="Q562" t="s">
        <v>29</v>
      </c>
      <c r="R562">
        <v>560</v>
      </c>
      <c r="S562">
        <v>65.617092851421305</v>
      </c>
    </row>
    <row r="563" spans="1:19" x14ac:dyDescent="0.25">
      <c r="A563">
        <v>9662</v>
      </c>
      <c r="B563">
        <v>167.782336108881</v>
      </c>
      <c r="C563">
        <v>1.86538205953326</v>
      </c>
      <c r="D563">
        <v>73.789596424421603</v>
      </c>
      <c r="E563">
        <v>31.584648402590599</v>
      </c>
      <c r="F563">
        <v>32.341130207529098</v>
      </c>
      <c r="G563">
        <v>0.96564169328597005</v>
      </c>
      <c r="H563">
        <v>0.49546467928329102</v>
      </c>
      <c r="I563">
        <v>7.9162101609772</v>
      </c>
      <c r="J563">
        <v>85.133610580020502</v>
      </c>
      <c r="K563">
        <v>31.170679731164199</v>
      </c>
      <c r="L563" t="s">
        <v>34</v>
      </c>
      <c r="M563" t="s">
        <v>33</v>
      </c>
      <c r="N563">
        <v>34</v>
      </c>
      <c r="O563">
        <v>63.469424647163997</v>
      </c>
      <c r="P563">
        <v>27.205573573572099</v>
      </c>
      <c r="Q563" t="s">
        <v>29</v>
      </c>
      <c r="R563">
        <v>561</v>
      </c>
      <c r="S563">
        <v>99.265060962512607</v>
      </c>
    </row>
    <row r="564" spans="1:19" x14ac:dyDescent="0.25">
      <c r="A564">
        <v>9120</v>
      </c>
      <c r="B564">
        <v>168.55401628152799</v>
      </c>
      <c r="C564">
        <v>1.5071365339182099</v>
      </c>
      <c r="D564">
        <v>90.148879463903896</v>
      </c>
      <c r="E564">
        <v>34.722104879066599</v>
      </c>
      <c r="F564">
        <v>15.0109726078785</v>
      </c>
      <c r="G564">
        <v>0.64497093272997796</v>
      </c>
      <c r="H564">
        <v>0.926809417446676</v>
      </c>
      <c r="I564">
        <v>2.9948258315580301</v>
      </c>
      <c r="J564">
        <v>35.407573247308299</v>
      </c>
      <c r="K564">
        <v>44.947444201933898</v>
      </c>
      <c r="L564" t="s">
        <v>22</v>
      </c>
      <c r="M564" t="s">
        <v>30</v>
      </c>
      <c r="N564">
        <v>23</v>
      </c>
      <c r="O564">
        <v>72.285262520838799</v>
      </c>
      <c r="P564">
        <v>21.752316747579702</v>
      </c>
      <c r="Q564" t="s">
        <v>31</v>
      </c>
      <c r="R564">
        <v>562</v>
      </c>
      <c r="S564">
        <v>85.455181512995793</v>
      </c>
    </row>
    <row r="565" spans="1:19" x14ac:dyDescent="0.25">
      <c r="A565">
        <v>8114</v>
      </c>
      <c r="B565">
        <v>123.92823516583999</v>
      </c>
      <c r="C565">
        <v>1.0230302903016699</v>
      </c>
      <c r="D565">
        <v>44.901546639954098</v>
      </c>
      <c r="E565">
        <v>32.583237253250502</v>
      </c>
      <c r="F565">
        <v>28.012882526126099</v>
      </c>
      <c r="G565">
        <v>1.5470754489707199</v>
      </c>
      <c r="H565">
        <v>0.87003960473350905</v>
      </c>
      <c r="I565">
        <v>3.4254104512002699</v>
      </c>
      <c r="J565">
        <v>84.653509878073194</v>
      </c>
      <c r="K565">
        <v>53.092065714845802</v>
      </c>
      <c r="L565" t="s">
        <v>19</v>
      </c>
      <c r="M565" t="s">
        <v>36</v>
      </c>
      <c r="N565">
        <v>26</v>
      </c>
      <c r="O565">
        <v>59.249745172045699</v>
      </c>
      <c r="P565">
        <v>26.822725685868299</v>
      </c>
      <c r="Q565" t="s">
        <v>25</v>
      </c>
      <c r="R565">
        <v>563</v>
      </c>
      <c r="S565">
        <v>67.216841343002699</v>
      </c>
    </row>
    <row r="566" spans="1:19" x14ac:dyDescent="0.25">
      <c r="A566">
        <v>2353</v>
      </c>
      <c r="B566">
        <v>146.379661583705</v>
      </c>
      <c r="C566">
        <v>1.2964818435365999</v>
      </c>
      <c r="D566">
        <v>73.694209495621607</v>
      </c>
      <c r="E566">
        <v>34.743930571250999</v>
      </c>
      <c r="F566">
        <v>22.899571847731998</v>
      </c>
      <c r="G566">
        <v>0.671663008112374</v>
      </c>
      <c r="H566">
        <v>0.52677216054333598</v>
      </c>
      <c r="I566">
        <v>3.1844348811872401</v>
      </c>
      <c r="J566">
        <v>38.265161874377199</v>
      </c>
      <c r="K566">
        <v>75.765438712750097</v>
      </c>
      <c r="L566" t="s">
        <v>34</v>
      </c>
      <c r="M566" t="s">
        <v>35</v>
      </c>
      <c r="N566">
        <v>27</v>
      </c>
      <c r="O566">
        <v>54.073676730967897</v>
      </c>
      <c r="P566">
        <v>14.514044772304</v>
      </c>
      <c r="Q566" t="s">
        <v>31</v>
      </c>
      <c r="R566">
        <v>564</v>
      </c>
      <c r="S566">
        <v>76.696770746055705</v>
      </c>
    </row>
    <row r="567" spans="1:19" x14ac:dyDescent="0.25">
      <c r="A567">
        <v>6063</v>
      </c>
      <c r="B567">
        <v>167.56793246257001</v>
      </c>
      <c r="C567">
        <v>1.84315922847835</v>
      </c>
      <c r="D567">
        <v>88.758310750213099</v>
      </c>
      <c r="E567">
        <v>32.906123209129703</v>
      </c>
      <c r="F567">
        <v>26.189152676147401</v>
      </c>
      <c r="G567">
        <v>1.7870911515117101</v>
      </c>
      <c r="H567">
        <v>0.58016146165716898</v>
      </c>
      <c r="I567">
        <v>9.9250574754851009</v>
      </c>
      <c r="J567">
        <v>95.052398069674894</v>
      </c>
      <c r="K567">
        <v>77.9341202329623</v>
      </c>
      <c r="L567" t="s">
        <v>22</v>
      </c>
      <c r="M567" t="s">
        <v>20</v>
      </c>
      <c r="N567">
        <v>37</v>
      </c>
      <c r="O567">
        <v>70.825314359049798</v>
      </c>
      <c r="P567">
        <v>6.4317782884446801</v>
      </c>
      <c r="Q567" t="s">
        <v>24</v>
      </c>
      <c r="R567">
        <v>565</v>
      </c>
      <c r="S567">
        <v>96.6609751362503</v>
      </c>
    </row>
    <row r="568" spans="1:19" x14ac:dyDescent="0.25">
      <c r="A568">
        <v>9549</v>
      </c>
      <c r="B568">
        <v>127.41744518025</v>
      </c>
      <c r="C568">
        <v>1.5529472265576101</v>
      </c>
      <c r="D568">
        <v>70.249986438145001</v>
      </c>
      <c r="E568">
        <v>30.789722672450502</v>
      </c>
      <c r="F568">
        <v>21.490026416820299</v>
      </c>
      <c r="G568">
        <v>1.8052763805319001</v>
      </c>
      <c r="H568">
        <v>0.51544106326774797</v>
      </c>
      <c r="I568">
        <v>2.7766336035748802</v>
      </c>
      <c r="J568">
        <v>53.908761326267999</v>
      </c>
      <c r="K568">
        <v>83.228873393083106</v>
      </c>
      <c r="L568" t="s">
        <v>27</v>
      </c>
      <c r="M568" t="s">
        <v>36</v>
      </c>
      <c r="N568">
        <v>31</v>
      </c>
      <c r="O568">
        <v>60.038539212688399</v>
      </c>
      <c r="P568">
        <v>19.437566149736501</v>
      </c>
      <c r="Q568" t="s">
        <v>25</v>
      </c>
      <c r="R568">
        <v>566</v>
      </c>
      <c r="S568">
        <v>63.814192664479698</v>
      </c>
    </row>
    <row r="569" spans="1:19" x14ac:dyDescent="0.25">
      <c r="A569">
        <v>8575</v>
      </c>
      <c r="B569">
        <v>130.928392797952</v>
      </c>
      <c r="C569">
        <v>1.79220649023624</v>
      </c>
      <c r="D569">
        <v>127.368061113335</v>
      </c>
      <c r="E569">
        <v>34.070481119678</v>
      </c>
      <c r="F569">
        <v>17.787836849368301</v>
      </c>
      <c r="G569">
        <v>0.55359436740101398</v>
      </c>
      <c r="H569">
        <v>0.67053177770345296</v>
      </c>
      <c r="I569">
        <v>6.1796819526951099</v>
      </c>
      <c r="J569">
        <v>90.989543338145296</v>
      </c>
      <c r="K569">
        <v>53.1933937877156</v>
      </c>
      <c r="L569" t="s">
        <v>19</v>
      </c>
      <c r="M569" t="s">
        <v>28</v>
      </c>
      <c r="N569">
        <v>31</v>
      </c>
      <c r="O569">
        <v>69.053750151045094</v>
      </c>
      <c r="P569">
        <v>29.197482052571701</v>
      </c>
      <c r="Q569" t="s">
        <v>31</v>
      </c>
      <c r="R569">
        <v>567</v>
      </c>
      <c r="S569">
        <v>80.159947266571095</v>
      </c>
    </row>
    <row r="570" spans="1:19" x14ac:dyDescent="0.25">
      <c r="A570">
        <v>1667</v>
      </c>
      <c r="B570">
        <v>123.366381721027</v>
      </c>
      <c r="C570">
        <v>2.4882202922577399</v>
      </c>
      <c r="D570">
        <v>36.628014822436</v>
      </c>
      <c r="E570">
        <v>32.292129218693198</v>
      </c>
      <c r="F570">
        <v>25.754363897006598</v>
      </c>
      <c r="G570">
        <v>1.3049227010139</v>
      </c>
      <c r="H570">
        <v>0.41078579286083899</v>
      </c>
      <c r="I570">
        <v>9.32738177491267</v>
      </c>
      <c r="J570">
        <v>24.7865598906107</v>
      </c>
      <c r="K570">
        <v>67.070605982689699</v>
      </c>
      <c r="L570" t="s">
        <v>19</v>
      </c>
      <c r="M570" t="s">
        <v>26</v>
      </c>
      <c r="N570">
        <v>34</v>
      </c>
      <c r="O570">
        <v>67.0138728377039</v>
      </c>
      <c r="P570">
        <v>9.5158270665456008</v>
      </c>
      <c r="Q570" t="s">
        <v>29</v>
      </c>
      <c r="R570">
        <v>568</v>
      </c>
      <c r="S570">
        <v>79.660234934692099</v>
      </c>
    </row>
    <row r="571" spans="1:19" x14ac:dyDescent="0.25">
      <c r="A571">
        <v>5468</v>
      </c>
      <c r="B571">
        <v>114.704865386142</v>
      </c>
      <c r="C571">
        <v>0.71787919414447399</v>
      </c>
      <c r="D571">
        <v>91.174570597677501</v>
      </c>
      <c r="E571">
        <v>33.8384265762204</v>
      </c>
      <c r="F571">
        <v>25.272155135528099</v>
      </c>
      <c r="G571">
        <v>0.35789175509593502</v>
      </c>
      <c r="H571">
        <v>0.76925240489323699</v>
      </c>
      <c r="I571">
        <v>2.3220691199000099</v>
      </c>
      <c r="J571">
        <v>60.786002559091301</v>
      </c>
      <c r="K571">
        <v>23.385027842545199</v>
      </c>
      <c r="L571" t="s">
        <v>34</v>
      </c>
      <c r="M571" t="s">
        <v>32</v>
      </c>
      <c r="N571">
        <v>33</v>
      </c>
      <c r="O571">
        <v>70.088363153980097</v>
      </c>
      <c r="P571">
        <v>10.717502518858501</v>
      </c>
      <c r="Q571" t="s">
        <v>31</v>
      </c>
      <c r="R571">
        <v>569</v>
      </c>
      <c r="S571">
        <v>58.0247116013011</v>
      </c>
    </row>
    <row r="572" spans="1:19" x14ac:dyDescent="0.25">
      <c r="A572">
        <v>7819</v>
      </c>
      <c r="B572">
        <v>122.01444909867899</v>
      </c>
      <c r="C572">
        <v>2.3086062874843098</v>
      </c>
      <c r="D572">
        <v>66.543965252070706</v>
      </c>
      <c r="E572">
        <v>33.030253041048098</v>
      </c>
      <c r="F572">
        <v>26.8602848286986</v>
      </c>
      <c r="G572">
        <v>0.90476677928293203</v>
      </c>
      <c r="H572">
        <v>0.68773698239970205</v>
      </c>
      <c r="I572">
        <v>9.7376877808092992</v>
      </c>
      <c r="J572">
        <v>90.503452226333195</v>
      </c>
      <c r="K572">
        <v>57.396671996548598</v>
      </c>
      <c r="L572" t="s">
        <v>34</v>
      </c>
      <c r="M572" t="s">
        <v>23</v>
      </c>
      <c r="N572">
        <v>21</v>
      </c>
      <c r="O572">
        <v>66.183360495070204</v>
      </c>
      <c r="P572">
        <v>22.697589518588401</v>
      </c>
      <c r="Q572" t="s">
        <v>21</v>
      </c>
      <c r="R572">
        <v>570</v>
      </c>
      <c r="S572">
        <v>82.132810577932901</v>
      </c>
    </row>
    <row r="573" spans="1:19" x14ac:dyDescent="0.25">
      <c r="A573">
        <v>4719</v>
      </c>
      <c r="B573">
        <v>110.52119466475401</v>
      </c>
      <c r="C573">
        <v>1.5521779687616</v>
      </c>
      <c r="D573">
        <v>85.438403096733495</v>
      </c>
      <c r="E573">
        <v>31.148258126468502</v>
      </c>
      <c r="F573">
        <v>21.933476823106801</v>
      </c>
      <c r="G573">
        <v>1.4839791131022899</v>
      </c>
      <c r="H573">
        <v>0.89425141056560598</v>
      </c>
      <c r="I573">
        <v>9.5272951095606206</v>
      </c>
      <c r="J573">
        <v>42.687051633149402</v>
      </c>
      <c r="K573">
        <v>33.651885710335101</v>
      </c>
      <c r="L573" t="s">
        <v>22</v>
      </c>
      <c r="M573" t="s">
        <v>36</v>
      </c>
      <c r="N573">
        <v>19</v>
      </c>
      <c r="O573">
        <v>72.412149252788893</v>
      </c>
      <c r="P573">
        <v>13.902344885817101</v>
      </c>
      <c r="Q573" t="s">
        <v>31</v>
      </c>
      <c r="R573">
        <v>571</v>
      </c>
      <c r="S573">
        <v>74.449000743710002</v>
      </c>
    </row>
    <row r="574" spans="1:19" x14ac:dyDescent="0.25">
      <c r="A574">
        <v>3745</v>
      </c>
      <c r="B574">
        <v>135.68166936518401</v>
      </c>
      <c r="C574">
        <v>1.0506079758384299</v>
      </c>
      <c r="D574">
        <v>78.826143033984906</v>
      </c>
      <c r="E574">
        <v>33.197153718444603</v>
      </c>
      <c r="F574">
        <v>19.000889883400699</v>
      </c>
      <c r="G574">
        <v>1.3869618443298399</v>
      </c>
      <c r="H574">
        <v>0.49041597638062701</v>
      </c>
      <c r="I574">
        <v>8.9611478835243599</v>
      </c>
      <c r="J574">
        <v>99.528704479722194</v>
      </c>
      <c r="K574">
        <v>47.378766376995799</v>
      </c>
      <c r="L574" t="s">
        <v>27</v>
      </c>
      <c r="M574" t="s">
        <v>35</v>
      </c>
      <c r="N574">
        <v>33</v>
      </c>
      <c r="O574">
        <v>62.371613785370997</v>
      </c>
      <c r="P574">
        <v>31.328680343906399</v>
      </c>
      <c r="Q574" t="s">
        <v>25</v>
      </c>
      <c r="R574">
        <v>572</v>
      </c>
      <c r="S574">
        <v>87.675809193163502</v>
      </c>
    </row>
    <row r="575" spans="1:19" x14ac:dyDescent="0.25">
      <c r="A575">
        <v>8483</v>
      </c>
      <c r="B575">
        <v>119.600535378827</v>
      </c>
      <c r="C575">
        <v>0.83484318713050498</v>
      </c>
      <c r="D575">
        <v>55.336876057799998</v>
      </c>
      <c r="E575">
        <v>35.635467770583297</v>
      </c>
      <c r="F575">
        <v>14.206065024880701</v>
      </c>
      <c r="G575">
        <v>1.32446120493189</v>
      </c>
      <c r="H575">
        <v>0.84226008533362196</v>
      </c>
      <c r="I575">
        <v>2.9310086919700198</v>
      </c>
      <c r="J575">
        <v>83.077973310493206</v>
      </c>
      <c r="K575">
        <v>62.553788123003898</v>
      </c>
      <c r="L575" t="s">
        <v>27</v>
      </c>
      <c r="M575" t="s">
        <v>30</v>
      </c>
      <c r="N575">
        <v>18</v>
      </c>
      <c r="O575">
        <v>74.249907139610897</v>
      </c>
      <c r="P575">
        <v>23.216605625041201</v>
      </c>
      <c r="Q575" t="s">
        <v>31</v>
      </c>
      <c r="R575">
        <v>573</v>
      </c>
      <c r="S575">
        <v>59.876402045309099</v>
      </c>
    </row>
    <row r="576" spans="1:19" x14ac:dyDescent="0.25">
      <c r="A576">
        <v>1539</v>
      </c>
      <c r="B576">
        <v>139.675718235814</v>
      </c>
      <c r="C576">
        <v>1.40543980461148</v>
      </c>
      <c r="D576">
        <v>74.579927849186802</v>
      </c>
      <c r="E576">
        <v>33.591583750217303</v>
      </c>
      <c r="F576">
        <v>26.096866340697002</v>
      </c>
      <c r="G576">
        <v>0.70857355459239801</v>
      </c>
      <c r="H576">
        <v>0.835578557956693</v>
      </c>
      <c r="I576">
        <v>6.7064955040988501</v>
      </c>
      <c r="J576">
        <v>78.7561772149798</v>
      </c>
      <c r="K576">
        <v>34.273945339033503</v>
      </c>
      <c r="L576" t="s">
        <v>34</v>
      </c>
      <c r="M576" t="s">
        <v>33</v>
      </c>
      <c r="N576">
        <v>20</v>
      </c>
      <c r="O576">
        <v>58.259012457916697</v>
      </c>
      <c r="P576">
        <v>12.246213472093</v>
      </c>
      <c r="Q576" t="s">
        <v>29</v>
      </c>
      <c r="R576">
        <v>574</v>
      </c>
      <c r="S576">
        <v>79.307003752061803</v>
      </c>
    </row>
    <row r="577" spans="1:19" x14ac:dyDescent="0.25">
      <c r="A577">
        <v>5964</v>
      </c>
      <c r="B577">
        <v>103.882087075927</v>
      </c>
      <c r="C577">
        <v>1.96082505596222</v>
      </c>
      <c r="D577">
        <v>32.841970972034197</v>
      </c>
      <c r="E577">
        <v>32.930978696393403</v>
      </c>
      <c r="F577">
        <v>24.119447412219898</v>
      </c>
      <c r="G577">
        <v>0.88044490898192296</v>
      </c>
      <c r="H577">
        <v>0.46994965406928702</v>
      </c>
      <c r="I577">
        <v>7.8480232566511603</v>
      </c>
      <c r="J577">
        <v>55.354885420433703</v>
      </c>
      <c r="K577">
        <v>18.913879334756999</v>
      </c>
      <c r="L577" t="s">
        <v>34</v>
      </c>
      <c r="M577" t="s">
        <v>28</v>
      </c>
      <c r="N577">
        <v>28</v>
      </c>
      <c r="O577">
        <v>77.380991860179506</v>
      </c>
      <c r="P577">
        <v>13.4828292036634</v>
      </c>
      <c r="Q577" t="s">
        <v>24</v>
      </c>
      <c r="R577">
        <v>575</v>
      </c>
      <c r="S577">
        <v>69.608186370002997</v>
      </c>
    </row>
    <row r="578" spans="1:19" x14ac:dyDescent="0.25">
      <c r="A578">
        <v>5835</v>
      </c>
      <c r="B578">
        <v>141.617604644289</v>
      </c>
      <c r="C578">
        <v>1.43622543981123</v>
      </c>
      <c r="D578">
        <v>82.064950011427797</v>
      </c>
      <c r="E578">
        <v>34.290412082348197</v>
      </c>
      <c r="F578">
        <v>17.1710868356802</v>
      </c>
      <c r="G578">
        <v>0.38530306046051499</v>
      </c>
      <c r="H578">
        <v>0.61920757327927001</v>
      </c>
      <c r="I578">
        <v>9.8742513537678605</v>
      </c>
      <c r="J578">
        <v>68.245147038111696</v>
      </c>
      <c r="K578">
        <v>15.7675392306568</v>
      </c>
      <c r="L578" t="s">
        <v>22</v>
      </c>
      <c r="M578" t="s">
        <v>37</v>
      </c>
      <c r="N578">
        <v>33</v>
      </c>
      <c r="O578">
        <v>84.413169528035496</v>
      </c>
      <c r="P578">
        <v>13.799150289779201</v>
      </c>
      <c r="Q578" t="s">
        <v>21</v>
      </c>
      <c r="R578">
        <v>576</v>
      </c>
      <c r="S578">
        <v>92.569721963047201</v>
      </c>
    </row>
    <row r="579" spans="1:19" x14ac:dyDescent="0.25">
      <c r="A579">
        <v>4775</v>
      </c>
      <c r="B579">
        <v>151.670579232178</v>
      </c>
      <c r="C579">
        <v>2.25557746512367</v>
      </c>
      <c r="D579">
        <v>75.963169319810504</v>
      </c>
      <c r="E579">
        <v>33.252802158243703</v>
      </c>
      <c r="F579">
        <v>19.3071316335168</v>
      </c>
      <c r="G579">
        <v>1.4942410767804799</v>
      </c>
      <c r="H579">
        <v>0.49358395262948401</v>
      </c>
      <c r="I579">
        <v>2.6238143987323301</v>
      </c>
      <c r="J579">
        <v>79.734930097785295</v>
      </c>
      <c r="K579">
        <v>16.661965165839099</v>
      </c>
      <c r="L579" t="s">
        <v>34</v>
      </c>
      <c r="M579" t="s">
        <v>35</v>
      </c>
      <c r="N579">
        <v>35</v>
      </c>
      <c r="O579">
        <v>68.864891288259699</v>
      </c>
      <c r="P579">
        <v>17.656637149705599</v>
      </c>
      <c r="Q579" t="s">
        <v>25</v>
      </c>
      <c r="R579">
        <v>577</v>
      </c>
      <c r="S579">
        <v>75.211807288753207</v>
      </c>
    </row>
    <row r="580" spans="1:19" x14ac:dyDescent="0.25">
      <c r="A580">
        <v>7042</v>
      </c>
      <c r="B580">
        <v>95.125287148570806</v>
      </c>
      <c r="C580">
        <v>0.77441215497422</v>
      </c>
      <c r="D580">
        <v>82.773203372862</v>
      </c>
      <c r="E580">
        <v>33.251441076315302</v>
      </c>
      <c r="F580">
        <v>19.666205940242701</v>
      </c>
      <c r="G580">
        <v>1.1069998342242899</v>
      </c>
      <c r="H580">
        <v>0.54009627525165105</v>
      </c>
      <c r="I580">
        <v>7.8942330956736599</v>
      </c>
      <c r="J580">
        <v>67.246211391488998</v>
      </c>
      <c r="K580">
        <v>15.6262303135327</v>
      </c>
      <c r="L580" t="s">
        <v>22</v>
      </c>
      <c r="M580" t="s">
        <v>20</v>
      </c>
      <c r="N580">
        <v>32</v>
      </c>
      <c r="O580">
        <v>80.553388946043995</v>
      </c>
      <c r="P580">
        <v>20.4356107926425</v>
      </c>
      <c r="Q580" t="s">
        <v>29</v>
      </c>
      <c r="R580">
        <v>578</v>
      </c>
      <c r="S580">
        <v>63.335785123381498</v>
      </c>
    </row>
    <row r="581" spans="1:19" x14ac:dyDescent="0.25">
      <c r="A581">
        <v>8102</v>
      </c>
      <c r="B581">
        <v>142.48113139695101</v>
      </c>
      <c r="C581">
        <v>1.4939555260769699</v>
      </c>
      <c r="D581">
        <v>91.162366501742994</v>
      </c>
      <c r="E581">
        <v>31.690049793408999</v>
      </c>
      <c r="F581">
        <v>14.5850778400879</v>
      </c>
      <c r="G581">
        <v>1.47577813822217</v>
      </c>
      <c r="H581">
        <v>0.544785396156799</v>
      </c>
      <c r="I581">
        <v>4.0492105293440099</v>
      </c>
      <c r="J581">
        <v>89.831332394056005</v>
      </c>
      <c r="K581">
        <v>23.276629241840599</v>
      </c>
      <c r="L581" t="s">
        <v>22</v>
      </c>
      <c r="M581" t="s">
        <v>32</v>
      </c>
      <c r="N581">
        <v>26</v>
      </c>
      <c r="O581">
        <v>82.627267700473595</v>
      </c>
      <c r="P581">
        <v>19.851446797219602</v>
      </c>
      <c r="Q581" t="s">
        <v>21</v>
      </c>
      <c r="R581">
        <v>579</v>
      </c>
      <c r="S581">
        <v>75.913140022428294</v>
      </c>
    </row>
    <row r="582" spans="1:19" x14ac:dyDescent="0.25">
      <c r="A582">
        <v>8312</v>
      </c>
      <c r="B582">
        <v>159.55337984946499</v>
      </c>
      <c r="C582">
        <v>0.87380327779344003</v>
      </c>
      <c r="D582">
        <v>77.3523968041942</v>
      </c>
      <c r="E582">
        <v>33.280617630947503</v>
      </c>
      <c r="F582">
        <v>17.911588016974299</v>
      </c>
      <c r="G582">
        <v>0.64809834463437099</v>
      </c>
      <c r="H582">
        <v>0.70593001671417499</v>
      </c>
      <c r="I582">
        <v>2.5806381901120199</v>
      </c>
      <c r="J582">
        <v>63.369693310695901</v>
      </c>
      <c r="K582">
        <v>32.961653592759703</v>
      </c>
      <c r="L582" t="s">
        <v>27</v>
      </c>
      <c r="M582" t="s">
        <v>20</v>
      </c>
      <c r="N582">
        <v>29</v>
      </c>
      <c r="O582">
        <v>65.432525034161003</v>
      </c>
      <c r="P582">
        <v>9.0023663285885007</v>
      </c>
      <c r="Q582" t="s">
        <v>31</v>
      </c>
      <c r="R582">
        <v>580</v>
      </c>
      <c r="S582">
        <v>75.086306246144105</v>
      </c>
    </row>
    <row r="583" spans="1:19" x14ac:dyDescent="0.25">
      <c r="A583">
        <v>6320</v>
      </c>
      <c r="B583">
        <v>110.807179626175</v>
      </c>
      <c r="C583">
        <v>1.68181594131248</v>
      </c>
      <c r="D583">
        <v>72.961788395965499</v>
      </c>
      <c r="E583">
        <v>34.242532099700298</v>
      </c>
      <c r="F583">
        <v>16.330848215968199</v>
      </c>
      <c r="G583">
        <v>0.78398881154311895</v>
      </c>
      <c r="H583">
        <v>0.62627601246825604</v>
      </c>
      <c r="I583">
        <v>4.7923924709246899</v>
      </c>
      <c r="J583">
        <v>40.227318174202999</v>
      </c>
      <c r="K583">
        <v>31.5916135636724</v>
      </c>
      <c r="L583" t="s">
        <v>22</v>
      </c>
      <c r="M583" t="s">
        <v>26</v>
      </c>
      <c r="N583">
        <v>35</v>
      </c>
      <c r="O583">
        <v>68.382919176340394</v>
      </c>
      <c r="P583">
        <v>25.215004999465801</v>
      </c>
      <c r="Q583" t="s">
        <v>21</v>
      </c>
      <c r="R583">
        <v>581</v>
      </c>
      <c r="S583">
        <v>63.074160230871001</v>
      </c>
    </row>
    <row r="584" spans="1:19" x14ac:dyDescent="0.25">
      <c r="A584">
        <v>7132</v>
      </c>
      <c r="B584">
        <v>168.45144773675401</v>
      </c>
      <c r="C584">
        <v>1.94344369504865</v>
      </c>
      <c r="D584">
        <v>52.378633266774102</v>
      </c>
      <c r="E584">
        <v>31.996725417479901</v>
      </c>
      <c r="F584">
        <v>19.937604940560298</v>
      </c>
      <c r="G584">
        <v>0.80158760706820598</v>
      </c>
      <c r="H584">
        <v>0.92125304220346704</v>
      </c>
      <c r="I584">
        <v>8.1445232093375406</v>
      </c>
      <c r="J584">
        <v>41.393378280104699</v>
      </c>
      <c r="K584">
        <v>89.009744563492205</v>
      </c>
      <c r="L584" t="s">
        <v>27</v>
      </c>
      <c r="M584" t="s">
        <v>32</v>
      </c>
      <c r="N584">
        <v>22</v>
      </c>
      <c r="O584">
        <v>61.4870599444723</v>
      </c>
      <c r="P584">
        <v>15.6793514609233</v>
      </c>
      <c r="Q584" t="s">
        <v>24</v>
      </c>
      <c r="R584">
        <v>582</v>
      </c>
      <c r="S584">
        <v>91.449579789727906</v>
      </c>
    </row>
    <row r="585" spans="1:19" x14ac:dyDescent="0.25">
      <c r="A585">
        <v>8891</v>
      </c>
      <c r="B585">
        <v>143.38038018731999</v>
      </c>
      <c r="C585">
        <v>1.2896191031594699</v>
      </c>
      <c r="D585">
        <v>55.755584727018899</v>
      </c>
      <c r="E585">
        <v>34.709394985496303</v>
      </c>
      <c r="F585">
        <v>18.3065125083521</v>
      </c>
      <c r="G585">
        <v>0.24633633754498899</v>
      </c>
      <c r="H585">
        <v>0.46950357807085202</v>
      </c>
      <c r="I585">
        <v>5.1836482333364602</v>
      </c>
      <c r="J585">
        <v>20.5803768842941</v>
      </c>
      <c r="K585">
        <v>37.950457890670698</v>
      </c>
      <c r="L585" t="s">
        <v>27</v>
      </c>
      <c r="M585" t="s">
        <v>20</v>
      </c>
      <c r="N585">
        <v>25</v>
      </c>
      <c r="O585">
        <v>62.003136994748502</v>
      </c>
      <c r="P585">
        <v>10.579715134010399</v>
      </c>
      <c r="Q585" t="s">
        <v>21</v>
      </c>
      <c r="R585">
        <v>583</v>
      </c>
      <c r="S585">
        <v>77.079683916700205</v>
      </c>
    </row>
    <row r="586" spans="1:19" x14ac:dyDescent="0.25">
      <c r="A586">
        <v>3779</v>
      </c>
      <c r="B586">
        <v>120.89976288483101</v>
      </c>
      <c r="C586">
        <v>0.197893071686432</v>
      </c>
      <c r="D586">
        <v>93.734692403546603</v>
      </c>
      <c r="E586">
        <v>32.889952771025797</v>
      </c>
      <c r="F586">
        <v>13.8649753956662</v>
      </c>
      <c r="G586">
        <v>0.81388617109512196</v>
      </c>
      <c r="H586">
        <v>0.93553067416760904</v>
      </c>
      <c r="I586">
        <v>5.8377079018274296</v>
      </c>
      <c r="J586">
        <v>50.095771555867202</v>
      </c>
      <c r="K586">
        <v>24.556558751954899</v>
      </c>
      <c r="L586" t="s">
        <v>27</v>
      </c>
      <c r="M586" t="s">
        <v>30</v>
      </c>
      <c r="N586">
        <v>20</v>
      </c>
      <c r="O586">
        <v>69.862960338786905</v>
      </c>
      <c r="P586">
        <v>14.2956387158253</v>
      </c>
      <c r="Q586" t="s">
        <v>21</v>
      </c>
      <c r="R586">
        <v>584</v>
      </c>
      <c r="S586">
        <v>65.908638619245707</v>
      </c>
    </row>
    <row r="587" spans="1:19" x14ac:dyDescent="0.25">
      <c r="A587">
        <v>1924</v>
      </c>
      <c r="B587">
        <v>133.884618446845</v>
      </c>
      <c r="C587">
        <v>1.59947407339824</v>
      </c>
      <c r="D587">
        <v>98.726708114119504</v>
      </c>
      <c r="E587">
        <v>31.934676586153699</v>
      </c>
      <c r="F587">
        <v>32.112951152847401</v>
      </c>
      <c r="G587">
        <v>1.6459482323324599</v>
      </c>
      <c r="H587">
        <v>0.526851252117845</v>
      </c>
      <c r="I587">
        <v>9.9564346918010909</v>
      </c>
      <c r="J587">
        <v>94.891764047851893</v>
      </c>
      <c r="K587">
        <v>55.917190812581801</v>
      </c>
      <c r="L587" t="s">
        <v>34</v>
      </c>
      <c r="M587" t="s">
        <v>20</v>
      </c>
      <c r="N587">
        <v>19</v>
      </c>
      <c r="O587">
        <v>54.913375603945703</v>
      </c>
      <c r="P587">
        <v>26.1144624179598</v>
      </c>
      <c r="Q587" t="s">
        <v>31</v>
      </c>
      <c r="R587">
        <v>585</v>
      </c>
      <c r="S587">
        <v>86.275556679664106</v>
      </c>
    </row>
    <row r="588" spans="1:19" x14ac:dyDescent="0.25">
      <c r="A588">
        <v>2581</v>
      </c>
      <c r="B588">
        <v>146.166538250434</v>
      </c>
      <c r="C588">
        <v>1.7183692758667499</v>
      </c>
      <c r="D588">
        <v>65.237791273758901</v>
      </c>
      <c r="E588">
        <v>34.197158492304297</v>
      </c>
      <c r="F588">
        <v>28.262703655146101</v>
      </c>
      <c r="G588">
        <v>1.8151372923495199</v>
      </c>
      <c r="H588">
        <v>0.82508066501001898</v>
      </c>
      <c r="I588">
        <v>4.5919836960168299</v>
      </c>
      <c r="J588">
        <v>99.416270883760902</v>
      </c>
      <c r="K588">
        <v>79.346809154813101</v>
      </c>
      <c r="L588" t="s">
        <v>27</v>
      </c>
      <c r="M588" t="s">
        <v>28</v>
      </c>
      <c r="N588">
        <v>36</v>
      </c>
      <c r="O588">
        <v>74.678266349226703</v>
      </c>
      <c r="P588">
        <v>19.522586618116499</v>
      </c>
      <c r="Q588" t="s">
        <v>31</v>
      </c>
      <c r="R588">
        <v>586</v>
      </c>
      <c r="S588">
        <v>77.805835859956801</v>
      </c>
    </row>
    <row r="589" spans="1:19" x14ac:dyDescent="0.25">
      <c r="A589">
        <v>8714</v>
      </c>
      <c r="B589">
        <v>136.520107828248</v>
      </c>
      <c r="C589">
        <v>1.70214737748084</v>
      </c>
      <c r="D589">
        <v>70.920054945065402</v>
      </c>
      <c r="E589">
        <v>32.655846917113998</v>
      </c>
      <c r="F589">
        <v>18.104902892399998</v>
      </c>
      <c r="G589">
        <v>1.13279296814466</v>
      </c>
      <c r="H589">
        <v>0.58643345939505098</v>
      </c>
      <c r="I589">
        <v>6.5386067923831499</v>
      </c>
      <c r="J589">
        <v>40.246754209575002</v>
      </c>
      <c r="K589">
        <v>65.854528259075593</v>
      </c>
      <c r="L589" t="s">
        <v>22</v>
      </c>
      <c r="M589" t="s">
        <v>28</v>
      </c>
      <c r="N589">
        <v>25</v>
      </c>
      <c r="O589">
        <v>69.338278137662797</v>
      </c>
      <c r="P589">
        <v>20.220492263279802</v>
      </c>
      <c r="Q589" t="s">
        <v>25</v>
      </c>
      <c r="R589">
        <v>587</v>
      </c>
      <c r="S589">
        <v>77.778641511447603</v>
      </c>
    </row>
    <row r="590" spans="1:19" x14ac:dyDescent="0.25">
      <c r="A590">
        <v>4324</v>
      </c>
      <c r="B590">
        <v>145.77511984892701</v>
      </c>
      <c r="C590">
        <v>2.1178910959110699</v>
      </c>
      <c r="D590">
        <v>51.907712500124603</v>
      </c>
      <c r="E590">
        <v>33.911417864983299</v>
      </c>
      <c r="F590">
        <v>23.362106983267999</v>
      </c>
      <c r="G590">
        <v>1.0199030513945899</v>
      </c>
      <c r="H590">
        <v>0.478694767479522</v>
      </c>
      <c r="I590">
        <v>4.2871978145383398</v>
      </c>
      <c r="J590">
        <v>115.90439968714</v>
      </c>
      <c r="K590">
        <v>37.206156685158703</v>
      </c>
      <c r="L590" t="s">
        <v>34</v>
      </c>
      <c r="M590" t="s">
        <v>23</v>
      </c>
      <c r="N590">
        <v>19</v>
      </c>
      <c r="O590">
        <v>73.450654865649497</v>
      </c>
      <c r="P590">
        <v>8.6400951384286699</v>
      </c>
      <c r="Q590" t="s">
        <v>31</v>
      </c>
      <c r="R590">
        <v>588</v>
      </c>
      <c r="S590">
        <v>81.363082328595098</v>
      </c>
    </row>
    <row r="591" spans="1:19" x14ac:dyDescent="0.25">
      <c r="A591">
        <v>6713</v>
      </c>
      <c r="B591">
        <v>116.58652813841201</v>
      </c>
      <c r="C591">
        <v>0.96447316017547502</v>
      </c>
      <c r="D591">
        <v>93.455136905348894</v>
      </c>
      <c r="E591">
        <v>32.649889641289697</v>
      </c>
      <c r="F591">
        <v>24.087325449106402</v>
      </c>
      <c r="G591">
        <v>0.25548431365886598</v>
      </c>
      <c r="H591">
        <v>0.87183905188543198</v>
      </c>
      <c r="I591">
        <v>4.5350708169583402</v>
      </c>
      <c r="J591">
        <v>70.240279348012606</v>
      </c>
      <c r="K591">
        <v>57.1212119843591</v>
      </c>
      <c r="L591" t="s">
        <v>22</v>
      </c>
      <c r="M591" t="s">
        <v>20</v>
      </c>
      <c r="N591">
        <v>36</v>
      </c>
      <c r="O591">
        <v>66.543750306933703</v>
      </c>
      <c r="P591">
        <v>19.0578652844573</v>
      </c>
      <c r="Q591" t="s">
        <v>21</v>
      </c>
      <c r="R591">
        <v>589</v>
      </c>
      <c r="S591">
        <v>65.229806748342497</v>
      </c>
    </row>
    <row r="592" spans="1:19" x14ac:dyDescent="0.25">
      <c r="A592">
        <v>8026</v>
      </c>
      <c r="B592">
        <v>138.38721648072101</v>
      </c>
      <c r="C592">
        <v>1.84010805272522</v>
      </c>
      <c r="D592">
        <v>83.308336473835496</v>
      </c>
      <c r="E592">
        <v>32.9282086277641</v>
      </c>
      <c r="F592">
        <v>27.955429273867299</v>
      </c>
      <c r="G592">
        <v>1.7825678076536799</v>
      </c>
      <c r="H592">
        <v>0.56987349458005399</v>
      </c>
      <c r="I592">
        <v>7.2607667810086696</v>
      </c>
      <c r="J592">
        <v>111.69787490185</v>
      </c>
      <c r="K592">
        <v>68.614198065030607</v>
      </c>
      <c r="L592" t="s">
        <v>34</v>
      </c>
      <c r="M592" t="s">
        <v>30</v>
      </c>
      <c r="N592">
        <v>18</v>
      </c>
      <c r="O592">
        <v>73.380215675106598</v>
      </c>
      <c r="P592">
        <v>25.980254158908501</v>
      </c>
      <c r="Q592" t="s">
        <v>24</v>
      </c>
      <c r="R592">
        <v>590</v>
      </c>
      <c r="S592">
        <v>87.552264405692995</v>
      </c>
    </row>
    <row r="593" spans="1:19" x14ac:dyDescent="0.25">
      <c r="A593">
        <v>1255</v>
      </c>
      <c r="B593">
        <v>106.7257100619</v>
      </c>
      <c r="C593">
        <v>2.0962537562389798</v>
      </c>
      <c r="D593">
        <v>108.82434872927401</v>
      </c>
      <c r="E593">
        <v>33.592272245201102</v>
      </c>
      <c r="F593">
        <v>17.906974866699599</v>
      </c>
      <c r="G593">
        <v>0.22341838416657001</v>
      </c>
      <c r="H593">
        <v>0.76237047232476296</v>
      </c>
      <c r="I593">
        <v>9.4409827848539507</v>
      </c>
      <c r="J593">
        <v>90.676528186163097</v>
      </c>
      <c r="K593">
        <v>69.607836927580607</v>
      </c>
      <c r="L593" t="s">
        <v>22</v>
      </c>
      <c r="M593" t="s">
        <v>30</v>
      </c>
      <c r="N593">
        <v>39</v>
      </c>
      <c r="O593">
        <v>69.981162129698006</v>
      </c>
      <c r="P593">
        <v>3.5761609534699099</v>
      </c>
      <c r="Q593" t="s">
        <v>31</v>
      </c>
      <c r="R593">
        <v>591</v>
      </c>
      <c r="S593">
        <v>71.193861695468996</v>
      </c>
    </row>
    <row r="594" spans="1:19" x14ac:dyDescent="0.25">
      <c r="A594">
        <v>5804</v>
      </c>
      <c r="B594">
        <v>132.77547877302499</v>
      </c>
      <c r="C594">
        <v>0.61070620799674102</v>
      </c>
      <c r="D594">
        <v>52.433538456405202</v>
      </c>
      <c r="E594">
        <v>33.349076469107999</v>
      </c>
      <c r="F594">
        <v>27.460533919912098</v>
      </c>
      <c r="G594">
        <v>1.9005501443783801</v>
      </c>
      <c r="H594">
        <v>0.71154402679764395</v>
      </c>
      <c r="I594">
        <v>5.88123055443089</v>
      </c>
      <c r="J594">
        <v>92.243342302241302</v>
      </c>
      <c r="K594">
        <v>64.990384147326594</v>
      </c>
      <c r="L594" t="s">
        <v>19</v>
      </c>
      <c r="M594" t="s">
        <v>36</v>
      </c>
      <c r="N594">
        <v>30</v>
      </c>
      <c r="O594">
        <v>72.057799860302097</v>
      </c>
      <c r="P594">
        <v>14.8884028625217</v>
      </c>
      <c r="Q594" t="s">
        <v>25</v>
      </c>
      <c r="R594">
        <v>592</v>
      </c>
      <c r="S594">
        <v>77.104151453289504</v>
      </c>
    </row>
    <row r="595" spans="1:19" x14ac:dyDescent="0.25">
      <c r="A595">
        <v>2838</v>
      </c>
      <c r="B595">
        <v>116.921847170704</v>
      </c>
      <c r="C595">
        <v>1.6598259129594799</v>
      </c>
      <c r="D595">
        <v>62.439842019635599</v>
      </c>
      <c r="E595">
        <v>30.605361863457901</v>
      </c>
      <c r="F595">
        <v>19.260473478965299</v>
      </c>
      <c r="G595">
        <v>1.0805892476385599</v>
      </c>
      <c r="H595">
        <v>0.65946597016497999</v>
      </c>
      <c r="I595">
        <v>7.9155993605390096</v>
      </c>
      <c r="J595">
        <v>28.504362130607099</v>
      </c>
      <c r="K595">
        <v>80.310781858171296</v>
      </c>
      <c r="L595" t="s">
        <v>19</v>
      </c>
      <c r="M595" t="s">
        <v>33</v>
      </c>
      <c r="N595">
        <v>37</v>
      </c>
      <c r="O595">
        <v>75.213697737538297</v>
      </c>
      <c r="P595">
        <v>22.985448109924899</v>
      </c>
      <c r="Q595" t="s">
        <v>25</v>
      </c>
      <c r="R595">
        <v>593</v>
      </c>
      <c r="S595">
        <v>70.676784261868306</v>
      </c>
    </row>
    <row r="596" spans="1:19" x14ac:dyDescent="0.25">
      <c r="A596">
        <v>1009</v>
      </c>
      <c r="B596">
        <v>120.28940114820401</v>
      </c>
      <c r="C596">
        <v>1.2479100844961599</v>
      </c>
      <c r="D596">
        <v>74.628918450511406</v>
      </c>
      <c r="E596">
        <v>31.654507511886699</v>
      </c>
      <c r="F596">
        <v>15.320687979156901</v>
      </c>
      <c r="G596">
        <v>0.81548208843450798</v>
      </c>
      <c r="H596">
        <v>0.67270070995669595</v>
      </c>
      <c r="I596">
        <v>1.8028590293526701</v>
      </c>
      <c r="J596">
        <v>41.999112689693</v>
      </c>
      <c r="K596">
        <v>80.257909375807799</v>
      </c>
      <c r="L596" t="s">
        <v>19</v>
      </c>
      <c r="M596" t="s">
        <v>32</v>
      </c>
      <c r="N596">
        <v>34</v>
      </c>
      <c r="O596">
        <v>57.8804088489034</v>
      </c>
      <c r="P596">
        <v>19.2659537558783</v>
      </c>
      <c r="Q596" t="s">
        <v>21</v>
      </c>
      <c r="R596">
        <v>594</v>
      </c>
      <c r="S596">
        <v>58.7017719285288</v>
      </c>
    </row>
    <row r="597" spans="1:19" x14ac:dyDescent="0.25">
      <c r="A597">
        <v>3871</v>
      </c>
      <c r="B597">
        <v>159.72186350420799</v>
      </c>
      <c r="C597">
        <v>1.4592386634491701</v>
      </c>
      <c r="D597">
        <v>82.929790754515395</v>
      </c>
      <c r="E597">
        <v>34.115291981748904</v>
      </c>
      <c r="F597">
        <v>25.6206827965724</v>
      </c>
      <c r="G597">
        <v>1.86359318271678</v>
      </c>
      <c r="H597">
        <v>0.80273085275075795</v>
      </c>
      <c r="I597">
        <v>2.9004223368873401</v>
      </c>
      <c r="J597">
        <v>20.8814833294472</v>
      </c>
      <c r="K597">
        <v>58.420241955525199</v>
      </c>
      <c r="L597" t="s">
        <v>22</v>
      </c>
      <c r="M597" t="s">
        <v>35</v>
      </c>
      <c r="N597">
        <v>20</v>
      </c>
      <c r="O597">
        <v>62.375402742585699</v>
      </c>
      <c r="P597">
        <v>9.8495601174004097</v>
      </c>
      <c r="Q597" t="s">
        <v>31</v>
      </c>
      <c r="R597">
        <v>595</v>
      </c>
      <c r="S597">
        <v>79.927278168946202</v>
      </c>
    </row>
    <row r="598" spans="1:19" x14ac:dyDescent="0.25">
      <c r="A598">
        <v>9989</v>
      </c>
      <c r="B598">
        <v>156.82620241188499</v>
      </c>
      <c r="C598">
        <v>1.67383824176916</v>
      </c>
      <c r="D598">
        <v>65.686647249047297</v>
      </c>
      <c r="E598">
        <v>32.841436093318102</v>
      </c>
      <c r="F598">
        <v>28.4537921206121</v>
      </c>
      <c r="G598">
        <v>0.24390378759817399</v>
      </c>
      <c r="H598">
        <v>0.44827510276789201</v>
      </c>
      <c r="I598">
        <v>5.5191847682757897</v>
      </c>
      <c r="J598">
        <v>91.612764047673707</v>
      </c>
      <c r="K598">
        <v>47.2392276833409</v>
      </c>
      <c r="L598" t="s">
        <v>34</v>
      </c>
      <c r="M598" t="s">
        <v>37</v>
      </c>
      <c r="N598">
        <v>26</v>
      </c>
      <c r="O598">
        <v>86.518572734208803</v>
      </c>
      <c r="P598">
        <v>21.186102906667902</v>
      </c>
      <c r="Q598" t="s">
        <v>31</v>
      </c>
      <c r="R598">
        <v>596</v>
      </c>
      <c r="S598">
        <v>89.397707107046003</v>
      </c>
    </row>
    <row r="599" spans="1:19" x14ac:dyDescent="0.25">
      <c r="A599">
        <v>8409</v>
      </c>
      <c r="B599">
        <v>147.182762418143</v>
      </c>
      <c r="C599">
        <v>1.2563857179432201</v>
      </c>
      <c r="D599">
        <v>52.540778190925899</v>
      </c>
      <c r="E599">
        <v>32.371522436674297</v>
      </c>
      <c r="F599">
        <v>34.939544867653403</v>
      </c>
      <c r="G599">
        <v>1.2465648107643501</v>
      </c>
      <c r="H599">
        <v>0.76749936407684705</v>
      </c>
      <c r="I599">
        <v>1.1801055126589699</v>
      </c>
      <c r="J599">
        <v>54.443828842850998</v>
      </c>
      <c r="K599">
        <v>63.117772167382398</v>
      </c>
      <c r="L599" t="s">
        <v>27</v>
      </c>
      <c r="M599" t="s">
        <v>32</v>
      </c>
      <c r="N599">
        <v>22</v>
      </c>
      <c r="O599">
        <v>69.658180526677498</v>
      </c>
      <c r="P599">
        <v>8.6607115709393891</v>
      </c>
      <c r="Q599" t="s">
        <v>25</v>
      </c>
      <c r="R599">
        <v>597</v>
      </c>
      <c r="S599">
        <v>69.155814256448195</v>
      </c>
    </row>
    <row r="600" spans="1:19" x14ac:dyDescent="0.25">
      <c r="A600">
        <v>8418</v>
      </c>
      <c r="B600">
        <v>113.153744706548</v>
      </c>
      <c r="C600">
        <v>1.1621459604191899</v>
      </c>
      <c r="D600">
        <v>87.628150578471406</v>
      </c>
      <c r="E600">
        <v>31.369711181690999</v>
      </c>
      <c r="F600">
        <v>16.001373674548901</v>
      </c>
      <c r="G600">
        <v>1.1880785440988</v>
      </c>
      <c r="H600">
        <v>0.89269665576921797</v>
      </c>
      <c r="I600">
        <v>3.2756948088630198</v>
      </c>
      <c r="J600">
        <v>98.665251607634602</v>
      </c>
      <c r="K600">
        <v>76.365900102784707</v>
      </c>
      <c r="L600" t="s">
        <v>27</v>
      </c>
      <c r="M600" t="s">
        <v>32</v>
      </c>
      <c r="N600">
        <v>23</v>
      </c>
      <c r="O600">
        <v>54.265621038057297</v>
      </c>
      <c r="P600">
        <v>11.0596237249986</v>
      </c>
      <c r="Q600" t="s">
        <v>31</v>
      </c>
      <c r="R600">
        <v>598</v>
      </c>
      <c r="S600">
        <v>55.507155458883901</v>
      </c>
    </row>
    <row r="601" spans="1:19" x14ac:dyDescent="0.25">
      <c r="A601">
        <v>6124</v>
      </c>
      <c r="B601">
        <v>128.67183100610299</v>
      </c>
      <c r="C601">
        <v>1.5170762087440099</v>
      </c>
      <c r="D601">
        <v>84.4227072509116</v>
      </c>
      <c r="E601">
        <v>31.704316414468899</v>
      </c>
      <c r="F601">
        <v>25.4945984254039</v>
      </c>
      <c r="G601">
        <v>0.59477672218048705</v>
      </c>
      <c r="H601">
        <v>0.43178350836092499</v>
      </c>
      <c r="I601">
        <v>5.65661160842469</v>
      </c>
      <c r="J601">
        <v>53.893621993702602</v>
      </c>
      <c r="K601">
        <v>15.4239078630888</v>
      </c>
      <c r="L601" t="s">
        <v>22</v>
      </c>
      <c r="M601" t="s">
        <v>26</v>
      </c>
      <c r="N601">
        <v>21</v>
      </c>
      <c r="O601">
        <v>54.310060390919297</v>
      </c>
      <c r="P601">
        <v>11.8995372518715</v>
      </c>
      <c r="Q601" t="s">
        <v>21</v>
      </c>
      <c r="R601">
        <v>599</v>
      </c>
      <c r="S601">
        <v>73.423907899770199</v>
      </c>
    </row>
    <row r="602" spans="1:19" x14ac:dyDescent="0.25">
      <c r="A602">
        <v>2015</v>
      </c>
      <c r="B602">
        <v>159.261953999583</v>
      </c>
      <c r="C602">
        <v>0.95637703056859802</v>
      </c>
      <c r="D602">
        <v>51.674517988725498</v>
      </c>
      <c r="E602">
        <v>30.5738416320456</v>
      </c>
      <c r="F602">
        <v>19.950993781032299</v>
      </c>
      <c r="G602">
        <v>0.97199737643037898</v>
      </c>
      <c r="H602">
        <v>0.47735933657851598</v>
      </c>
      <c r="I602">
        <v>1.1346507843067</v>
      </c>
      <c r="J602">
        <v>101.933375229886</v>
      </c>
      <c r="K602">
        <v>89.399775676113805</v>
      </c>
      <c r="L602" t="s">
        <v>22</v>
      </c>
      <c r="M602" t="s">
        <v>32</v>
      </c>
      <c r="N602">
        <v>34</v>
      </c>
      <c r="O602">
        <v>67.400069590309897</v>
      </c>
      <c r="P602">
        <v>30.347105197641</v>
      </c>
      <c r="Q602" t="s">
        <v>24</v>
      </c>
      <c r="R602">
        <v>600</v>
      </c>
      <c r="S602">
        <v>78.284611689015193</v>
      </c>
    </row>
    <row r="603" spans="1:19" x14ac:dyDescent="0.25">
      <c r="A603">
        <v>3193</v>
      </c>
      <c r="B603">
        <v>137.83433827279799</v>
      </c>
      <c r="C603">
        <v>0.95708743555740705</v>
      </c>
      <c r="D603">
        <v>97.108856022109904</v>
      </c>
      <c r="E603">
        <v>32.8784631375581</v>
      </c>
      <c r="F603">
        <v>25.916793552620099</v>
      </c>
      <c r="G603">
        <v>1.3740752106987799</v>
      </c>
      <c r="H603">
        <v>0.79414756518611695</v>
      </c>
      <c r="I603">
        <v>3.38091657603437</v>
      </c>
      <c r="J603">
        <v>33.069825374831296</v>
      </c>
      <c r="K603">
        <v>28.717032924689899</v>
      </c>
      <c r="L603" t="s">
        <v>22</v>
      </c>
      <c r="M603" t="s">
        <v>26</v>
      </c>
      <c r="N603">
        <v>38</v>
      </c>
      <c r="O603">
        <v>63.815705061380903</v>
      </c>
      <c r="P603">
        <v>4.6423197367660904</v>
      </c>
      <c r="Q603" t="s">
        <v>21</v>
      </c>
      <c r="R603">
        <v>601</v>
      </c>
      <c r="S603">
        <v>68.654643057102405</v>
      </c>
    </row>
    <row r="604" spans="1:19" x14ac:dyDescent="0.25">
      <c r="A604">
        <v>9415</v>
      </c>
      <c r="B604">
        <v>181.38659079963301</v>
      </c>
      <c r="C604">
        <v>1.83968664147825</v>
      </c>
      <c r="D604">
        <v>93.403974183931993</v>
      </c>
      <c r="E604">
        <v>32.2818749033027</v>
      </c>
      <c r="F604">
        <v>14.6475522438437</v>
      </c>
      <c r="G604">
        <v>1.50883615438746</v>
      </c>
      <c r="H604">
        <v>0.64050490653453895</v>
      </c>
      <c r="I604">
        <v>5.6262773752828199</v>
      </c>
      <c r="J604">
        <v>37.337315675750801</v>
      </c>
      <c r="K604">
        <v>50.268673924498202</v>
      </c>
      <c r="L604" t="s">
        <v>22</v>
      </c>
      <c r="M604" t="s">
        <v>36</v>
      </c>
      <c r="N604">
        <v>38</v>
      </c>
      <c r="O604">
        <v>61.549025247545799</v>
      </c>
      <c r="P604">
        <v>5.2328366030863203</v>
      </c>
      <c r="Q604" t="s">
        <v>31</v>
      </c>
      <c r="R604">
        <v>602</v>
      </c>
      <c r="S604">
        <v>94.062431109379901</v>
      </c>
    </row>
    <row r="605" spans="1:19" x14ac:dyDescent="0.25">
      <c r="A605">
        <v>8449</v>
      </c>
      <c r="B605">
        <v>142.86635678788701</v>
      </c>
      <c r="C605">
        <v>0.92560298242067196</v>
      </c>
      <c r="D605">
        <v>72.685929944955802</v>
      </c>
      <c r="E605">
        <v>31.840094530817598</v>
      </c>
      <c r="F605">
        <v>15.6861511215071</v>
      </c>
      <c r="G605">
        <v>0.20129034567184301</v>
      </c>
      <c r="H605">
        <v>0.62195174144752796</v>
      </c>
      <c r="I605">
        <v>6.1583432318312097</v>
      </c>
      <c r="J605">
        <v>54.087653958393602</v>
      </c>
      <c r="K605">
        <v>80.402230113214998</v>
      </c>
      <c r="L605" t="s">
        <v>27</v>
      </c>
      <c r="M605" t="s">
        <v>33</v>
      </c>
      <c r="N605">
        <v>38</v>
      </c>
      <c r="O605">
        <v>82.345161074432696</v>
      </c>
      <c r="P605">
        <v>20.266573758354198</v>
      </c>
      <c r="Q605" t="s">
        <v>21</v>
      </c>
      <c r="R605">
        <v>603</v>
      </c>
      <c r="S605">
        <v>77.934664397621006</v>
      </c>
    </row>
    <row r="606" spans="1:19" x14ac:dyDescent="0.25">
      <c r="A606">
        <v>5158</v>
      </c>
      <c r="B606">
        <v>138.8409823298</v>
      </c>
      <c r="C606">
        <v>1.8331562504546</v>
      </c>
      <c r="D606">
        <v>71.591957247520696</v>
      </c>
      <c r="E606">
        <v>32.918251889798398</v>
      </c>
      <c r="F606">
        <v>18.120625884167499</v>
      </c>
      <c r="G606">
        <v>1.88633617416382</v>
      </c>
      <c r="H606">
        <v>0.475331648999329</v>
      </c>
      <c r="I606">
        <v>9.3317652374977396</v>
      </c>
      <c r="J606">
        <v>60.848738888227302</v>
      </c>
      <c r="K606">
        <v>31.878029928314898</v>
      </c>
      <c r="L606" t="s">
        <v>34</v>
      </c>
      <c r="M606" t="s">
        <v>30</v>
      </c>
      <c r="N606">
        <v>33</v>
      </c>
      <c r="O606">
        <v>65.0470958406178</v>
      </c>
      <c r="P606">
        <v>18.838423092853301</v>
      </c>
      <c r="Q606" t="s">
        <v>29</v>
      </c>
      <c r="R606">
        <v>604</v>
      </c>
      <c r="S606">
        <v>88.590603470972397</v>
      </c>
    </row>
    <row r="607" spans="1:19" x14ac:dyDescent="0.25">
      <c r="A607">
        <v>4925</v>
      </c>
      <c r="B607">
        <v>128.81767071594999</v>
      </c>
      <c r="C607">
        <v>1.73129564642697</v>
      </c>
      <c r="D607">
        <v>81.081155422318105</v>
      </c>
      <c r="E607">
        <v>33.436764757023198</v>
      </c>
      <c r="F607">
        <v>22.3948202283404</v>
      </c>
      <c r="G607">
        <v>0.49614567030706203</v>
      </c>
      <c r="H607">
        <v>0.67872352239478295</v>
      </c>
      <c r="I607">
        <v>6.8081106092554702</v>
      </c>
      <c r="J607">
        <v>54.870281084297801</v>
      </c>
      <c r="K607">
        <v>50.759641792528697</v>
      </c>
      <c r="L607" t="s">
        <v>27</v>
      </c>
      <c r="M607" t="s">
        <v>23</v>
      </c>
      <c r="N607">
        <v>33</v>
      </c>
      <c r="O607">
        <v>74.567782337618098</v>
      </c>
      <c r="P607">
        <v>14.240531056586001</v>
      </c>
      <c r="Q607" t="s">
        <v>29</v>
      </c>
      <c r="R607">
        <v>605</v>
      </c>
      <c r="S607">
        <v>75.244019874231896</v>
      </c>
    </row>
    <row r="608" spans="1:19" x14ac:dyDescent="0.25">
      <c r="A608">
        <v>7970</v>
      </c>
      <c r="B608">
        <v>137.67081809564499</v>
      </c>
      <c r="C608">
        <v>0.63709663560470098</v>
      </c>
      <c r="D608">
        <v>52.765938594874797</v>
      </c>
      <c r="E608">
        <v>35.511837518651902</v>
      </c>
      <c r="F608">
        <v>18.794593667308199</v>
      </c>
      <c r="G608">
        <v>0.62044478160024596</v>
      </c>
      <c r="H608">
        <v>0.46959992115800703</v>
      </c>
      <c r="I608">
        <v>4.7326222227699404</v>
      </c>
      <c r="J608">
        <v>96.364703252321902</v>
      </c>
      <c r="K608">
        <v>24.943663513588401</v>
      </c>
      <c r="L608" t="s">
        <v>22</v>
      </c>
      <c r="M608" t="s">
        <v>30</v>
      </c>
      <c r="N608">
        <v>39</v>
      </c>
      <c r="O608">
        <v>70.000998381672105</v>
      </c>
      <c r="P608">
        <v>18.110601530286399</v>
      </c>
      <c r="Q608" t="s">
        <v>31</v>
      </c>
      <c r="R608">
        <v>606</v>
      </c>
      <c r="S608">
        <v>75.449470377124896</v>
      </c>
    </row>
    <row r="609" spans="1:19" x14ac:dyDescent="0.25">
      <c r="A609">
        <v>7938</v>
      </c>
      <c r="B609">
        <v>131.950603272389</v>
      </c>
      <c r="C609">
        <v>1.16121767383217</v>
      </c>
      <c r="D609">
        <v>70.600629583281602</v>
      </c>
      <c r="E609">
        <v>31.185739896524101</v>
      </c>
      <c r="F609">
        <v>25.295271719567001</v>
      </c>
      <c r="G609">
        <v>0.67425220224892601</v>
      </c>
      <c r="H609">
        <v>0.66214125097079701</v>
      </c>
      <c r="I609">
        <v>9.3731605941976106</v>
      </c>
      <c r="J609">
        <v>29.6951392626714</v>
      </c>
      <c r="K609">
        <v>44.630724404114403</v>
      </c>
      <c r="L609" t="s">
        <v>19</v>
      </c>
      <c r="M609" t="s">
        <v>20</v>
      </c>
      <c r="N609">
        <v>28</v>
      </c>
      <c r="O609">
        <v>65.640885482375893</v>
      </c>
      <c r="P609">
        <v>9.4836791726007004</v>
      </c>
      <c r="Q609" t="s">
        <v>31</v>
      </c>
      <c r="R609">
        <v>607</v>
      </c>
      <c r="S609">
        <v>79.695852106049202</v>
      </c>
    </row>
    <row r="610" spans="1:19" x14ac:dyDescent="0.25">
      <c r="A610">
        <v>5784</v>
      </c>
      <c r="B610">
        <v>149.16217353377101</v>
      </c>
      <c r="C610">
        <v>2.09705470152368</v>
      </c>
      <c r="D610">
        <v>26.952329107816301</v>
      </c>
      <c r="E610">
        <v>34.391257251960603</v>
      </c>
      <c r="F610">
        <v>27.1344730912895</v>
      </c>
      <c r="G610">
        <v>0.26807624579366301</v>
      </c>
      <c r="H610">
        <v>0.81998841442891102</v>
      </c>
      <c r="I610">
        <v>8.0639468504901402</v>
      </c>
      <c r="J610">
        <v>55.1217019638488</v>
      </c>
      <c r="K610">
        <v>28.285159109475099</v>
      </c>
      <c r="L610" t="s">
        <v>27</v>
      </c>
      <c r="M610" t="s">
        <v>37</v>
      </c>
      <c r="N610">
        <v>19</v>
      </c>
      <c r="O610">
        <v>58.866203965480302</v>
      </c>
      <c r="P610">
        <v>18.737012898687201</v>
      </c>
      <c r="Q610" t="s">
        <v>24</v>
      </c>
      <c r="R610">
        <v>608</v>
      </c>
      <c r="S610">
        <v>91.749900868449004</v>
      </c>
    </row>
    <row r="611" spans="1:19" x14ac:dyDescent="0.25">
      <c r="A611">
        <v>5000</v>
      </c>
      <c r="B611">
        <v>154.13404633589099</v>
      </c>
      <c r="C611">
        <v>1.00941723443015</v>
      </c>
      <c r="D611">
        <v>87.5291129100587</v>
      </c>
      <c r="E611">
        <v>34.167721873217999</v>
      </c>
      <c r="F611">
        <v>24.997887706226699</v>
      </c>
      <c r="G611">
        <v>0.42149382246258399</v>
      </c>
      <c r="H611">
        <v>0.54204539683793995</v>
      </c>
      <c r="I611">
        <v>2.8000802900147201</v>
      </c>
      <c r="J611">
        <v>103.723999951545</v>
      </c>
      <c r="K611">
        <v>42.272081157836702</v>
      </c>
      <c r="L611" t="s">
        <v>19</v>
      </c>
      <c r="M611" t="s">
        <v>33</v>
      </c>
      <c r="N611">
        <v>34</v>
      </c>
      <c r="O611">
        <v>74.153852432101203</v>
      </c>
      <c r="P611">
        <v>19.676716098010498</v>
      </c>
      <c r="Q611" t="s">
        <v>21</v>
      </c>
      <c r="R611">
        <v>609</v>
      </c>
      <c r="S611">
        <v>78.846918652108002</v>
      </c>
    </row>
    <row r="612" spans="1:19" x14ac:dyDescent="0.25">
      <c r="A612">
        <v>2633</v>
      </c>
      <c r="B612">
        <v>119.28021078984099</v>
      </c>
      <c r="C612">
        <v>1.2677978688453</v>
      </c>
      <c r="D612">
        <v>38.770135551162802</v>
      </c>
      <c r="E612">
        <v>32.065088712747901</v>
      </c>
      <c r="F612">
        <v>30.093938198304301</v>
      </c>
      <c r="G612">
        <v>1.9754298612994901</v>
      </c>
      <c r="H612">
        <v>0.66443239249885</v>
      </c>
      <c r="I612">
        <v>2.1775812521393698</v>
      </c>
      <c r="J612">
        <v>26.679707726217199</v>
      </c>
      <c r="K612">
        <v>43.009816259454098</v>
      </c>
      <c r="L612" t="s">
        <v>19</v>
      </c>
      <c r="M612" t="s">
        <v>33</v>
      </c>
      <c r="N612">
        <v>32</v>
      </c>
      <c r="O612">
        <v>49.245099941956802</v>
      </c>
      <c r="P612">
        <v>27.717600946443</v>
      </c>
      <c r="Q612" t="s">
        <v>24</v>
      </c>
      <c r="R612">
        <v>610</v>
      </c>
      <c r="S612">
        <v>55.749817936452096</v>
      </c>
    </row>
    <row r="613" spans="1:19" x14ac:dyDescent="0.25">
      <c r="A613">
        <v>8266</v>
      </c>
      <c r="B613">
        <v>108.375340928844</v>
      </c>
      <c r="C613">
        <v>1.7310304466259401</v>
      </c>
      <c r="D613">
        <v>100.068396568579</v>
      </c>
      <c r="E613">
        <v>33.243883145503197</v>
      </c>
      <c r="F613">
        <v>24.0791331472767</v>
      </c>
      <c r="G613">
        <v>0.76739012727911504</v>
      </c>
      <c r="H613">
        <v>0.94560878316825903</v>
      </c>
      <c r="I613">
        <v>7.08230472168459</v>
      </c>
      <c r="J613">
        <v>114.234350767135</v>
      </c>
      <c r="K613">
        <v>89.487809219874904</v>
      </c>
      <c r="L613" t="s">
        <v>22</v>
      </c>
      <c r="M613" t="s">
        <v>36</v>
      </c>
      <c r="N613">
        <v>35</v>
      </c>
      <c r="O613">
        <v>74.965419799793395</v>
      </c>
      <c r="P613">
        <v>33.258241370011397</v>
      </c>
      <c r="Q613" t="s">
        <v>31</v>
      </c>
      <c r="R613">
        <v>611</v>
      </c>
      <c r="S613">
        <v>70.240216688496503</v>
      </c>
    </row>
    <row r="614" spans="1:19" x14ac:dyDescent="0.25">
      <c r="A614">
        <v>9702</v>
      </c>
      <c r="B614">
        <v>98.275892537933998</v>
      </c>
      <c r="C614">
        <v>1.89169525464129</v>
      </c>
      <c r="D614">
        <v>63.397598120670899</v>
      </c>
      <c r="E614">
        <v>32.4508401007948</v>
      </c>
      <c r="F614">
        <v>15.915516448299099</v>
      </c>
      <c r="G614">
        <v>0.40754196261028802</v>
      </c>
      <c r="H614">
        <v>0.77765773284471995</v>
      </c>
      <c r="I614">
        <v>6.0389484901928503</v>
      </c>
      <c r="J614">
        <v>118.63168422720101</v>
      </c>
      <c r="K614">
        <v>89.610977197782901</v>
      </c>
      <c r="L614" t="s">
        <v>27</v>
      </c>
      <c r="M614" t="s">
        <v>37</v>
      </c>
      <c r="N614">
        <v>27</v>
      </c>
      <c r="O614">
        <v>69.210284302563593</v>
      </c>
      <c r="P614">
        <v>15.8590730783431</v>
      </c>
      <c r="Q614" t="s">
        <v>31</v>
      </c>
      <c r="R614">
        <v>612</v>
      </c>
      <c r="S614">
        <v>59.187473591280202</v>
      </c>
    </row>
    <row r="615" spans="1:19" x14ac:dyDescent="0.25">
      <c r="A615">
        <v>1384</v>
      </c>
      <c r="B615">
        <v>145.15982653825</v>
      </c>
      <c r="C615">
        <v>1.37423055697775</v>
      </c>
      <c r="D615">
        <v>65.766660361376395</v>
      </c>
      <c r="E615">
        <v>33.222826296502397</v>
      </c>
      <c r="F615">
        <v>28.8168825676917</v>
      </c>
      <c r="G615">
        <v>0.39258427011432101</v>
      </c>
      <c r="H615">
        <v>0.86274622421785896</v>
      </c>
      <c r="I615">
        <v>8.1070625241348004</v>
      </c>
      <c r="J615">
        <v>28.856817382508002</v>
      </c>
      <c r="K615">
        <v>23.608970899545898</v>
      </c>
      <c r="L615" t="s">
        <v>34</v>
      </c>
      <c r="M615" t="s">
        <v>20</v>
      </c>
      <c r="N615">
        <v>23</v>
      </c>
      <c r="O615">
        <v>72.948614099388493</v>
      </c>
      <c r="P615">
        <v>7.8134983983539099</v>
      </c>
      <c r="Q615" t="s">
        <v>25</v>
      </c>
      <c r="R615">
        <v>613</v>
      </c>
      <c r="S615">
        <v>84.015513205913805</v>
      </c>
    </row>
    <row r="616" spans="1:19" x14ac:dyDescent="0.25">
      <c r="A616">
        <v>1404</v>
      </c>
      <c r="B616">
        <v>112.932667876522</v>
      </c>
      <c r="C616">
        <v>1.2012449026541701</v>
      </c>
      <c r="D616">
        <v>57.445321878309798</v>
      </c>
      <c r="E616">
        <v>34.810957216085399</v>
      </c>
      <c r="F616">
        <v>18.974218821969998</v>
      </c>
      <c r="G616">
        <v>1.49502794180594</v>
      </c>
      <c r="H616">
        <v>0.62816618360830001</v>
      </c>
      <c r="I616">
        <v>7.64924545070817</v>
      </c>
      <c r="J616">
        <v>49.127252225573699</v>
      </c>
      <c r="K616">
        <v>69.447658449626005</v>
      </c>
      <c r="L616" t="s">
        <v>27</v>
      </c>
      <c r="M616" t="s">
        <v>20</v>
      </c>
      <c r="N616">
        <v>38</v>
      </c>
      <c r="O616">
        <v>68.062104134299304</v>
      </c>
      <c r="P616">
        <v>21.079795003471801</v>
      </c>
      <c r="Q616" t="s">
        <v>24</v>
      </c>
      <c r="R616">
        <v>614</v>
      </c>
      <c r="S616">
        <v>73.519062263484798</v>
      </c>
    </row>
    <row r="617" spans="1:19" x14ac:dyDescent="0.25">
      <c r="A617">
        <v>9175</v>
      </c>
      <c r="B617">
        <v>91.942188140950293</v>
      </c>
      <c r="C617">
        <v>2.2111849308492499</v>
      </c>
      <c r="D617">
        <v>64.239222521558403</v>
      </c>
      <c r="E617">
        <v>33.726727479157503</v>
      </c>
      <c r="F617">
        <v>26.5520924984278</v>
      </c>
      <c r="G617">
        <v>1.7382235952587499</v>
      </c>
      <c r="H617">
        <v>0.82232350771922003</v>
      </c>
      <c r="I617">
        <v>6.6269038047176299</v>
      </c>
      <c r="J617">
        <v>57.240066603535602</v>
      </c>
      <c r="K617">
        <v>18.880910975182498</v>
      </c>
      <c r="L617" t="s">
        <v>34</v>
      </c>
      <c r="M617" t="s">
        <v>23</v>
      </c>
      <c r="N617">
        <v>33</v>
      </c>
      <c r="O617">
        <v>58.125246963263997</v>
      </c>
      <c r="P617">
        <v>16.929545791080098</v>
      </c>
      <c r="Q617" t="s">
        <v>31</v>
      </c>
      <c r="R617">
        <v>615</v>
      </c>
      <c r="S617">
        <v>58.913788861434298</v>
      </c>
    </row>
    <row r="618" spans="1:19" x14ac:dyDescent="0.25">
      <c r="A618">
        <v>3000</v>
      </c>
      <c r="B618">
        <v>142.771572090619</v>
      </c>
      <c r="C618">
        <v>2.36944983189878</v>
      </c>
      <c r="D618">
        <v>98.370626902960694</v>
      </c>
      <c r="E618">
        <v>33.610330047880097</v>
      </c>
      <c r="F618">
        <v>29.868671082775499</v>
      </c>
      <c r="G618">
        <v>0.66251413911524504</v>
      </c>
      <c r="H618">
        <v>0.42228004511772699</v>
      </c>
      <c r="I618">
        <v>9.8774395446600298</v>
      </c>
      <c r="J618">
        <v>97.639136865272604</v>
      </c>
      <c r="K618">
        <v>17.2644011502891</v>
      </c>
      <c r="L618" t="s">
        <v>34</v>
      </c>
      <c r="M618" t="s">
        <v>35</v>
      </c>
      <c r="N618">
        <v>22</v>
      </c>
      <c r="O618">
        <v>71.212373799529303</v>
      </c>
      <c r="P618">
        <v>16.575310179114702</v>
      </c>
      <c r="Q618" t="s">
        <v>29</v>
      </c>
      <c r="R618">
        <v>616</v>
      </c>
      <c r="S618">
        <v>93.814473585027102</v>
      </c>
    </row>
    <row r="619" spans="1:19" x14ac:dyDescent="0.25">
      <c r="A619">
        <v>6989</v>
      </c>
      <c r="B619">
        <v>184.859990348655</v>
      </c>
      <c r="C619">
        <v>1.9894290253908899</v>
      </c>
      <c r="D619">
        <v>20.243826869298399</v>
      </c>
      <c r="E619">
        <v>32.483628816054399</v>
      </c>
      <c r="F619">
        <v>24.283440053651901</v>
      </c>
      <c r="G619">
        <v>0.23763712220342201</v>
      </c>
      <c r="H619">
        <v>0.46760115039823402</v>
      </c>
      <c r="I619">
        <v>5.80230757099367</v>
      </c>
      <c r="J619">
        <v>79.592681211673295</v>
      </c>
      <c r="K619">
        <v>22.900042068372301</v>
      </c>
      <c r="L619" t="s">
        <v>22</v>
      </c>
      <c r="M619" t="s">
        <v>30</v>
      </c>
      <c r="N619">
        <v>29</v>
      </c>
      <c r="O619">
        <v>74.791199324275496</v>
      </c>
      <c r="P619">
        <v>5.1114123653721197</v>
      </c>
      <c r="Q619" t="s">
        <v>25</v>
      </c>
      <c r="R619">
        <v>617</v>
      </c>
      <c r="S619">
        <v>97.479049918996196</v>
      </c>
    </row>
    <row r="620" spans="1:19" x14ac:dyDescent="0.25">
      <c r="A620">
        <v>2460</v>
      </c>
      <c r="B620">
        <v>134.87858176920199</v>
      </c>
      <c r="C620">
        <v>1.5426590712825099</v>
      </c>
      <c r="D620">
        <v>95.539307721763706</v>
      </c>
      <c r="E620">
        <v>31.219132002090799</v>
      </c>
      <c r="F620">
        <v>14.5192059341767</v>
      </c>
      <c r="G620">
        <v>0.60156203320164003</v>
      </c>
      <c r="H620">
        <v>0.51168882610603394</v>
      </c>
      <c r="I620">
        <v>2.0179518085154702</v>
      </c>
      <c r="J620">
        <v>84.436570049256702</v>
      </c>
      <c r="K620">
        <v>87.411424275594996</v>
      </c>
      <c r="L620" t="s">
        <v>34</v>
      </c>
      <c r="M620" t="s">
        <v>32</v>
      </c>
      <c r="N620">
        <v>23</v>
      </c>
      <c r="O620">
        <v>64.166809485561998</v>
      </c>
      <c r="P620">
        <v>18.7889243429529</v>
      </c>
      <c r="Q620" t="s">
        <v>21</v>
      </c>
      <c r="R620">
        <v>618</v>
      </c>
      <c r="S620">
        <v>66.452473384536404</v>
      </c>
    </row>
    <row r="621" spans="1:19" x14ac:dyDescent="0.25">
      <c r="A621">
        <v>8190</v>
      </c>
      <c r="B621">
        <v>151.769815489032</v>
      </c>
      <c r="C621">
        <v>1.09586713917953</v>
      </c>
      <c r="D621">
        <v>76.760469622034094</v>
      </c>
      <c r="E621">
        <v>32.749838147351497</v>
      </c>
      <c r="F621">
        <v>17.408939167450999</v>
      </c>
      <c r="G621">
        <v>0.30172824343416299</v>
      </c>
      <c r="H621">
        <v>0.62107355853836999</v>
      </c>
      <c r="I621">
        <v>8.4544620833438895</v>
      </c>
      <c r="J621">
        <v>95.750982281850597</v>
      </c>
      <c r="K621">
        <v>85.564766092102303</v>
      </c>
      <c r="L621" t="s">
        <v>27</v>
      </c>
      <c r="M621" t="s">
        <v>37</v>
      </c>
      <c r="N621">
        <v>31</v>
      </c>
      <c r="O621">
        <v>73.259136383320396</v>
      </c>
      <c r="P621">
        <v>21.382871935885699</v>
      </c>
      <c r="Q621" t="s">
        <v>25</v>
      </c>
      <c r="R621">
        <v>619</v>
      </c>
      <c r="S621">
        <v>84.351074484608304</v>
      </c>
    </row>
    <row r="622" spans="1:19" x14ac:dyDescent="0.25">
      <c r="A622">
        <v>8140</v>
      </c>
      <c r="B622">
        <v>136.636587170951</v>
      </c>
      <c r="C622">
        <v>1.08477779672171</v>
      </c>
      <c r="D622">
        <v>45.859567042855602</v>
      </c>
      <c r="E622">
        <v>34.447929785836699</v>
      </c>
      <c r="F622">
        <v>28.613722334425599</v>
      </c>
      <c r="G622">
        <v>0.386110885934074</v>
      </c>
      <c r="H622">
        <v>0.86515968307916902</v>
      </c>
      <c r="I622">
        <v>3.2666802611113801</v>
      </c>
      <c r="J622">
        <v>31.7978999437025</v>
      </c>
      <c r="K622">
        <v>29.544586521050999</v>
      </c>
      <c r="L622" t="s">
        <v>27</v>
      </c>
      <c r="M622" t="s">
        <v>20</v>
      </c>
      <c r="N622">
        <v>33</v>
      </c>
      <c r="O622">
        <v>70.372413066685795</v>
      </c>
      <c r="P622">
        <v>25.947238234743502</v>
      </c>
      <c r="Q622" t="s">
        <v>21</v>
      </c>
      <c r="R622">
        <v>620</v>
      </c>
      <c r="S622">
        <v>69.958652884703199</v>
      </c>
    </row>
    <row r="623" spans="1:19" x14ac:dyDescent="0.25">
      <c r="A623">
        <v>4636</v>
      </c>
      <c r="B623">
        <v>133.02220693617701</v>
      </c>
      <c r="C623">
        <v>1.7612570526328699</v>
      </c>
      <c r="D623">
        <v>48.4937521390152</v>
      </c>
      <c r="E623">
        <v>31.167398572092399</v>
      </c>
      <c r="F623">
        <v>21.154386571785899</v>
      </c>
      <c r="G623">
        <v>0.97671461572575602</v>
      </c>
      <c r="H623">
        <v>0.59044632793336105</v>
      </c>
      <c r="I623">
        <v>7.9957193332952601</v>
      </c>
      <c r="J623">
        <v>103.320945691026</v>
      </c>
      <c r="K623">
        <v>27.125425166528299</v>
      </c>
      <c r="L623" t="s">
        <v>19</v>
      </c>
      <c r="M623" t="s">
        <v>20</v>
      </c>
      <c r="N623">
        <v>24</v>
      </c>
      <c r="O623">
        <v>71.604417201686303</v>
      </c>
      <c r="P623">
        <v>13.9561109105203</v>
      </c>
      <c r="Q623" t="s">
        <v>29</v>
      </c>
      <c r="R623">
        <v>621</v>
      </c>
      <c r="S623">
        <v>78.686950716674104</v>
      </c>
    </row>
    <row r="624" spans="1:19" x14ac:dyDescent="0.25">
      <c r="A624">
        <v>5809</v>
      </c>
      <c r="B624">
        <v>153.38152965975499</v>
      </c>
      <c r="C624">
        <v>1.70919911044434</v>
      </c>
      <c r="D624">
        <v>103.527860544164</v>
      </c>
      <c r="E624">
        <v>31.733892758187899</v>
      </c>
      <c r="F624">
        <v>22.397867674710799</v>
      </c>
      <c r="G624">
        <v>0.61385306755093805</v>
      </c>
      <c r="H624">
        <v>0.76004165643350396</v>
      </c>
      <c r="I624">
        <v>9.6139638640004605</v>
      </c>
      <c r="J624">
        <v>90.5619804180144</v>
      </c>
      <c r="K624">
        <v>33.040131488695998</v>
      </c>
      <c r="L624" t="s">
        <v>34</v>
      </c>
      <c r="M624" t="s">
        <v>35</v>
      </c>
      <c r="N624">
        <v>19</v>
      </c>
      <c r="O624">
        <v>61.123722413870603</v>
      </c>
      <c r="P624">
        <v>11.396938102310299</v>
      </c>
      <c r="Q624" t="s">
        <v>21</v>
      </c>
      <c r="R624">
        <v>622</v>
      </c>
      <c r="S624">
        <v>96.451665670119198</v>
      </c>
    </row>
    <row r="625" spans="1:19" x14ac:dyDescent="0.25">
      <c r="A625">
        <v>5178</v>
      </c>
      <c r="B625">
        <v>129.19450911622599</v>
      </c>
      <c r="C625">
        <v>2.2007992964732099</v>
      </c>
      <c r="D625">
        <v>51.089862401145297</v>
      </c>
      <c r="E625">
        <v>33.151521283480797</v>
      </c>
      <c r="F625">
        <v>25.794122080817999</v>
      </c>
      <c r="G625">
        <v>1.1287025813457601</v>
      </c>
      <c r="H625">
        <v>0.79012286214191496</v>
      </c>
      <c r="I625">
        <v>7.2711596256790703</v>
      </c>
      <c r="J625">
        <v>77.734172519636999</v>
      </c>
      <c r="K625">
        <v>53.666024555635602</v>
      </c>
      <c r="L625" t="s">
        <v>22</v>
      </c>
      <c r="M625" t="s">
        <v>33</v>
      </c>
      <c r="N625">
        <v>23</v>
      </c>
      <c r="O625">
        <v>78.257301567591796</v>
      </c>
      <c r="P625">
        <v>13.892257083106101</v>
      </c>
      <c r="Q625" t="s">
        <v>24</v>
      </c>
      <c r="R625">
        <v>623</v>
      </c>
      <c r="S625">
        <v>75.079727925572001</v>
      </c>
    </row>
    <row r="626" spans="1:19" x14ac:dyDescent="0.25">
      <c r="A626">
        <v>8245</v>
      </c>
      <c r="B626">
        <v>140.347846281438</v>
      </c>
      <c r="C626">
        <v>1.8252250462680599</v>
      </c>
      <c r="D626">
        <v>46.932989788080803</v>
      </c>
      <c r="E626">
        <v>31.8184142581832</v>
      </c>
      <c r="F626">
        <v>25.4816143104016</v>
      </c>
      <c r="G626">
        <v>0.656288755862942</v>
      </c>
      <c r="H626">
        <v>0.72240029474858702</v>
      </c>
      <c r="I626">
        <v>6.3642714485482097</v>
      </c>
      <c r="J626">
        <v>108.973533478305</v>
      </c>
      <c r="K626">
        <v>57.727847402655698</v>
      </c>
      <c r="L626" t="s">
        <v>22</v>
      </c>
      <c r="M626" t="s">
        <v>20</v>
      </c>
      <c r="N626">
        <v>26</v>
      </c>
      <c r="O626">
        <v>70.368247800981607</v>
      </c>
      <c r="P626">
        <v>25.469434173159801</v>
      </c>
      <c r="Q626" t="s">
        <v>21</v>
      </c>
      <c r="R626">
        <v>624</v>
      </c>
      <c r="S626">
        <v>85.687863609035006</v>
      </c>
    </row>
    <row r="627" spans="1:19" x14ac:dyDescent="0.25">
      <c r="A627">
        <v>7600</v>
      </c>
      <c r="B627">
        <v>141.43395612392001</v>
      </c>
      <c r="C627">
        <v>0.748459849120091</v>
      </c>
      <c r="D627">
        <v>92.746290847294503</v>
      </c>
      <c r="E627">
        <v>32.048971863461702</v>
      </c>
      <c r="F627">
        <v>23.3939990619273</v>
      </c>
      <c r="G627">
        <v>1.8929671419853</v>
      </c>
      <c r="H627">
        <v>0.59648308249357496</v>
      </c>
      <c r="I627">
        <v>5.1434755810753598</v>
      </c>
      <c r="J627">
        <v>90.030635388380702</v>
      </c>
      <c r="K627">
        <v>31.619507282958502</v>
      </c>
      <c r="L627" t="s">
        <v>27</v>
      </c>
      <c r="M627" t="s">
        <v>23</v>
      </c>
      <c r="N627">
        <v>24</v>
      </c>
      <c r="O627">
        <v>74.653678066812205</v>
      </c>
      <c r="P627">
        <v>29.0888658866543</v>
      </c>
      <c r="Q627" t="s">
        <v>21</v>
      </c>
      <c r="R627">
        <v>625</v>
      </c>
      <c r="S627">
        <v>75.231198241157202</v>
      </c>
    </row>
    <row r="628" spans="1:19" x14ac:dyDescent="0.25">
      <c r="A628">
        <v>6997</v>
      </c>
      <c r="B628">
        <v>121.63819092713899</v>
      </c>
      <c r="C628">
        <v>2.0259738088614498</v>
      </c>
      <c r="D628">
        <v>76.771057525718206</v>
      </c>
      <c r="E628">
        <v>32.491681701926098</v>
      </c>
      <c r="F628">
        <v>20.956658143897599</v>
      </c>
      <c r="G628">
        <v>1.83069914226727</v>
      </c>
      <c r="H628">
        <v>0.71737933794244901</v>
      </c>
      <c r="I628">
        <v>4.2796887939586199</v>
      </c>
      <c r="J628">
        <v>40.169996263102497</v>
      </c>
      <c r="K628">
        <v>71.746709106745897</v>
      </c>
      <c r="L628" t="s">
        <v>34</v>
      </c>
      <c r="M628" t="s">
        <v>20</v>
      </c>
      <c r="N628">
        <v>19</v>
      </c>
      <c r="O628">
        <v>64.894800697287707</v>
      </c>
      <c r="P628">
        <v>26.967922557918399</v>
      </c>
      <c r="Q628" t="s">
        <v>25</v>
      </c>
      <c r="R628">
        <v>626</v>
      </c>
      <c r="S628">
        <v>65.679040033671697</v>
      </c>
    </row>
    <row r="629" spans="1:19" x14ac:dyDescent="0.25">
      <c r="A629">
        <v>3048</v>
      </c>
      <c r="B629">
        <v>154.84084699073</v>
      </c>
      <c r="C629">
        <v>1.0009696863427899</v>
      </c>
      <c r="D629">
        <v>51.241488469271999</v>
      </c>
      <c r="E629">
        <v>31.361259114971801</v>
      </c>
      <c r="F629">
        <v>20.436657771338201</v>
      </c>
      <c r="G629">
        <v>1.22025098901883</v>
      </c>
      <c r="H629">
        <v>0.58824607603435997</v>
      </c>
      <c r="I629">
        <v>4.17704275874652</v>
      </c>
      <c r="J629">
        <v>62.974538107566602</v>
      </c>
      <c r="K629">
        <v>38.216487705198801</v>
      </c>
      <c r="L629" t="s">
        <v>22</v>
      </c>
      <c r="M629" t="s">
        <v>20</v>
      </c>
      <c r="N629">
        <v>36</v>
      </c>
      <c r="O629">
        <v>75.858326547051604</v>
      </c>
      <c r="P629">
        <v>23.181509586078398</v>
      </c>
      <c r="Q629" t="s">
        <v>29</v>
      </c>
      <c r="R629">
        <v>627</v>
      </c>
      <c r="S629">
        <v>85.330878233352706</v>
      </c>
    </row>
    <row r="630" spans="1:19" x14ac:dyDescent="0.25">
      <c r="A630">
        <v>5780</v>
      </c>
      <c r="B630">
        <v>131.50080486609099</v>
      </c>
      <c r="C630">
        <v>1.30801436402382</v>
      </c>
      <c r="D630">
        <v>74.332499508092297</v>
      </c>
      <c r="E630">
        <v>31.831053784540298</v>
      </c>
      <c r="F630">
        <v>26.289494126456699</v>
      </c>
      <c r="G630">
        <v>0.83796318557729499</v>
      </c>
      <c r="H630">
        <v>0.44613055620360598</v>
      </c>
      <c r="I630">
        <v>6.7273543513863103</v>
      </c>
      <c r="J630">
        <v>69.404286693573297</v>
      </c>
      <c r="K630">
        <v>84.159849414705704</v>
      </c>
      <c r="L630" t="s">
        <v>34</v>
      </c>
      <c r="M630" t="s">
        <v>35</v>
      </c>
      <c r="N630">
        <v>25</v>
      </c>
      <c r="O630">
        <v>64.624461714500399</v>
      </c>
      <c r="P630">
        <v>17.742554810517898</v>
      </c>
      <c r="Q630" t="s">
        <v>21</v>
      </c>
      <c r="R630">
        <v>628</v>
      </c>
      <c r="S630">
        <v>74.711686586238898</v>
      </c>
    </row>
    <row r="631" spans="1:19" x14ac:dyDescent="0.25">
      <c r="A631">
        <v>1716</v>
      </c>
      <c r="B631">
        <v>119.885096810143</v>
      </c>
      <c r="C631">
        <v>1.6251001031258401</v>
      </c>
      <c r="D631">
        <v>49.4849463271944</v>
      </c>
      <c r="E631">
        <v>33.844113500144701</v>
      </c>
      <c r="F631">
        <v>24.767847655338901</v>
      </c>
      <c r="G631">
        <v>0.88606438766252404</v>
      </c>
      <c r="H631">
        <v>0.94604218800230699</v>
      </c>
      <c r="I631">
        <v>7.7614580524397097</v>
      </c>
      <c r="J631">
        <v>25.521762675040499</v>
      </c>
      <c r="K631">
        <v>64.254202984254704</v>
      </c>
      <c r="L631" t="s">
        <v>34</v>
      </c>
      <c r="M631" t="s">
        <v>23</v>
      </c>
      <c r="N631">
        <v>28</v>
      </c>
      <c r="O631">
        <v>60.865950038471297</v>
      </c>
      <c r="P631">
        <v>18.989879672238001</v>
      </c>
      <c r="Q631" t="s">
        <v>24</v>
      </c>
      <c r="R631">
        <v>629</v>
      </c>
      <c r="S631">
        <v>77.087502808619305</v>
      </c>
    </row>
    <row r="632" spans="1:19" x14ac:dyDescent="0.25">
      <c r="A632">
        <v>8939</v>
      </c>
      <c r="B632">
        <v>145.730196871408</v>
      </c>
      <c r="C632">
        <v>2.4978337448919801</v>
      </c>
      <c r="D632">
        <v>92.016427968452106</v>
      </c>
      <c r="E632">
        <v>31.431156261322801</v>
      </c>
      <c r="F632">
        <v>20.713499996911001</v>
      </c>
      <c r="G632">
        <v>0.94133410966009401</v>
      </c>
      <c r="H632">
        <v>0.469950349497881</v>
      </c>
      <c r="I632">
        <v>7.1066536253597201</v>
      </c>
      <c r="J632">
        <v>115.463751336005</v>
      </c>
      <c r="K632">
        <v>47.726339572770797</v>
      </c>
      <c r="L632" t="s">
        <v>19</v>
      </c>
      <c r="M632" t="s">
        <v>28</v>
      </c>
      <c r="N632">
        <v>21</v>
      </c>
      <c r="O632">
        <v>82.174739388468893</v>
      </c>
      <c r="P632">
        <v>20.156331824570699</v>
      </c>
      <c r="Q632" t="s">
        <v>25</v>
      </c>
      <c r="R632">
        <v>630</v>
      </c>
      <c r="S632">
        <v>81.9024319590728</v>
      </c>
    </row>
    <row r="633" spans="1:19" x14ac:dyDescent="0.25">
      <c r="A633">
        <v>6565</v>
      </c>
      <c r="B633">
        <v>117.03064036417901</v>
      </c>
      <c r="C633">
        <v>3.0549592780026802</v>
      </c>
      <c r="D633">
        <v>91.227419297462603</v>
      </c>
      <c r="E633">
        <v>31.082553438606102</v>
      </c>
      <c r="F633">
        <v>27.4105615649657</v>
      </c>
      <c r="G633">
        <v>1.50964277984289</v>
      </c>
      <c r="H633">
        <v>0.439791611109831</v>
      </c>
      <c r="I633">
        <v>2.7856909107420602</v>
      </c>
      <c r="J633">
        <v>32.857726079687801</v>
      </c>
      <c r="K633">
        <v>74.2434001277134</v>
      </c>
      <c r="L633" t="s">
        <v>22</v>
      </c>
      <c r="M633" t="s">
        <v>26</v>
      </c>
      <c r="N633">
        <v>33</v>
      </c>
      <c r="O633">
        <v>49.018675829267401</v>
      </c>
      <c r="P633">
        <v>15.9830599161803</v>
      </c>
      <c r="Q633" t="s">
        <v>29</v>
      </c>
      <c r="R633">
        <v>631</v>
      </c>
      <c r="S633">
        <v>59.448492666378101</v>
      </c>
    </row>
    <row r="634" spans="1:19" x14ac:dyDescent="0.25">
      <c r="A634">
        <v>5544</v>
      </c>
      <c r="B634">
        <v>135.563623147382</v>
      </c>
      <c r="C634">
        <v>1.80336152956809</v>
      </c>
      <c r="D634">
        <v>80.640123976438801</v>
      </c>
      <c r="E634">
        <v>32.243970024559303</v>
      </c>
      <c r="F634">
        <v>21.354829424350999</v>
      </c>
      <c r="G634">
        <v>1.0129501919338999</v>
      </c>
      <c r="H634">
        <v>0.88319191206393499</v>
      </c>
      <c r="I634">
        <v>5.4458846212914196</v>
      </c>
      <c r="J634">
        <v>89.746126722672599</v>
      </c>
      <c r="K634">
        <v>76.343596953499798</v>
      </c>
      <c r="L634" t="s">
        <v>19</v>
      </c>
      <c r="M634" t="s">
        <v>35</v>
      </c>
      <c r="N634">
        <v>35</v>
      </c>
      <c r="O634">
        <v>91.919114749656401</v>
      </c>
      <c r="P634">
        <v>25.113447684043798</v>
      </c>
      <c r="Q634" t="s">
        <v>29</v>
      </c>
      <c r="R634">
        <v>632</v>
      </c>
      <c r="S634">
        <v>78.464745565989801</v>
      </c>
    </row>
    <row r="635" spans="1:19" x14ac:dyDescent="0.25">
      <c r="A635">
        <v>5976</v>
      </c>
      <c r="B635">
        <v>134.817620067115</v>
      </c>
      <c r="C635">
        <v>1.4084016906398</v>
      </c>
      <c r="D635">
        <v>77.233221224940294</v>
      </c>
      <c r="E635">
        <v>33.878346603011799</v>
      </c>
      <c r="F635">
        <v>17.741689128328002</v>
      </c>
      <c r="G635">
        <v>1.7421139037106099</v>
      </c>
      <c r="H635">
        <v>0.56600906349109203</v>
      </c>
      <c r="I635">
        <v>8.1247606496475608</v>
      </c>
      <c r="J635">
        <v>70.623103609088005</v>
      </c>
      <c r="K635">
        <v>36.786120420670699</v>
      </c>
      <c r="L635" t="s">
        <v>22</v>
      </c>
      <c r="M635" t="s">
        <v>33</v>
      </c>
      <c r="N635">
        <v>30</v>
      </c>
      <c r="O635">
        <v>73.6139215934692</v>
      </c>
      <c r="P635">
        <v>4.7778441620556302</v>
      </c>
      <c r="Q635" t="s">
        <v>31</v>
      </c>
      <c r="R635">
        <v>633</v>
      </c>
      <c r="S635">
        <v>77.101360220017796</v>
      </c>
    </row>
    <row r="636" spans="1:19" x14ac:dyDescent="0.25">
      <c r="A636">
        <v>4419</v>
      </c>
      <c r="B636">
        <v>156.71791131663099</v>
      </c>
      <c r="C636">
        <v>1.7672528242402701</v>
      </c>
      <c r="D636">
        <v>105.223762497347</v>
      </c>
      <c r="E636">
        <v>32.763693830403703</v>
      </c>
      <c r="F636">
        <v>18.205146505483199</v>
      </c>
      <c r="G636">
        <v>1.8993706146746501</v>
      </c>
      <c r="H636">
        <v>0.75766333574042899</v>
      </c>
      <c r="I636">
        <v>5.2813367037015002</v>
      </c>
      <c r="J636">
        <v>22.563224988442201</v>
      </c>
      <c r="K636">
        <v>40.478590787706302</v>
      </c>
      <c r="L636" t="s">
        <v>34</v>
      </c>
      <c r="M636" t="s">
        <v>33</v>
      </c>
      <c r="N636">
        <v>22</v>
      </c>
      <c r="O636">
        <v>65.481528812932694</v>
      </c>
      <c r="P636">
        <v>6.2582095893727496</v>
      </c>
      <c r="Q636" t="s">
        <v>24</v>
      </c>
      <c r="R636">
        <v>634</v>
      </c>
      <c r="S636">
        <v>82.599948801868905</v>
      </c>
    </row>
    <row r="637" spans="1:19" x14ac:dyDescent="0.25">
      <c r="A637">
        <v>8239</v>
      </c>
      <c r="B637">
        <v>144.49396465759901</v>
      </c>
      <c r="C637">
        <v>1.9438277129369099</v>
      </c>
      <c r="D637">
        <v>69.993726547764496</v>
      </c>
      <c r="E637">
        <v>32.442502706261202</v>
      </c>
      <c r="F637">
        <v>17.106295818451098</v>
      </c>
      <c r="G637">
        <v>0.80470307608208103</v>
      </c>
      <c r="H637">
        <v>0.58095315131422798</v>
      </c>
      <c r="I637">
        <v>5.8296095176194402</v>
      </c>
      <c r="J637">
        <v>112.474747586436</v>
      </c>
      <c r="K637">
        <v>85.196636529645204</v>
      </c>
      <c r="L637" t="s">
        <v>22</v>
      </c>
      <c r="M637" t="s">
        <v>37</v>
      </c>
      <c r="N637">
        <v>19</v>
      </c>
      <c r="O637">
        <v>70.608606774730703</v>
      </c>
      <c r="P637">
        <v>4.7637651755678796</v>
      </c>
      <c r="Q637" t="s">
        <v>25</v>
      </c>
      <c r="R637">
        <v>635</v>
      </c>
      <c r="S637">
        <v>80.186561046700007</v>
      </c>
    </row>
    <row r="638" spans="1:19" x14ac:dyDescent="0.25">
      <c r="A638">
        <v>1249</v>
      </c>
      <c r="B638">
        <v>134.499460825097</v>
      </c>
      <c r="C638">
        <v>1.3396661872214</v>
      </c>
      <c r="D638">
        <v>46.362517491583901</v>
      </c>
      <c r="E638">
        <v>33.053230557018701</v>
      </c>
      <c r="F638">
        <v>20.637949916981501</v>
      </c>
      <c r="G638">
        <v>1.20925006647622</v>
      </c>
      <c r="H638">
        <v>0.61529984893695899</v>
      </c>
      <c r="I638">
        <v>7.9402244335373897</v>
      </c>
      <c r="J638">
        <v>105.183680881893</v>
      </c>
      <c r="K638">
        <v>27.355577877245299</v>
      </c>
      <c r="L638" t="s">
        <v>27</v>
      </c>
      <c r="M638" t="s">
        <v>35</v>
      </c>
      <c r="N638">
        <v>28</v>
      </c>
      <c r="O638">
        <v>73.618651657836097</v>
      </c>
      <c r="P638">
        <v>11.582469227134499</v>
      </c>
      <c r="Q638" t="s">
        <v>25</v>
      </c>
      <c r="R638">
        <v>636</v>
      </c>
      <c r="S638">
        <v>79.027230101026504</v>
      </c>
    </row>
    <row r="639" spans="1:19" x14ac:dyDescent="0.25">
      <c r="A639">
        <v>9865</v>
      </c>
      <c r="B639">
        <v>151.35532598400499</v>
      </c>
      <c r="C639">
        <v>2.3976056779561601</v>
      </c>
      <c r="D639">
        <v>78.989478256646095</v>
      </c>
      <c r="E639">
        <v>30.905151080568402</v>
      </c>
      <c r="F639">
        <v>28.168621391680901</v>
      </c>
      <c r="G639">
        <v>0.37110176629861602</v>
      </c>
      <c r="H639">
        <v>0.54416213460923801</v>
      </c>
      <c r="I639">
        <v>6.9513877563858202</v>
      </c>
      <c r="J639">
        <v>72.425792790383497</v>
      </c>
      <c r="K639">
        <v>18.161281272219998</v>
      </c>
      <c r="L639" t="s">
        <v>34</v>
      </c>
      <c r="M639" t="s">
        <v>36</v>
      </c>
      <c r="N639">
        <v>18</v>
      </c>
      <c r="O639">
        <v>65.340398573901098</v>
      </c>
      <c r="P639">
        <v>28.769531121254602</v>
      </c>
      <c r="Q639" t="s">
        <v>24</v>
      </c>
      <c r="R639">
        <v>637</v>
      </c>
      <c r="S639">
        <v>85.886839986839405</v>
      </c>
    </row>
    <row r="640" spans="1:19" x14ac:dyDescent="0.25">
      <c r="A640">
        <v>1770</v>
      </c>
      <c r="B640">
        <v>162.80415098034601</v>
      </c>
      <c r="C640">
        <v>1.6150353795957</v>
      </c>
      <c r="D640">
        <v>111.72094099074199</v>
      </c>
      <c r="E640">
        <v>33.593646784530002</v>
      </c>
      <c r="F640">
        <v>17.9745240948474</v>
      </c>
      <c r="G640">
        <v>0.56084428597944602</v>
      </c>
      <c r="H640">
        <v>0.58867420318615504</v>
      </c>
      <c r="I640">
        <v>4.6841042879415298</v>
      </c>
      <c r="J640">
        <v>42.8942336139445</v>
      </c>
      <c r="K640">
        <v>49.0541491957161</v>
      </c>
      <c r="L640" t="s">
        <v>22</v>
      </c>
      <c r="M640" t="s">
        <v>35</v>
      </c>
      <c r="N640">
        <v>30</v>
      </c>
      <c r="O640">
        <v>84.2819431534096</v>
      </c>
      <c r="P640">
        <v>8.4883492894540904</v>
      </c>
      <c r="Q640" t="s">
        <v>29</v>
      </c>
      <c r="R640">
        <v>638</v>
      </c>
      <c r="S640">
        <v>81.448326185302406</v>
      </c>
    </row>
    <row r="641" spans="1:19" x14ac:dyDescent="0.25">
      <c r="A641">
        <v>5363</v>
      </c>
      <c r="B641">
        <v>146.156206127037</v>
      </c>
      <c r="C641">
        <v>1.7488715445456899</v>
      </c>
      <c r="D641">
        <v>49.704810136282902</v>
      </c>
      <c r="E641">
        <v>33.4601220376843</v>
      </c>
      <c r="F641">
        <v>22.942378805090499</v>
      </c>
      <c r="G641">
        <v>0.94423838007828798</v>
      </c>
      <c r="H641">
        <v>0.62588522032259797</v>
      </c>
      <c r="I641">
        <v>9.0587144007479701</v>
      </c>
      <c r="J641">
        <v>32.1622890680094</v>
      </c>
      <c r="K641">
        <v>75.090742518272094</v>
      </c>
      <c r="L641" t="s">
        <v>19</v>
      </c>
      <c r="M641" t="s">
        <v>28</v>
      </c>
      <c r="N641">
        <v>22</v>
      </c>
      <c r="O641">
        <v>79.804515889200005</v>
      </c>
      <c r="P641">
        <v>8.7828805540785204</v>
      </c>
      <c r="Q641" t="s">
        <v>21</v>
      </c>
      <c r="R641">
        <v>639</v>
      </c>
      <c r="S641">
        <v>91.626057392520494</v>
      </c>
    </row>
    <row r="642" spans="1:19" x14ac:dyDescent="0.25">
      <c r="A642">
        <v>2077</v>
      </c>
      <c r="B642">
        <v>135.207052396867</v>
      </c>
      <c r="C642">
        <v>1.83296212602723</v>
      </c>
      <c r="D642">
        <v>62.770744666120201</v>
      </c>
      <c r="E642">
        <v>32.508829831085102</v>
      </c>
      <c r="F642">
        <v>18.7165532718629</v>
      </c>
      <c r="G642">
        <v>0.57116488862320103</v>
      </c>
      <c r="H642">
        <v>0.79622883800078803</v>
      </c>
      <c r="I642">
        <v>2.4631036179713002</v>
      </c>
      <c r="J642">
        <v>56.339247943212598</v>
      </c>
      <c r="K642">
        <v>72.875107973305902</v>
      </c>
      <c r="L642" t="s">
        <v>19</v>
      </c>
      <c r="M642" t="s">
        <v>20</v>
      </c>
      <c r="N642">
        <v>35</v>
      </c>
      <c r="O642">
        <v>89.814614357295795</v>
      </c>
      <c r="P642">
        <v>11.397061087827399</v>
      </c>
      <c r="Q642" t="s">
        <v>24</v>
      </c>
      <c r="R642">
        <v>640</v>
      </c>
      <c r="S642">
        <v>73.087874231920495</v>
      </c>
    </row>
    <row r="643" spans="1:19" x14ac:dyDescent="0.25">
      <c r="A643">
        <v>9427</v>
      </c>
      <c r="B643">
        <v>108.763275352996</v>
      </c>
      <c r="C643">
        <v>1.71079330530722</v>
      </c>
      <c r="D643">
        <v>78.328920762029</v>
      </c>
      <c r="E643">
        <v>34.207109414155703</v>
      </c>
      <c r="F643">
        <v>20.698454793642799</v>
      </c>
      <c r="G643">
        <v>1.7778088834196899</v>
      </c>
      <c r="H643">
        <v>0.68134490682913496</v>
      </c>
      <c r="I643">
        <v>9.9596480373129204</v>
      </c>
      <c r="J643">
        <v>45.542828104609001</v>
      </c>
      <c r="K643">
        <v>83.964797168462397</v>
      </c>
      <c r="L643" t="s">
        <v>34</v>
      </c>
      <c r="M643" t="s">
        <v>35</v>
      </c>
      <c r="N643">
        <v>31</v>
      </c>
      <c r="O643">
        <v>58.228469709627099</v>
      </c>
      <c r="P643">
        <v>26.8601091438811</v>
      </c>
      <c r="Q643" t="s">
        <v>25</v>
      </c>
      <c r="R643">
        <v>641</v>
      </c>
      <c r="S643">
        <v>75.579157668411099</v>
      </c>
    </row>
    <row r="644" spans="1:19" x14ac:dyDescent="0.25">
      <c r="A644">
        <v>9580</v>
      </c>
      <c r="B644">
        <v>113.69772673849199</v>
      </c>
      <c r="C644">
        <v>1.9194702502348</v>
      </c>
      <c r="D644">
        <v>68.921903019885207</v>
      </c>
      <c r="E644">
        <v>31.647004681256298</v>
      </c>
      <c r="F644">
        <v>14.4497939400737</v>
      </c>
      <c r="G644">
        <v>0.48491526090637599</v>
      </c>
      <c r="H644">
        <v>0.91896086943633704</v>
      </c>
      <c r="I644">
        <v>2.0696732062861298</v>
      </c>
      <c r="J644">
        <v>70.669120100629797</v>
      </c>
      <c r="K644">
        <v>54.990049827678</v>
      </c>
      <c r="L644" t="s">
        <v>19</v>
      </c>
      <c r="M644" t="s">
        <v>36</v>
      </c>
      <c r="N644">
        <v>30</v>
      </c>
      <c r="O644">
        <v>69.722440696158401</v>
      </c>
      <c r="P644">
        <v>29.482302924148101</v>
      </c>
      <c r="Q644" t="s">
        <v>24</v>
      </c>
      <c r="R644">
        <v>642</v>
      </c>
      <c r="S644">
        <v>59.1346240652801</v>
      </c>
    </row>
    <row r="645" spans="1:19" x14ac:dyDescent="0.25">
      <c r="A645">
        <v>8901</v>
      </c>
      <c r="B645">
        <v>128.895505912906</v>
      </c>
      <c r="C645">
        <v>1.19137340672653</v>
      </c>
      <c r="D645">
        <v>50.353928392453703</v>
      </c>
      <c r="E645">
        <v>34.3534907919042</v>
      </c>
      <c r="F645">
        <v>20.8973088542173</v>
      </c>
      <c r="G645">
        <v>1.0201894787955601</v>
      </c>
      <c r="H645">
        <v>0.42303421661132601</v>
      </c>
      <c r="I645">
        <v>1.1345497399381499</v>
      </c>
      <c r="J645">
        <v>116.64092961234201</v>
      </c>
      <c r="K645">
        <v>22.50485036749</v>
      </c>
      <c r="L645" t="s">
        <v>34</v>
      </c>
      <c r="M645" t="s">
        <v>32</v>
      </c>
      <c r="N645">
        <v>24</v>
      </c>
      <c r="O645">
        <v>56.903900929335997</v>
      </c>
      <c r="P645">
        <v>26.120447563854199</v>
      </c>
      <c r="Q645" t="s">
        <v>29</v>
      </c>
      <c r="R645">
        <v>643</v>
      </c>
      <c r="S645">
        <v>63.459337541269001</v>
      </c>
    </row>
    <row r="646" spans="1:19" x14ac:dyDescent="0.25">
      <c r="A646">
        <v>5858</v>
      </c>
      <c r="B646">
        <v>122.809755956814</v>
      </c>
      <c r="C646">
        <v>1.22084912302698</v>
      </c>
      <c r="D646">
        <v>92.437157124609399</v>
      </c>
      <c r="E646">
        <v>33.185392398714299</v>
      </c>
      <c r="F646">
        <v>21.031473100975099</v>
      </c>
      <c r="G646">
        <v>1.2902586328277701</v>
      </c>
      <c r="H646">
        <v>0.67668757744761499</v>
      </c>
      <c r="I646">
        <v>9.0101701103388798</v>
      </c>
      <c r="J646">
        <v>77.495349322964103</v>
      </c>
      <c r="K646">
        <v>59.151673075201202</v>
      </c>
      <c r="L646" t="s">
        <v>34</v>
      </c>
      <c r="M646" t="s">
        <v>36</v>
      </c>
      <c r="N646">
        <v>25</v>
      </c>
      <c r="O646">
        <v>59.268221293594998</v>
      </c>
      <c r="P646">
        <v>26.6163403545767</v>
      </c>
      <c r="Q646" t="s">
        <v>31</v>
      </c>
      <c r="R646">
        <v>644</v>
      </c>
      <c r="S646">
        <v>81.143558727177805</v>
      </c>
    </row>
    <row r="647" spans="1:19" x14ac:dyDescent="0.25">
      <c r="A647">
        <v>7544</v>
      </c>
      <c r="B647">
        <v>131.26057394029101</v>
      </c>
      <c r="C647">
        <v>0.94992288351415199</v>
      </c>
      <c r="D647">
        <v>116.400814440345</v>
      </c>
      <c r="E647">
        <v>32.596136892146099</v>
      </c>
      <c r="F647">
        <v>24.701439720178399</v>
      </c>
      <c r="G647">
        <v>1.4453550346895101</v>
      </c>
      <c r="H647">
        <v>0.72132363385744402</v>
      </c>
      <c r="I647">
        <v>3.2045815752936</v>
      </c>
      <c r="J647">
        <v>108.99310558900901</v>
      </c>
      <c r="K647">
        <v>73.379671076490794</v>
      </c>
      <c r="L647" t="s">
        <v>34</v>
      </c>
      <c r="M647" t="s">
        <v>33</v>
      </c>
      <c r="N647">
        <v>35</v>
      </c>
      <c r="O647">
        <v>65.389860261856896</v>
      </c>
      <c r="P647">
        <v>31.2152169987849</v>
      </c>
      <c r="Q647" t="s">
        <v>31</v>
      </c>
      <c r="R647">
        <v>645</v>
      </c>
      <c r="S647">
        <v>73.243486720617099</v>
      </c>
    </row>
    <row r="648" spans="1:19" x14ac:dyDescent="0.25">
      <c r="A648">
        <v>5719</v>
      </c>
      <c r="B648">
        <v>136.132998497942</v>
      </c>
      <c r="C648">
        <v>1.7197506153101101</v>
      </c>
      <c r="D648">
        <v>73.922629180478097</v>
      </c>
      <c r="E648">
        <v>32.976151637557997</v>
      </c>
      <c r="F648">
        <v>23.116404566276799</v>
      </c>
      <c r="G648">
        <v>0.88952486550771204</v>
      </c>
      <c r="H648">
        <v>0.90610834234085003</v>
      </c>
      <c r="I648">
        <v>7.5672966470204797</v>
      </c>
      <c r="J648">
        <v>85.087883749577699</v>
      </c>
      <c r="K648">
        <v>21.9996090202369</v>
      </c>
      <c r="L648" t="s">
        <v>22</v>
      </c>
      <c r="M648" t="s">
        <v>28</v>
      </c>
      <c r="N648">
        <v>24</v>
      </c>
      <c r="O648">
        <v>65.534571994746202</v>
      </c>
      <c r="P648">
        <v>3.6280119150611898</v>
      </c>
      <c r="Q648" t="s">
        <v>21</v>
      </c>
      <c r="R648">
        <v>646</v>
      </c>
      <c r="S648">
        <v>77.238729997362299</v>
      </c>
    </row>
    <row r="649" spans="1:19" x14ac:dyDescent="0.25">
      <c r="A649">
        <v>3814</v>
      </c>
      <c r="B649">
        <v>145.59385508713399</v>
      </c>
      <c r="C649">
        <v>1.8894682517560499</v>
      </c>
      <c r="D649">
        <v>51.918634205279901</v>
      </c>
      <c r="E649">
        <v>32.871282281026801</v>
      </c>
      <c r="F649">
        <v>16.008039375239701</v>
      </c>
      <c r="G649">
        <v>1.7643783237045101</v>
      </c>
      <c r="H649">
        <v>0.42703718799178503</v>
      </c>
      <c r="I649">
        <v>8.2991383743886207</v>
      </c>
      <c r="J649">
        <v>67.524652658720001</v>
      </c>
      <c r="K649">
        <v>27.949305082319199</v>
      </c>
      <c r="L649" t="s">
        <v>34</v>
      </c>
      <c r="M649" t="s">
        <v>20</v>
      </c>
      <c r="N649">
        <v>37</v>
      </c>
      <c r="O649">
        <v>70.959229601714696</v>
      </c>
      <c r="P649">
        <v>8.2008966951235092</v>
      </c>
      <c r="Q649" t="s">
        <v>21</v>
      </c>
      <c r="R649">
        <v>647</v>
      </c>
      <c r="S649">
        <v>88.550111813006893</v>
      </c>
    </row>
    <row r="650" spans="1:19" x14ac:dyDescent="0.25">
      <c r="A650">
        <v>4374</v>
      </c>
      <c r="B650">
        <v>133.59002443881801</v>
      </c>
      <c r="C650">
        <v>1.7288864330759399</v>
      </c>
      <c r="D650">
        <v>39.020789498930498</v>
      </c>
      <c r="E650">
        <v>34.464339475701202</v>
      </c>
      <c r="F650">
        <v>27.420991220217701</v>
      </c>
      <c r="G650">
        <v>1.22297447194026</v>
      </c>
      <c r="H650">
        <v>0.71542477171436802</v>
      </c>
      <c r="I650">
        <v>8.7308775192890504</v>
      </c>
      <c r="J650">
        <v>105.460756273337</v>
      </c>
      <c r="K650">
        <v>15.9217995866753</v>
      </c>
      <c r="L650" t="s">
        <v>19</v>
      </c>
      <c r="M650" t="s">
        <v>36</v>
      </c>
      <c r="N650">
        <v>34</v>
      </c>
      <c r="O650">
        <v>67.114735063277806</v>
      </c>
      <c r="P650">
        <v>12.394118717232301</v>
      </c>
      <c r="Q650" t="s">
        <v>29</v>
      </c>
      <c r="R650">
        <v>648</v>
      </c>
      <c r="S650">
        <v>83.174668668342804</v>
      </c>
    </row>
    <row r="651" spans="1:19" x14ac:dyDescent="0.25">
      <c r="A651">
        <v>2252</v>
      </c>
      <c r="B651">
        <v>144.73003287652401</v>
      </c>
      <c r="C651">
        <v>2.3372462166737602</v>
      </c>
      <c r="D651">
        <v>75.159519624423595</v>
      </c>
      <c r="E651">
        <v>31.7079850470347</v>
      </c>
      <c r="F651">
        <v>23.0515152011099</v>
      </c>
      <c r="G651">
        <v>0.99111400480559297</v>
      </c>
      <c r="H651">
        <v>0.86949646069037601</v>
      </c>
      <c r="I651">
        <v>9.9243481209775002</v>
      </c>
      <c r="J651">
        <v>67.136811017299706</v>
      </c>
      <c r="K651">
        <v>59.523943458510701</v>
      </c>
      <c r="L651" t="s">
        <v>27</v>
      </c>
      <c r="M651" t="s">
        <v>28</v>
      </c>
      <c r="N651">
        <v>33</v>
      </c>
      <c r="O651">
        <v>74.399796500081393</v>
      </c>
      <c r="P651">
        <v>18.829826125457501</v>
      </c>
      <c r="Q651" t="s">
        <v>21</v>
      </c>
      <c r="R651">
        <v>649</v>
      </c>
      <c r="S651">
        <v>93.094504885949206</v>
      </c>
    </row>
    <row r="652" spans="1:19" x14ac:dyDescent="0.25">
      <c r="A652">
        <v>7996</v>
      </c>
      <c r="B652">
        <v>136.28948829620199</v>
      </c>
      <c r="C652">
        <v>1.4972019905854701</v>
      </c>
      <c r="D652">
        <v>92.077546866325093</v>
      </c>
      <c r="E652">
        <v>32.084976913024001</v>
      </c>
      <c r="F652">
        <v>22.991967585887402</v>
      </c>
      <c r="G652">
        <v>0.321033141293665</v>
      </c>
      <c r="H652">
        <v>0.53306025046558003</v>
      </c>
      <c r="I652">
        <v>3.6463573903599902</v>
      </c>
      <c r="J652">
        <v>106.862817051036</v>
      </c>
      <c r="K652">
        <v>81.505079395942801</v>
      </c>
      <c r="L652" t="s">
        <v>22</v>
      </c>
      <c r="M652" t="s">
        <v>32</v>
      </c>
      <c r="N652">
        <v>28</v>
      </c>
      <c r="O652">
        <v>70.551240334025707</v>
      </c>
      <c r="P652">
        <v>18.803904371411299</v>
      </c>
      <c r="Q652" t="s">
        <v>31</v>
      </c>
      <c r="R652">
        <v>650</v>
      </c>
      <c r="S652">
        <v>67.252554278604904</v>
      </c>
    </row>
    <row r="653" spans="1:19" x14ac:dyDescent="0.25">
      <c r="A653">
        <v>5673</v>
      </c>
      <c r="B653">
        <v>95.490668672922496</v>
      </c>
      <c r="C653">
        <v>1.83437082779625</v>
      </c>
      <c r="D653">
        <v>79.503354929907601</v>
      </c>
      <c r="E653">
        <v>34.243563470486897</v>
      </c>
      <c r="F653">
        <v>21.954088233074302</v>
      </c>
      <c r="G653">
        <v>1.03644104320129</v>
      </c>
      <c r="H653">
        <v>0.88196079168816499</v>
      </c>
      <c r="I653">
        <v>7.3921900773453304</v>
      </c>
      <c r="J653">
        <v>49.157676957576498</v>
      </c>
      <c r="K653">
        <v>65.299748700157394</v>
      </c>
      <c r="L653" t="s">
        <v>19</v>
      </c>
      <c r="M653" t="s">
        <v>23</v>
      </c>
      <c r="N653">
        <v>36</v>
      </c>
      <c r="O653">
        <v>81.180265191148095</v>
      </c>
      <c r="P653">
        <v>18.928709346494099</v>
      </c>
      <c r="Q653" t="s">
        <v>29</v>
      </c>
      <c r="R653">
        <v>651</v>
      </c>
      <c r="S653">
        <v>60.797765032446101</v>
      </c>
    </row>
    <row r="654" spans="1:19" x14ac:dyDescent="0.25">
      <c r="A654">
        <v>5530</v>
      </c>
      <c r="B654">
        <v>116.213292123624</v>
      </c>
      <c r="C654">
        <v>0.95414956193034195</v>
      </c>
      <c r="D654">
        <v>69.951923181622902</v>
      </c>
      <c r="E654">
        <v>32.2853580777793</v>
      </c>
      <c r="F654">
        <v>19.411212763888901</v>
      </c>
      <c r="G654">
        <v>1.6773245134683099</v>
      </c>
      <c r="H654">
        <v>0.41047387510085998</v>
      </c>
      <c r="I654">
        <v>2.0385987245274499</v>
      </c>
      <c r="J654">
        <v>32.8813073762988</v>
      </c>
      <c r="K654">
        <v>88.653006569323594</v>
      </c>
      <c r="L654" t="s">
        <v>34</v>
      </c>
      <c r="M654" t="s">
        <v>23</v>
      </c>
      <c r="N654">
        <v>18</v>
      </c>
      <c r="O654">
        <v>74.630428481014206</v>
      </c>
      <c r="P654">
        <v>24.673753879396202</v>
      </c>
      <c r="Q654" t="s">
        <v>29</v>
      </c>
      <c r="R654">
        <v>652</v>
      </c>
      <c r="S654">
        <v>59.509289733004003</v>
      </c>
    </row>
    <row r="655" spans="1:19" x14ac:dyDescent="0.25">
      <c r="A655">
        <v>7881</v>
      </c>
      <c r="B655">
        <v>132.118248885567</v>
      </c>
      <c r="C655">
        <v>1.30645014876279</v>
      </c>
      <c r="D655">
        <v>58.214566964213802</v>
      </c>
      <c r="E655">
        <v>34.080639692797902</v>
      </c>
      <c r="F655">
        <v>23.089011698743601</v>
      </c>
      <c r="G655">
        <v>1.3061738327983601</v>
      </c>
      <c r="H655">
        <v>0.80285004602355103</v>
      </c>
      <c r="I655">
        <v>4.6612836222116396</v>
      </c>
      <c r="J655">
        <v>105.531446436293</v>
      </c>
      <c r="K655">
        <v>19.727523937482101</v>
      </c>
      <c r="L655" t="s">
        <v>34</v>
      </c>
      <c r="M655" t="s">
        <v>23</v>
      </c>
      <c r="N655">
        <v>38</v>
      </c>
      <c r="O655">
        <v>58.568315360070898</v>
      </c>
      <c r="P655">
        <v>2.6572277715922699</v>
      </c>
      <c r="Q655" t="s">
        <v>29</v>
      </c>
      <c r="R655">
        <v>653</v>
      </c>
      <c r="S655">
        <v>69.011977255355504</v>
      </c>
    </row>
    <row r="656" spans="1:19" x14ac:dyDescent="0.25">
      <c r="A656">
        <v>7949</v>
      </c>
      <c r="B656">
        <v>110.80610514317701</v>
      </c>
      <c r="C656">
        <v>1.8477688787828801</v>
      </c>
      <c r="D656">
        <v>48.156727345638203</v>
      </c>
      <c r="E656">
        <v>35.039323179610399</v>
      </c>
      <c r="F656">
        <v>24.377942179642901</v>
      </c>
      <c r="G656">
        <v>1.6978924167124101</v>
      </c>
      <c r="H656">
        <v>0.91321227164275898</v>
      </c>
      <c r="I656">
        <v>8.6317452398133092</v>
      </c>
      <c r="J656">
        <v>78.741516379266599</v>
      </c>
      <c r="K656">
        <v>82.725081386362206</v>
      </c>
      <c r="L656" t="s">
        <v>27</v>
      </c>
      <c r="M656" t="s">
        <v>32</v>
      </c>
      <c r="N656">
        <v>25</v>
      </c>
      <c r="O656">
        <v>66.836096042581602</v>
      </c>
      <c r="P656">
        <v>16.877344168941299</v>
      </c>
      <c r="Q656" t="s">
        <v>24</v>
      </c>
      <c r="R656">
        <v>654</v>
      </c>
      <c r="S656">
        <v>77.184167788339295</v>
      </c>
    </row>
    <row r="657" spans="1:19" x14ac:dyDescent="0.25">
      <c r="A657">
        <v>7241</v>
      </c>
      <c r="B657">
        <v>146.99857459992401</v>
      </c>
      <c r="C657">
        <v>1.9245510553715699</v>
      </c>
      <c r="D657">
        <v>86.6950265264976</v>
      </c>
      <c r="E657">
        <v>32.517845967669999</v>
      </c>
      <c r="F657">
        <v>13.2655215432722</v>
      </c>
      <c r="G657">
        <v>1.08922100707875</v>
      </c>
      <c r="H657">
        <v>0.76145871390203401</v>
      </c>
      <c r="I657">
        <v>4.3089224145319696</v>
      </c>
      <c r="J657">
        <v>108.90923982489601</v>
      </c>
      <c r="K657">
        <v>76.055121554001005</v>
      </c>
      <c r="L657" t="s">
        <v>19</v>
      </c>
      <c r="M657" t="s">
        <v>20</v>
      </c>
      <c r="N657">
        <v>18</v>
      </c>
      <c r="O657">
        <v>67.375912468203296</v>
      </c>
      <c r="P657">
        <v>20.1248736233022</v>
      </c>
      <c r="Q657" t="s">
        <v>21</v>
      </c>
      <c r="R657">
        <v>655</v>
      </c>
      <c r="S657">
        <v>77.391735121993307</v>
      </c>
    </row>
    <row r="658" spans="1:19" x14ac:dyDescent="0.25">
      <c r="A658">
        <v>9017</v>
      </c>
      <c r="B658">
        <v>165.61501664687299</v>
      </c>
      <c r="C658">
        <v>1.3530165261678999</v>
      </c>
      <c r="D658">
        <v>88.275432427711706</v>
      </c>
      <c r="E658">
        <v>33.817634791890299</v>
      </c>
      <c r="F658">
        <v>19.3061958132695</v>
      </c>
      <c r="G658">
        <v>0.41323106917006702</v>
      </c>
      <c r="H658">
        <v>0.641466084189246</v>
      </c>
      <c r="I658">
        <v>6.3198584248205201</v>
      </c>
      <c r="J658">
        <v>113.782720699238</v>
      </c>
      <c r="K658">
        <v>38.568114037462799</v>
      </c>
      <c r="L658" t="s">
        <v>22</v>
      </c>
      <c r="M658" t="s">
        <v>26</v>
      </c>
      <c r="N658">
        <v>26</v>
      </c>
      <c r="O658">
        <v>71.519237950167295</v>
      </c>
      <c r="P658">
        <v>15.395953057539099</v>
      </c>
      <c r="Q658" t="s">
        <v>25</v>
      </c>
      <c r="R658">
        <v>656</v>
      </c>
      <c r="S658">
        <v>92.089042611158305</v>
      </c>
    </row>
    <row r="659" spans="1:19" x14ac:dyDescent="0.25">
      <c r="A659">
        <v>7941</v>
      </c>
      <c r="B659">
        <v>159.37523703394601</v>
      </c>
      <c r="C659">
        <v>1.4642003740709599</v>
      </c>
      <c r="D659">
        <v>39.0854042661853</v>
      </c>
      <c r="E659">
        <v>31.6155692623921</v>
      </c>
      <c r="F659">
        <v>20.725265147982</v>
      </c>
      <c r="G659">
        <v>0.22455172250458499</v>
      </c>
      <c r="H659">
        <v>0.42468455905999403</v>
      </c>
      <c r="I659">
        <v>5.5339609935217</v>
      </c>
      <c r="J659">
        <v>25.362839037144902</v>
      </c>
      <c r="K659">
        <v>88.014491387793797</v>
      </c>
      <c r="L659" t="s">
        <v>19</v>
      </c>
      <c r="M659" t="s">
        <v>26</v>
      </c>
      <c r="N659">
        <v>36</v>
      </c>
      <c r="O659">
        <v>76.602232766683699</v>
      </c>
      <c r="P659">
        <v>19.5130913633045</v>
      </c>
      <c r="Q659" t="s">
        <v>31</v>
      </c>
      <c r="R659">
        <v>657</v>
      </c>
      <c r="S659">
        <v>87.132921674014199</v>
      </c>
    </row>
    <row r="660" spans="1:19" x14ac:dyDescent="0.25">
      <c r="A660">
        <v>8002</v>
      </c>
      <c r="B660">
        <v>130.73114258139501</v>
      </c>
      <c r="C660">
        <v>0.74106312665959495</v>
      </c>
      <c r="D660">
        <v>101.796779563613</v>
      </c>
      <c r="E660">
        <v>33.905679957681301</v>
      </c>
      <c r="F660">
        <v>23.280853028471299</v>
      </c>
      <c r="G660">
        <v>0.74579518409346401</v>
      </c>
      <c r="H660">
        <v>0.90606259732744499</v>
      </c>
      <c r="I660">
        <v>6.8135637800084004</v>
      </c>
      <c r="J660">
        <v>70.096930185886805</v>
      </c>
      <c r="K660">
        <v>36.595331112856101</v>
      </c>
      <c r="L660" t="s">
        <v>34</v>
      </c>
      <c r="M660" t="s">
        <v>28</v>
      </c>
      <c r="N660">
        <v>38</v>
      </c>
      <c r="O660">
        <v>70.260833429736905</v>
      </c>
      <c r="P660">
        <v>26.177689141513302</v>
      </c>
      <c r="Q660" t="s">
        <v>21</v>
      </c>
      <c r="R660">
        <v>658</v>
      </c>
      <c r="S660">
        <v>76.3118145197503</v>
      </c>
    </row>
    <row r="661" spans="1:19" x14ac:dyDescent="0.25">
      <c r="A661">
        <v>2331</v>
      </c>
      <c r="B661">
        <v>164.81452273699901</v>
      </c>
      <c r="C661">
        <v>1.32148539959669</v>
      </c>
      <c r="D661">
        <v>81.481424417880007</v>
      </c>
      <c r="E661">
        <v>33.2393087831841</v>
      </c>
      <c r="F661">
        <v>27.9665550296356</v>
      </c>
      <c r="G661">
        <v>1.45638284869602</v>
      </c>
      <c r="H661">
        <v>0.65866292248036595</v>
      </c>
      <c r="I661">
        <v>9.7560495044892495</v>
      </c>
      <c r="J661">
        <v>57.4964549074529</v>
      </c>
      <c r="K661">
        <v>81.6978542871163</v>
      </c>
      <c r="L661" t="s">
        <v>22</v>
      </c>
      <c r="M661" t="s">
        <v>23</v>
      </c>
      <c r="N661">
        <v>26</v>
      </c>
      <c r="O661">
        <v>72.625295250288303</v>
      </c>
      <c r="P661">
        <v>18.497774799922901</v>
      </c>
      <c r="Q661" t="s">
        <v>31</v>
      </c>
      <c r="R661">
        <v>659</v>
      </c>
      <c r="S661">
        <v>96.1201020545777</v>
      </c>
    </row>
    <row r="662" spans="1:19" x14ac:dyDescent="0.25">
      <c r="A662">
        <v>5261</v>
      </c>
      <c r="B662">
        <v>137.973349144042</v>
      </c>
      <c r="C662">
        <v>1.9451915817598899</v>
      </c>
      <c r="D662">
        <v>97.991892902915794</v>
      </c>
      <c r="E662">
        <v>33.5676459385922</v>
      </c>
      <c r="F662">
        <v>18.141295927015999</v>
      </c>
      <c r="G662">
        <v>1.6224678270950399</v>
      </c>
      <c r="H662">
        <v>0.41594820938477101</v>
      </c>
      <c r="I662">
        <v>1.50161973851261</v>
      </c>
      <c r="J662">
        <v>82.585839707011701</v>
      </c>
      <c r="K662">
        <v>81.0561432805642</v>
      </c>
      <c r="L662" t="s">
        <v>34</v>
      </c>
      <c r="M662" t="s">
        <v>33</v>
      </c>
      <c r="N662">
        <v>38</v>
      </c>
      <c r="O662">
        <v>58.926184079050898</v>
      </c>
      <c r="P662">
        <v>35.102279523935501</v>
      </c>
      <c r="Q662" t="s">
        <v>21</v>
      </c>
      <c r="R662">
        <v>660</v>
      </c>
      <c r="S662">
        <v>76.354947153550597</v>
      </c>
    </row>
    <row r="663" spans="1:19" x14ac:dyDescent="0.25">
      <c r="A663">
        <v>8648</v>
      </c>
      <c r="B663">
        <v>128.258280577639</v>
      </c>
      <c r="C663">
        <v>1.78760250805328</v>
      </c>
      <c r="D663">
        <v>43.157445030297602</v>
      </c>
      <c r="E663">
        <v>32.225313513557502</v>
      </c>
      <c r="F663">
        <v>19.5101907659107</v>
      </c>
      <c r="G663">
        <v>0.73235510231659295</v>
      </c>
      <c r="H663">
        <v>0.77940158923081904</v>
      </c>
      <c r="I663">
        <v>6.1656536575146603</v>
      </c>
      <c r="J663">
        <v>99.3591197202323</v>
      </c>
      <c r="K663">
        <v>71.824321245222905</v>
      </c>
      <c r="L663" t="s">
        <v>34</v>
      </c>
      <c r="M663" t="s">
        <v>20</v>
      </c>
      <c r="N663">
        <v>27</v>
      </c>
      <c r="O663">
        <v>64.3263866849246</v>
      </c>
      <c r="P663">
        <v>25.607097870740301</v>
      </c>
      <c r="Q663" t="s">
        <v>25</v>
      </c>
      <c r="R663">
        <v>661</v>
      </c>
      <c r="S663">
        <v>74.224179818528199</v>
      </c>
    </row>
    <row r="664" spans="1:19" x14ac:dyDescent="0.25">
      <c r="A664">
        <v>6115</v>
      </c>
      <c r="B664">
        <v>122.731946729181</v>
      </c>
      <c r="C664">
        <v>1.7503328606905999</v>
      </c>
      <c r="D664">
        <v>42.683516891691198</v>
      </c>
      <c r="E664">
        <v>31.006699901319301</v>
      </c>
      <c r="F664">
        <v>19.437329446767201</v>
      </c>
      <c r="G664">
        <v>1.09217705758984</v>
      </c>
      <c r="H664">
        <v>0.66501048946694197</v>
      </c>
      <c r="I664">
        <v>8.7672590132525592</v>
      </c>
      <c r="J664">
        <v>48.059021597436796</v>
      </c>
      <c r="K664">
        <v>57.260285535963803</v>
      </c>
      <c r="L664" t="s">
        <v>19</v>
      </c>
      <c r="M664" t="s">
        <v>26</v>
      </c>
      <c r="N664">
        <v>28</v>
      </c>
      <c r="O664">
        <v>52.703023896849203</v>
      </c>
      <c r="P664">
        <v>20.129012315739601</v>
      </c>
      <c r="Q664" t="s">
        <v>31</v>
      </c>
      <c r="R664">
        <v>662</v>
      </c>
      <c r="S664">
        <v>80.084680940647999</v>
      </c>
    </row>
    <row r="665" spans="1:19" x14ac:dyDescent="0.25">
      <c r="A665">
        <v>5637</v>
      </c>
      <c r="B665">
        <v>128.95060627023699</v>
      </c>
      <c r="C665">
        <v>1.5248868435904801</v>
      </c>
      <c r="D665">
        <v>67.020613804654005</v>
      </c>
      <c r="E665">
        <v>33.6039024776994</v>
      </c>
      <c r="F665">
        <v>17.992362049477201</v>
      </c>
      <c r="G665">
        <v>0.95801402798134605</v>
      </c>
      <c r="H665">
        <v>0.46838992459332501</v>
      </c>
      <c r="I665">
        <v>5.3324444057358402</v>
      </c>
      <c r="J665">
        <v>75.679838437317102</v>
      </c>
      <c r="K665">
        <v>24.000206221266598</v>
      </c>
      <c r="L665" t="s">
        <v>27</v>
      </c>
      <c r="M665" t="s">
        <v>35</v>
      </c>
      <c r="N665">
        <v>18</v>
      </c>
      <c r="O665">
        <v>71.535594652559197</v>
      </c>
      <c r="P665">
        <v>22.029840715716301</v>
      </c>
      <c r="Q665" t="s">
        <v>25</v>
      </c>
      <c r="R665">
        <v>663</v>
      </c>
      <c r="S665">
        <v>72.831252454336393</v>
      </c>
    </row>
    <row r="666" spans="1:19" x14ac:dyDescent="0.25">
      <c r="A666">
        <v>5854</v>
      </c>
      <c r="B666">
        <v>127.23646362917501</v>
      </c>
      <c r="C666">
        <v>1.50353157931408</v>
      </c>
      <c r="D666">
        <v>80.055688537903805</v>
      </c>
      <c r="E666">
        <v>30.523916217024599</v>
      </c>
      <c r="F666">
        <v>20.264067524438602</v>
      </c>
      <c r="G666">
        <v>0.93894101183256995</v>
      </c>
      <c r="H666">
        <v>0.51784949512064204</v>
      </c>
      <c r="I666">
        <v>1.70674467347415</v>
      </c>
      <c r="J666">
        <v>90.872857990489905</v>
      </c>
      <c r="K666">
        <v>54.897880087237297</v>
      </c>
      <c r="L666" t="s">
        <v>34</v>
      </c>
      <c r="M666" t="s">
        <v>37</v>
      </c>
      <c r="N666">
        <v>37</v>
      </c>
      <c r="O666">
        <v>74.731983249751494</v>
      </c>
      <c r="P666">
        <v>23.946546719373099</v>
      </c>
      <c r="Q666" t="s">
        <v>31</v>
      </c>
      <c r="R666">
        <v>664</v>
      </c>
      <c r="S666">
        <v>62.959727010141599</v>
      </c>
    </row>
    <row r="667" spans="1:19" x14ac:dyDescent="0.25">
      <c r="A667">
        <v>4177</v>
      </c>
      <c r="B667">
        <v>138.40832444750899</v>
      </c>
      <c r="C667">
        <v>1.16983943026327</v>
      </c>
      <c r="D667">
        <v>105.92721645853899</v>
      </c>
      <c r="E667">
        <v>32.619179409308899</v>
      </c>
      <c r="F667">
        <v>25.8540110999398</v>
      </c>
      <c r="G667">
        <v>0.61642768376027002</v>
      </c>
      <c r="H667">
        <v>0.43546987425071498</v>
      </c>
      <c r="I667">
        <v>6.0448541717509299</v>
      </c>
      <c r="J667">
        <v>33.443108283573402</v>
      </c>
      <c r="K667">
        <v>41.759719174120001</v>
      </c>
      <c r="L667" t="s">
        <v>19</v>
      </c>
      <c r="M667" t="s">
        <v>30</v>
      </c>
      <c r="N667">
        <v>25</v>
      </c>
      <c r="O667">
        <v>57.448130400276</v>
      </c>
      <c r="P667">
        <v>31.483375468552399</v>
      </c>
      <c r="Q667" t="s">
        <v>24</v>
      </c>
      <c r="R667">
        <v>665</v>
      </c>
      <c r="S667">
        <v>80.036256796901995</v>
      </c>
    </row>
    <row r="668" spans="1:19" x14ac:dyDescent="0.25">
      <c r="A668">
        <v>8730</v>
      </c>
      <c r="B668">
        <v>138.21147962099701</v>
      </c>
      <c r="C668">
        <v>1.8494142101012601</v>
      </c>
      <c r="D668">
        <v>84.1215782763026</v>
      </c>
      <c r="E668">
        <v>34.129418239703902</v>
      </c>
      <c r="F668">
        <v>16.730822523178201</v>
      </c>
      <c r="G668">
        <v>0.44546798905302498</v>
      </c>
      <c r="H668">
        <v>0.71586144683971498</v>
      </c>
      <c r="I668">
        <v>3.9886650174143798</v>
      </c>
      <c r="J668">
        <v>101.40669059512599</v>
      </c>
      <c r="K668">
        <v>74.416277486651296</v>
      </c>
      <c r="L668" t="s">
        <v>22</v>
      </c>
      <c r="M668" t="s">
        <v>32</v>
      </c>
      <c r="N668">
        <v>37</v>
      </c>
      <c r="O668">
        <v>69.267582969353299</v>
      </c>
      <c r="P668">
        <v>27.394312610478998</v>
      </c>
      <c r="Q668" t="s">
        <v>24</v>
      </c>
      <c r="R668">
        <v>666</v>
      </c>
      <c r="S668">
        <v>75.736711793977193</v>
      </c>
    </row>
    <row r="669" spans="1:19" x14ac:dyDescent="0.25">
      <c r="A669">
        <v>3180</v>
      </c>
      <c r="B669">
        <v>135.060920403068</v>
      </c>
      <c r="C669">
        <v>1.71048647219469</v>
      </c>
      <c r="D669">
        <v>65.146374463759301</v>
      </c>
      <c r="E669">
        <v>33.230277283047599</v>
      </c>
      <c r="F669">
        <v>24.139071975764502</v>
      </c>
      <c r="G669">
        <v>0.55403940481618297</v>
      </c>
      <c r="H669">
        <v>0.74211621358860502</v>
      </c>
      <c r="I669">
        <v>2.3944760680414201</v>
      </c>
      <c r="J669">
        <v>80.610959985297299</v>
      </c>
      <c r="K669">
        <v>71.859690487263293</v>
      </c>
      <c r="L669" t="s">
        <v>27</v>
      </c>
      <c r="M669" t="s">
        <v>32</v>
      </c>
      <c r="N669">
        <v>29</v>
      </c>
      <c r="O669">
        <v>67.181777061916094</v>
      </c>
      <c r="P669">
        <v>22.113646041730199</v>
      </c>
      <c r="Q669" t="s">
        <v>31</v>
      </c>
      <c r="R669">
        <v>667</v>
      </c>
      <c r="S669">
        <v>67.803287843427697</v>
      </c>
    </row>
    <row r="670" spans="1:19" x14ac:dyDescent="0.25">
      <c r="A670">
        <v>5892</v>
      </c>
      <c r="B670">
        <v>143.73876339492699</v>
      </c>
      <c r="C670">
        <v>1.7460094239963899</v>
      </c>
      <c r="D670">
        <v>49.472615846682103</v>
      </c>
      <c r="E670">
        <v>35.338011173747702</v>
      </c>
      <c r="F670">
        <v>13.490488849908299</v>
      </c>
      <c r="G670">
        <v>0.29959829689402301</v>
      </c>
      <c r="H670">
        <v>0.67815826409549396</v>
      </c>
      <c r="I670">
        <v>8.6413106195512501</v>
      </c>
      <c r="J670">
        <v>114.95374371136499</v>
      </c>
      <c r="K670">
        <v>83.295938052945303</v>
      </c>
      <c r="L670" t="s">
        <v>34</v>
      </c>
      <c r="M670" t="s">
        <v>26</v>
      </c>
      <c r="N670">
        <v>18</v>
      </c>
      <c r="O670">
        <v>81.507518988059104</v>
      </c>
      <c r="P670">
        <v>12.170770348914299</v>
      </c>
      <c r="Q670" t="s">
        <v>31</v>
      </c>
      <c r="R670">
        <v>668</v>
      </c>
      <c r="S670">
        <v>83.383760305303497</v>
      </c>
    </row>
    <row r="671" spans="1:19" x14ac:dyDescent="0.25">
      <c r="A671">
        <v>8043</v>
      </c>
      <c r="B671">
        <v>158.81292549572601</v>
      </c>
      <c r="C671">
        <v>1.2369825786662001</v>
      </c>
      <c r="D671">
        <v>94.600011454382994</v>
      </c>
      <c r="E671">
        <v>34.2301309830981</v>
      </c>
      <c r="F671">
        <v>19.1933100177889</v>
      </c>
      <c r="G671">
        <v>0.55663533528243803</v>
      </c>
      <c r="H671">
        <v>0.84940617315143796</v>
      </c>
      <c r="I671">
        <v>5.6943956169200902</v>
      </c>
      <c r="J671">
        <v>53.952891913069301</v>
      </c>
      <c r="K671">
        <v>16.112262182378</v>
      </c>
      <c r="L671" t="s">
        <v>34</v>
      </c>
      <c r="M671" t="s">
        <v>32</v>
      </c>
      <c r="N671">
        <v>27</v>
      </c>
      <c r="O671">
        <v>60.845039035658502</v>
      </c>
      <c r="P671">
        <v>21.3194206864225</v>
      </c>
      <c r="Q671" t="s">
        <v>25</v>
      </c>
      <c r="R671">
        <v>669</v>
      </c>
      <c r="S671">
        <v>88.351434113285094</v>
      </c>
    </row>
    <row r="672" spans="1:19" x14ac:dyDescent="0.25">
      <c r="A672">
        <v>1137</v>
      </c>
      <c r="B672">
        <v>153.99108270882601</v>
      </c>
      <c r="C672">
        <v>0.42332854006437698</v>
      </c>
      <c r="D672">
        <v>50.705891484985699</v>
      </c>
      <c r="E672">
        <v>32.215321934009303</v>
      </c>
      <c r="F672">
        <v>20.352553498910002</v>
      </c>
      <c r="G672">
        <v>0.216561615725683</v>
      </c>
      <c r="H672">
        <v>0.87355485171940706</v>
      </c>
      <c r="I672">
        <v>9.3994877114116004</v>
      </c>
      <c r="J672">
        <v>30.814594233719799</v>
      </c>
      <c r="K672">
        <v>75.682741261728395</v>
      </c>
      <c r="L672" t="s">
        <v>22</v>
      </c>
      <c r="M672" t="s">
        <v>23</v>
      </c>
      <c r="N672">
        <v>21</v>
      </c>
      <c r="O672">
        <v>75.3452593239045</v>
      </c>
      <c r="P672">
        <v>22.631479467153799</v>
      </c>
      <c r="Q672" t="s">
        <v>29</v>
      </c>
      <c r="R672">
        <v>670</v>
      </c>
      <c r="S672">
        <v>93.166738077064494</v>
      </c>
    </row>
    <row r="673" spans="1:19" x14ac:dyDescent="0.25">
      <c r="A673">
        <v>7327</v>
      </c>
      <c r="B673">
        <v>105.30204063100101</v>
      </c>
      <c r="C673">
        <v>2.0485763558768402</v>
      </c>
      <c r="D673">
        <v>102.569371095446</v>
      </c>
      <c r="E673">
        <v>33.032776055821699</v>
      </c>
      <c r="F673">
        <v>30.374298364570301</v>
      </c>
      <c r="G673">
        <v>1.3290651211447599</v>
      </c>
      <c r="H673">
        <v>0.738593418175719</v>
      </c>
      <c r="I673">
        <v>8.2541485414276199</v>
      </c>
      <c r="J673">
        <v>70.650120103692501</v>
      </c>
      <c r="K673">
        <v>85.384653984350095</v>
      </c>
      <c r="L673" t="s">
        <v>19</v>
      </c>
      <c r="M673" t="s">
        <v>30</v>
      </c>
      <c r="N673">
        <v>32</v>
      </c>
      <c r="O673">
        <v>77.1445791496933</v>
      </c>
      <c r="P673">
        <v>24.222823536259799</v>
      </c>
      <c r="Q673" t="s">
        <v>31</v>
      </c>
      <c r="R673">
        <v>671</v>
      </c>
      <c r="S673">
        <v>67.110183365244396</v>
      </c>
    </row>
    <row r="674" spans="1:19" x14ac:dyDescent="0.25">
      <c r="A674">
        <v>4472</v>
      </c>
      <c r="B674">
        <v>83.921577301960895</v>
      </c>
      <c r="C674">
        <v>1.2605812719957901</v>
      </c>
      <c r="D674">
        <v>64.312307007869805</v>
      </c>
      <c r="E674">
        <v>32.943155156946602</v>
      </c>
      <c r="F674">
        <v>20.6259884762365</v>
      </c>
      <c r="G674">
        <v>0.76947573329782903</v>
      </c>
      <c r="H674">
        <v>0.40701606383908601</v>
      </c>
      <c r="I674">
        <v>7.2367461439629999</v>
      </c>
      <c r="J674">
        <v>28.5810771709438</v>
      </c>
      <c r="K674">
        <v>74.197533683111203</v>
      </c>
      <c r="L674" t="s">
        <v>34</v>
      </c>
      <c r="M674" t="s">
        <v>33</v>
      </c>
      <c r="N674">
        <v>36</v>
      </c>
      <c r="O674">
        <v>66.440389680657006</v>
      </c>
      <c r="P674">
        <v>12.128805065343199</v>
      </c>
      <c r="Q674" t="s">
        <v>21</v>
      </c>
      <c r="R674">
        <v>672</v>
      </c>
      <c r="S674">
        <v>52.703876257768698</v>
      </c>
    </row>
    <row r="675" spans="1:19" x14ac:dyDescent="0.25">
      <c r="A675">
        <v>6449</v>
      </c>
      <c r="B675">
        <v>153.68639822478499</v>
      </c>
      <c r="C675">
        <v>1.06861211797843</v>
      </c>
      <c r="D675">
        <v>101.81164145235699</v>
      </c>
      <c r="E675">
        <v>31.1013878839846</v>
      </c>
      <c r="F675">
        <v>10.9937826327454</v>
      </c>
      <c r="G675">
        <v>1.9516604805684299</v>
      </c>
      <c r="H675">
        <v>0.78237631066125402</v>
      </c>
      <c r="I675">
        <v>1.0452295302878001</v>
      </c>
      <c r="J675">
        <v>116.95265233240001</v>
      </c>
      <c r="K675">
        <v>24.7645844902775</v>
      </c>
      <c r="L675" t="s">
        <v>22</v>
      </c>
      <c r="M675" t="s">
        <v>35</v>
      </c>
      <c r="N675">
        <v>23</v>
      </c>
      <c r="O675">
        <v>70.339975450362701</v>
      </c>
      <c r="P675">
        <v>23.9045717416987</v>
      </c>
      <c r="Q675" t="s">
        <v>21</v>
      </c>
      <c r="R675">
        <v>673</v>
      </c>
      <c r="S675">
        <v>75.695352916331601</v>
      </c>
    </row>
    <row r="676" spans="1:19" x14ac:dyDescent="0.25">
      <c r="A676">
        <v>3832</v>
      </c>
      <c r="B676">
        <v>107.662426031691</v>
      </c>
      <c r="C676">
        <v>1.8467394559569901</v>
      </c>
      <c r="D676">
        <v>83.578625801185495</v>
      </c>
      <c r="E676">
        <v>31.871521300218699</v>
      </c>
      <c r="F676">
        <v>12.0055554656937</v>
      </c>
      <c r="G676">
        <v>0.54869069139733595</v>
      </c>
      <c r="H676">
        <v>0.62989956930619295</v>
      </c>
      <c r="I676">
        <v>4.8504111097442397</v>
      </c>
      <c r="J676">
        <v>23.868495825719101</v>
      </c>
      <c r="K676">
        <v>21.095932863066501</v>
      </c>
      <c r="L676" t="s">
        <v>34</v>
      </c>
      <c r="M676" t="s">
        <v>28</v>
      </c>
      <c r="N676">
        <v>22</v>
      </c>
      <c r="O676">
        <v>76.619655677965795</v>
      </c>
      <c r="P676">
        <v>24.4040963191988</v>
      </c>
      <c r="Q676" t="s">
        <v>21</v>
      </c>
      <c r="R676">
        <v>674</v>
      </c>
      <c r="S676">
        <v>56.847267556315501</v>
      </c>
    </row>
    <row r="677" spans="1:19" x14ac:dyDescent="0.25">
      <c r="A677">
        <v>4579</v>
      </c>
      <c r="B677">
        <v>130.50469196214601</v>
      </c>
      <c r="C677">
        <v>1.3039936800404299</v>
      </c>
      <c r="D677">
        <v>67.260090211150796</v>
      </c>
      <c r="E677">
        <v>32.3270869116241</v>
      </c>
      <c r="F677">
        <v>22.1701479317334</v>
      </c>
      <c r="G677">
        <v>0.82249142655726903</v>
      </c>
      <c r="H677">
        <v>0.71105661577451196</v>
      </c>
      <c r="I677">
        <v>2.7773765348682899</v>
      </c>
      <c r="J677">
        <v>95.3503901107308</v>
      </c>
      <c r="K677">
        <v>16.563392985577501</v>
      </c>
      <c r="L677" t="s">
        <v>19</v>
      </c>
      <c r="M677" t="s">
        <v>30</v>
      </c>
      <c r="N677">
        <v>22</v>
      </c>
      <c r="O677">
        <v>59.203975461264797</v>
      </c>
      <c r="P677">
        <v>8.3210719669750102</v>
      </c>
      <c r="Q677" t="s">
        <v>24</v>
      </c>
      <c r="R677">
        <v>675</v>
      </c>
      <c r="S677">
        <v>65.445267013843406</v>
      </c>
    </row>
    <row r="678" spans="1:19" x14ac:dyDescent="0.25">
      <c r="A678">
        <v>6971</v>
      </c>
      <c r="B678">
        <v>111.597739478812</v>
      </c>
      <c r="C678">
        <v>2.0299681920233099</v>
      </c>
      <c r="D678">
        <v>59.612072563477398</v>
      </c>
      <c r="E678">
        <v>30.556535396572801</v>
      </c>
      <c r="F678">
        <v>25.068854278949502</v>
      </c>
      <c r="G678">
        <v>0.84411408555475897</v>
      </c>
      <c r="H678">
        <v>0.75699433111038605</v>
      </c>
      <c r="I678">
        <v>9.1971811994398092</v>
      </c>
      <c r="J678">
        <v>72.510239814224406</v>
      </c>
      <c r="K678">
        <v>62.155891937105302</v>
      </c>
      <c r="L678" t="s">
        <v>27</v>
      </c>
      <c r="M678" t="s">
        <v>33</v>
      </c>
      <c r="N678">
        <v>35</v>
      </c>
      <c r="O678">
        <v>64.582797166542207</v>
      </c>
      <c r="P678">
        <v>8.3885491513344892</v>
      </c>
      <c r="Q678" t="s">
        <v>25</v>
      </c>
      <c r="R678">
        <v>676</v>
      </c>
      <c r="S678">
        <v>72.473662730652507</v>
      </c>
    </row>
    <row r="679" spans="1:19" x14ac:dyDescent="0.25">
      <c r="A679">
        <v>5164</v>
      </c>
      <c r="B679">
        <v>98.960391248399603</v>
      </c>
      <c r="C679">
        <v>1.8085029747883401</v>
      </c>
      <c r="D679">
        <v>63.181842453078403</v>
      </c>
      <c r="E679">
        <v>33.056992161901903</v>
      </c>
      <c r="F679">
        <v>23.877279288136201</v>
      </c>
      <c r="G679">
        <v>0.21521269291242801</v>
      </c>
      <c r="H679">
        <v>0.59263013787989205</v>
      </c>
      <c r="I679">
        <v>2.5712558620872401</v>
      </c>
      <c r="J679">
        <v>56.862065249828802</v>
      </c>
      <c r="K679">
        <v>62.225448889491503</v>
      </c>
      <c r="L679" t="s">
        <v>19</v>
      </c>
      <c r="M679" t="s">
        <v>32</v>
      </c>
      <c r="N679">
        <v>20</v>
      </c>
      <c r="O679">
        <v>69.489909686224294</v>
      </c>
      <c r="P679">
        <v>26.944122950343299</v>
      </c>
      <c r="Q679" t="s">
        <v>24</v>
      </c>
      <c r="R679">
        <v>677</v>
      </c>
      <c r="S679">
        <v>59.177801753571401</v>
      </c>
    </row>
    <row r="680" spans="1:19" x14ac:dyDescent="0.25">
      <c r="A680">
        <v>8941</v>
      </c>
      <c r="B680">
        <v>145.82925456409501</v>
      </c>
      <c r="C680">
        <v>1.84178466160023</v>
      </c>
      <c r="D680">
        <v>78.566333847504694</v>
      </c>
      <c r="E680">
        <v>32.7011137864163</v>
      </c>
      <c r="F680">
        <v>22.8378505290049</v>
      </c>
      <c r="G680">
        <v>1.71057431547102</v>
      </c>
      <c r="H680">
        <v>0.90440417784448601</v>
      </c>
      <c r="I680">
        <v>3.5745404649335599</v>
      </c>
      <c r="J680">
        <v>26.584216450865402</v>
      </c>
      <c r="K680">
        <v>89.018528566365902</v>
      </c>
      <c r="L680" t="s">
        <v>19</v>
      </c>
      <c r="M680" t="s">
        <v>26</v>
      </c>
      <c r="N680">
        <v>39</v>
      </c>
      <c r="O680">
        <v>84.512201254721603</v>
      </c>
      <c r="P680">
        <v>11.158659909573499</v>
      </c>
      <c r="Q680" t="s">
        <v>21</v>
      </c>
      <c r="R680">
        <v>678</v>
      </c>
      <c r="S680">
        <v>75.410171643855506</v>
      </c>
    </row>
    <row r="681" spans="1:19" x14ac:dyDescent="0.25">
      <c r="A681">
        <v>6569</v>
      </c>
      <c r="B681">
        <v>150.18310320605201</v>
      </c>
      <c r="C681">
        <v>0.81702214439973198</v>
      </c>
      <c r="D681">
        <v>71.543129924354304</v>
      </c>
      <c r="E681">
        <v>30.992527318426099</v>
      </c>
      <c r="F681">
        <v>27.811297987528299</v>
      </c>
      <c r="G681">
        <v>0.257590028259784</v>
      </c>
      <c r="H681">
        <v>0.473686176712379</v>
      </c>
      <c r="I681">
        <v>5.6515309096104902</v>
      </c>
      <c r="J681">
        <v>82.216692417360704</v>
      </c>
      <c r="K681">
        <v>44.853238057807097</v>
      </c>
      <c r="L681" t="s">
        <v>19</v>
      </c>
      <c r="M681" t="s">
        <v>36</v>
      </c>
      <c r="N681">
        <v>19</v>
      </c>
      <c r="O681">
        <v>64.801833231561602</v>
      </c>
      <c r="P681">
        <v>30.301882255160098</v>
      </c>
      <c r="Q681" t="s">
        <v>31</v>
      </c>
      <c r="R681">
        <v>679</v>
      </c>
      <c r="S681">
        <v>82.993522885370098</v>
      </c>
    </row>
    <row r="682" spans="1:19" x14ac:dyDescent="0.25">
      <c r="A682">
        <v>5300</v>
      </c>
      <c r="B682">
        <v>123.46979198546499</v>
      </c>
      <c r="C682">
        <v>2.1059719926931999</v>
      </c>
      <c r="D682">
        <v>58.123771838625899</v>
      </c>
      <c r="E682">
        <v>33.4850554383328</v>
      </c>
      <c r="F682">
        <v>19.302043896314299</v>
      </c>
      <c r="G682">
        <v>1.89232370251263</v>
      </c>
      <c r="H682">
        <v>0.76933149400457002</v>
      </c>
      <c r="I682">
        <v>3.3702725709827099</v>
      </c>
      <c r="J682">
        <v>78.522032939095496</v>
      </c>
      <c r="K682">
        <v>39.8929713673122</v>
      </c>
      <c r="L682" t="s">
        <v>22</v>
      </c>
      <c r="M682" t="s">
        <v>28</v>
      </c>
      <c r="N682">
        <v>21</v>
      </c>
      <c r="O682">
        <v>65.850763832587504</v>
      </c>
      <c r="P682">
        <v>15.768497316445901</v>
      </c>
      <c r="Q682" t="s">
        <v>21</v>
      </c>
      <c r="R682">
        <v>680</v>
      </c>
      <c r="S682">
        <v>66.353699879379505</v>
      </c>
    </row>
    <row r="683" spans="1:19" x14ac:dyDescent="0.25">
      <c r="A683">
        <v>7269</v>
      </c>
      <c r="B683">
        <v>83.179154157101806</v>
      </c>
      <c r="C683">
        <v>1.63062526561692</v>
      </c>
      <c r="D683">
        <v>66.687371793647301</v>
      </c>
      <c r="E683">
        <v>33.859047293629096</v>
      </c>
      <c r="F683">
        <v>26.474552780134101</v>
      </c>
      <c r="G683">
        <v>1.8057338319685099</v>
      </c>
      <c r="H683">
        <v>0.40239776897611901</v>
      </c>
      <c r="I683">
        <v>2.8887820955120902</v>
      </c>
      <c r="J683">
        <v>48.088327306759901</v>
      </c>
      <c r="K683">
        <v>61.831869538829402</v>
      </c>
      <c r="L683" t="s">
        <v>34</v>
      </c>
      <c r="M683" t="s">
        <v>20</v>
      </c>
      <c r="N683">
        <v>35</v>
      </c>
      <c r="O683">
        <v>80.376707365764801</v>
      </c>
      <c r="P683">
        <v>21.078958782141701</v>
      </c>
      <c r="Q683" t="s">
        <v>31</v>
      </c>
      <c r="R683">
        <v>681</v>
      </c>
      <c r="S683">
        <v>44.654980347292302</v>
      </c>
    </row>
    <row r="684" spans="1:19" x14ac:dyDescent="0.25">
      <c r="A684">
        <v>4818</v>
      </c>
      <c r="B684">
        <v>124.07511103495</v>
      </c>
      <c r="C684">
        <v>1.3153614303768899</v>
      </c>
      <c r="D684">
        <v>71.571540594382995</v>
      </c>
      <c r="E684">
        <v>33.2724413746378</v>
      </c>
      <c r="F684">
        <v>13.8399255748679</v>
      </c>
      <c r="G684">
        <v>1.1639394489547299</v>
      </c>
      <c r="H684">
        <v>0.90855810797284897</v>
      </c>
      <c r="I684">
        <v>6.3918939259247702</v>
      </c>
      <c r="J684">
        <v>111.022170141031</v>
      </c>
      <c r="K684">
        <v>76.920650438069501</v>
      </c>
      <c r="L684" t="s">
        <v>27</v>
      </c>
      <c r="M684" t="s">
        <v>37</v>
      </c>
      <c r="N684">
        <v>26</v>
      </c>
      <c r="O684">
        <v>73.303832304760107</v>
      </c>
      <c r="P684">
        <v>20.690369826618401</v>
      </c>
      <c r="Q684" t="s">
        <v>25</v>
      </c>
      <c r="R684">
        <v>682</v>
      </c>
      <c r="S684">
        <v>72.116610701274595</v>
      </c>
    </row>
    <row r="685" spans="1:19" x14ac:dyDescent="0.25">
      <c r="A685">
        <v>2906</v>
      </c>
      <c r="B685">
        <v>142.83608010805</v>
      </c>
      <c r="C685">
        <v>1.5716942336711199</v>
      </c>
      <c r="D685">
        <v>27.425318111703699</v>
      </c>
      <c r="E685">
        <v>32.611118189749199</v>
      </c>
      <c r="F685">
        <v>17.475260835309602</v>
      </c>
      <c r="G685">
        <v>1.1784720348403199</v>
      </c>
      <c r="H685">
        <v>0.46187727328095002</v>
      </c>
      <c r="I685">
        <v>1.80036570479521</v>
      </c>
      <c r="J685">
        <v>50.411000734283597</v>
      </c>
      <c r="K685">
        <v>85.258046214225104</v>
      </c>
      <c r="L685" t="s">
        <v>22</v>
      </c>
      <c r="M685" t="s">
        <v>26</v>
      </c>
      <c r="N685">
        <v>36</v>
      </c>
      <c r="O685">
        <v>85.460358941144307</v>
      </c>
      <c r="P685">
        <v>12.2842432427919</v>
      </c>
      <c r="Q685" t="s">
        <v>29</v>
      </c>
      <c r="R685">
        <v>683</v>
      </c>
      <c r="S685">
        <v>70.270564142762098</v>
      </c>
    </row>
    <row r="686" spans="1:19" x14ac:dyDescent="0.25">
      <c r="A686">
        <v>7254</v>
      </c>
      <c r="B686">
        <v>105.421768624517</v>
      </c>
      <c r="C686">
        <v>0.61188238355084001</v>
      </c>
      <c r="D686">
        <v>79.163362295773894</v>
      </c>
      <c r="E686">
        <v>33.709730582102203</v>
      </c>
      <c r="F686">
        <v>12.964793025340899</v>
      </c>
      <c r="G686">
        <v>1.3768002613210799</v>
      </c>
      <c r="H686">
        <v>0.45218632658116598</v>
      </c>
      <c r="I686">
        <v>1.52350982848832</v>
      </c>
      <c r="J686">
        <v>64.972541059210599</v>
      </c>
      <c r="K686">
        <v>75.234312463427898</v>
      </c>
      <c r="L686" t="s">
        <v>19</v>
      </c>
      <c r="M686" t="s">
        <v>32</v>
      </c>
      <c r="N686">
        <v>27</v>
      </c>
      <c r="O686">
        <v>76.745962829520494</v>
      </c>
      <c r="P686">
        <v>29.123650640241301</v>
      </c>
      <c r="Q686" t="s">
        <v>31</v>
      </c>
      <c r="R686">
        <v>684</v>
      </c>
      <c r="S686">
        <v>56.3584573692021</v>
      </c>
    </row>
    <row r="687" spans="1:19" x14ac:dyDescent="0.25">
      <c r="A687">
        <v>1760</v>
      </c>
      <c r="B687">
        <v>138.667198395583</v>
      </c>
      <c r="C687">
        <v>1.70432640574033</v>
      </c>
      <c r="D687">
        <v>50.405575505663798</v>
      </c>
      <c r="E687">
        <v>33.816264432571998</v>
      </c>
      <c r="F687">
        <v>20.625773496651</v>
      </c>
      <c r="G687">
        <v>0.89669002148279597</v>
      </c>
      <c r="H687">
        <v>0.58315419817873404</v>
      </c>
      <c r="I687">
        <v>4.3502076566746402</v>
      </c>
      <c r="J687">
        <v>74.376245591865498</v>
      </c>
      <c r="K687">
        <v>47.0005485461853</v>
      </c>
      <c r="L687" t="s">
        <v>27</v>
      </c>
      <c r="M687" t="s">
        <v>26</v>
      </c>
      <c r="N687">
        <v>39</v>
      </c>
      <c r="O687">
        <v>66.831948344793304</v>
      </c>
      <c r="P687">
        <v>15.7761936090763</v>
      </c>
      <c r="Q687" t="s">
        <v>24</v>
      </c>
      <c r="R687">
        <v>685</v>
      </c>
      <c r="S687">
        <v>72.356136706654198</v>
      </c>
    </row>
    <row r="688" spans="1:19" x14ac:dyDescent="0.25">
      <c r="A688">
        <v>8830</v>
      </c>
      <c r="B688">
        <v>134.69380301653999</v>
      </c>
      <c r="C688">
        <v>0.98531424590896399</v>
      </c>
      <c r="D688">
        <v>46.933351935885099</v>
      </c>
      <c r="E688">
        <v>33.368884283663597</v>
      </c>
      <c r="F688">
        <v>21.768693913668201</v>
      </c>
      <c r="G688">
        <v>1.36500011011613</v>
      </c>
      <c r="H688">
        <v>0.60546145732149403</v>
      </c>
      <c r="I688">
        <v>7.4859800905707603</v>
      </c>
      <c r="J688">
        <v>30.0231878176286</v>
      </c>
      <c r="K688">
        <v>62.618567648404799</v>
      </c>
      <c r="L688" t="s">
        <v>19</v>
      </c>
      <c r="M688" t="s">
        <v>23</v>
      </c>
      <c r="N688">
        <v>32</v>
      </c>
      <c r="O688">
        <v>65.693949840049498</v>
      </c>
      <c r="P688">
        <v>18.470310565514598</v>
      </c>
      <c r="Q688" t="s">
        <v>21</v>
      </c>
      <c r="R688">
        <v>686</v>
      </c>
      <c r="S688">
        <v>79.576227605624098</v>
      </c>
    </row>
    <row r="689" spans="1:19" x14ac:dyDescent="0.25">
      <c r="A689">
        <v>8350</v>
      </c>
      <c r="B689">
        <v>146.58582999202099</v>
      </c>
      <c r="C689">
        <v>0.823664857078232</v>
      </c>
      <c r="D689">
        <v>36.253113057785797</v>
      </c>
      <c r="E689">
        <v>32.010465299478199</v>
      </c>
      <c r="F689">
        <v>22.5705074611326</v>
      </c>
      <c r="G689">
        <v>0.28058309963927602</v>
      </c>
      <c r="H689">
        <v>0.51786503977758302</v>
      </c>
      <c r="I689">
        <v>5.9932608244655299</v>
      </c>
      <c r="J689">
        <v>113.216171921363</v>
      </c>
      <c r="K689">
        <v>79.222449503708702</v>
      </c>
      <c r="L689" t="s">
        <v>19</v>
      </c>
      <c r="M689" t="s">
        <v>32</v>
      </c>
      <c r="N689">
        <v>18</v>
      </c>
      <c r="O689">
        <v>61.403244805562501</v>
      </c>
      <c r="P689">
        <v>2.1426751668759398</v>
      </c>
      <c r="Q689" t="s">
        <v>21</v>
      </c>
      <c r="R689">
        <v>687</v>
      </c>
      <c r="S689">
        <v>74.279971223305907</v>
      </c>
    </row>
    <row r="690" spans="1:19" x14ac:dyDescent="0.25">
      <c r="A690">
        <v>7238</v>
      </c>
      <c r="B690">
        <v>137.39160736828299</v>
      </c>
      <c r="C690">
        <v>0.73882040689105399</v>
      </c>
      <c r="D690">
        <v>34.122150042642197</v>
      </c>
      <c r="E690">
        <v>33.331920918613399</v>
      </c>
      <c r="F690">
        <v>22.3094167644356</v>
      </c>
      <c r="G690">
        <v>0.29728572922950702</v>
      </c>
      <c r="H690">
        <v>0.72181691350991795</v>
      </c>
      <c r="I690">
        <v>4.8058882162009997</v>
      </c>
      <c r="J690">
        <v>57.453615245104103</v>
      </c>
      <c r="K690">
        <v>51.795726623380403</v>
      </c>
      <c r="L690" t="s">
        <v>19</v>
      </c>
      <c r="M690" t="s">
        <v>26</v>
      </c>
      <c r="N690">
        <v>28</v>
      </c>
      <c r="O690">
        <v>57.559803314954301</v>
      </c>
      <c r="P690">
        <v>7.3088760732158198</v>
      </c>
      <c r="Q690" t="s">
        <v>21</v>
      </c>
      <c r="R690">
        <v>688</v>
      </c>
      <c r="S690">
        <v>75.047930199740705</v>
      </c>
    </row>
    <row r="691" spans="1:19" x14ac:dyDescent="0.25">
      <c r="A691">
        <v>7090</v>
      </c>
      <c r="B691">
        <v>115.538621182368</v>
      </c>
      <c r="C691">
        <v>2.0563441874949602</v>
      </c>
      <c r="D691">
        <v>42.891049937754197</v>
      </c>
      <c r="E691">
        <v>34.434576780990497</v>
      </c>
      <c r="F691">
        <v>17.362233345941299</v>
      </c>
      <c r="G691">
        <v>1.0230147553151701</v>
      </c>
      <c r="H691">
        <v>0.64360275392307997</v>
      </c>
      <c r="I691">
        <v>6.0917640780212396</v>
      </c>
      <c r="J691">
        <v>28.077921387434301</v>
      </c>
      <c r="K691">
        <v>31.2514982779044</v>
      </c>
      <c r="L691" t="s">
        <v>27</v>
      </c>
      <c r="M691" t="s">
        <v>30</v>
      </c>
      <c r="N691">
        <v>31</v>
      </c>
      <c r="O691">
        <v>70.726524999781702</v>
      </c>
      <c r="P691">
        <v>27.017030276527599</v>
      </c>
      <c r="Q691" t="s">
        <v>31</v>
      </c>
      <c r="R691">
        <v>689</v>
      </c>
      <c r="S691">
        <v>68.561887359523894</v>
      </c>
    </row>
    <row r="692" spans="1:19" x14ac:dyDescent="0.25">
      <c r="A692">
        <v>7031</v>
      </c>
      <c r="B692">
        <v>158.93143003328899</v>
      </c>
      <c r="C692">
        <v>1.1853683031536</v>
      </c>
      <c r="D692">
        <v>55.8195808473901</v>
      </c>
      <c r="E692">
        <v>32.284045129665898</v>
      </c>
      <c r="F692">
        <v>21.048795777933901</v>
      </c>
      <c r="G692">
        <v>1.1893201419908599</v>
      </c>
      <c r="H692">
        <v>0.41879657397259801</v>
      </c>
      <c r="I692">
        <v>4.2890633618794602</v>
      </c>
      <c r="J692">
        <v>58.729117367532901</v>
      </c>
      <c r="K692">
        <v>27.729257981090399</v>
      </c>
      <c r="L692" t="s">
        <v>34</v>
      </c>
      <c r="M692" t="s">
        <v>30</v>
      </c>
      <c r="N692">
        <v>27</v>
      </c>
      <c r="O692">
        <v>73.015553308825403</v>
      </c>
      <c r="P692">
        <v>17.955741324067201</v>
      </c>
      <c r="Q692" t="s">
        <v>25</v>
      </c>
      <c r="R692">
        <v>690</v>
      </c>
      <c r="S692">
        <v>89.118332892878897</v>
      </c>
    </row>
    <row r="693" spans="1:19" x14ac:dyDescent="0.25">
      <c r="A693">
        <v>8687</v>
      </c>
      <c r="B693">
        <v>131.82940853945999</v>
      </c>
      <c r="C693">
        <v>2.2668638549582498</v>
      </c>
      <c r="D693">
        <v>109.06518275053099</v>
      </c>
      <c r="E693">
        <v>35.517527206958903</v>
      </c>
      <c r="F693">
        <v>14.5127666569712</v>
      </c>
      <c r="G693">
        <v>1.7980717526044701</v>
      </c>
      <c r="H693">
        <v>0.57580863424041495</v>
      </c>
      <c r="I693">
        <v>9.4253170188890092</v>
      </c>
      <c r="J693">
        <v>80.020254709257998</v>
      </c>
      <c r="K693">
        <v>15.0118308433542</v>
      </c>
      <c r="L693" t="s">
        <v>19</v>
      </c>
      <c r="M693" t="s">
        <v>35</v>
      </c>
      <c r="N693">
        <v>36</v>
      </c>
      <c r="O693">
        <v>73.979209559327202</v>
      </c>
      <c r="P693">
        <v>13.315468734090199</v>
      </c>
      <c r="Q693" t="s">
        <v>31</v>
      </c>
      <c r="R693">
        <v>691</v>
      </c>
      <c r="S693">
        <v>83.390852742088796</v>
      </c>
    </row>
    <row r="694" spans="1:19" x14ac:dyDescent="0.25">
      <c r="A694">
        <v>9472</v>
      </c>
      <c r="B694">
        <v>134.453909209801</v>
      </c>
      <c r="C694">
        <v>1.2320992684738501</v>
      </c>
      <c r="D694">
        <v>59.482406482095897</v>
      </c>
      <c r="E694">
        <v>32.369242879217502</v>
      </c>
      <c r="F694">
        <v>28.816144875661202</v>
      </c>
      <c r="G694">
        <v>0.38838914103421301</v>
      </c>
      <c r="H694">
        <v>0.84573810246524295</v>
      </c>
      <c r="I694">
        <v>1.4941440181969601</v>
      </c>
      <c r="J694">
        <v>71.365267182132897</v>
      </c>
      <c r="K694">
        <v>68.8678496235963</v>
      </c>
      <c r="L694" t="s">
        <v>34</v>
      </c>
      <c r="M694" t="s">
        <v>35</v>
      </c>
      <c r="N694">
        <v>38</v>
      </c>
      <c r="O694">
        <v>67.012181737027106</v>
      </c>
      <c r="P694">
        <v>13.444051535207601</v>
      </c>
      <c r="Q694" t="s">
        <v>24</v>
      </c>
      <c r="R694">
        <v>692</v>
      </c>
      <c r="S694">
        <v>63.173317227092099</v>
      </c>
    </row>
    <row r="695" spans="1:19" x14ac:dyDescent="0.25">
      <c r="A695">
        <v>2887</v>
      </c>
      <c r="B695">
        <v>116.334640818536</v>
      </c>
      <c r="C695">
        <v>0.64632102120352597</v>
      </c>
      <c r="D695">
        <v>73.555002125360602</v>
      </c>
      <c r="E695">
        <v>33.038888416008099</v>
      </c>
      <c r="F695">
        <v>20.481869635509899</v>
      </c>
      <c r="G695">
        <v>1.6807662689489999</v>
      </c>
      <c r="H695">
        <v>0.77933584417402701</v>
      </c>
      <c r="I695">
        <v>7.0605233112685104</v>
      </c>
      <c r="J695">
        <v>89.454197403727406</v>
      </c>
      <c r="K695">
        <v>23.3322906634492</v>
      </c>
      <c r="L695" t="s">
        <v>27</v>
      </c>
      <c r="M695" t="s">
        <v>28</v>
      </c>
      <c r="N695">
        <v>33</v>
      </c>
      <c r="O695">
        <v>83.440917617255394</v>
      </c>
      <c r="P695">
        <v>22.3886958053359</v>
      </c>
      <c r="Q695" t="s">
        <v>21</v>
      </c>
      <c r="R695">
        <v>693</v>
      </c>
      <c r="S695">
        <v>67.483221869499701</v>
      </c>
    </row>
    <row r="696" spans="1:19" x14ac:dyDescent="0.25">
      <c r="A696">
        <v>4266</v>
      </c>
      <c r="B696">
        <v>126.13435497616901</v>
      </c>
      <c r="C696">
        <v>0.94173778002566999</v>
      </c>
      <c r="D696">
        <v>78.009627730126496</v>
      </c>
      <c r="E696">
        <v>32.193017284792397</v>
      </c>
      <c r="F696">
        <v>19.555569404781501</v>
      </c>
      <c r="G696">
        <v>0.57808520712572498</v>
      </c>
      <c r="H696">
        <v>0.79867896946893402</v>
      </c>
      <c r="I696">
        <v>9.0215439834497495</v>
      </c>
      <c r="J696">
        <v>25.548394206790999</v>
      </c>
      <c r="K696">
        <v>33.287932477195497</v>
      </c>
      <c r="L696" t="s">
        <v>27</v>
      </c>
      <c r="M696" t="s">
        <v>26</v>
      </c>
      <c r="N696">
        <v>25</v>
      </c>
      <c r="O696">
        <v>57.132439850962101</v>
      </c>
      <c r="P696">
        <v>28.082968704510701</v>
      </c>
      <c r="Q696" t="s">
        <v>31</v>
      </c>
      <c r="R696">
        <v>694</v>
      </c>
      <c r="S696">
        <v>82.245433875126594</v>
      </c>
    </row>
    <row r="697" spans="1:19" x14ac:dyDescent="0.25">
      <c r="A697">
        <v>1666</v>
      </c>
      <c r="B697">
        <v>117.303945719461</v>
      </c>
      <c r="C697">
        <v>2.1179058100034598</v>
      </c>
      <c r="D697">
        <v>72.621303724316903</v>
      </c>
      <c r="E697">
        <v>33.267925003104303</v>
      </c>
      <c r="F697">
        <v>29.944701642220402</v>
      </c>
      <c r="G697">
        <v>0.90935056731805697</v>
      </c>
      <c r="H697">
        <v>0.78396430824593799</v>
      </c>
      <c r="I697">
        <v>8.2349623786172792</v>
      </c>
      <c r="J697">
        <v>48.454061027205597</v>
      </c>
      <c r="K697">
        <v>37.340724864209498</v>
      </c>
      <c r="L697" t="s">
        <v>19</v>
      </c>
      <c r="M697" t="s">
        <v>35</v>
      </c>
      <c r="N697">
        <v>19</v>
      </c>
      <c r="O697">
        <v>56.2266452490002</v>
      </c>
      <c r="P697">
        <v>13.506149100250401</v>
      </c>
      <c r="Q697" t="s">
        <v>21</v>
      </c>
      <c r="R697">
        <v>695</v>
      </c>
      <c r="S697">
        <v>78.549096443118202</v>
      </c>
    </row>
    <row r="698" spans="1:19" x14ac:dyDescent="0.25">
      <c r="A698">
        <v>5188</v>
      </c>
      <c r="B698">
        <v>131.541078801531</v>
      </c>
      <c r="C698">
        <v>1.4220509110316599</v>
      </c>
      <c r="D698">
        <v>68.451130785480103</v>
      </c>
      <c r="E698">
        <v>30.909333968837601</v>
      </c>
      <c r="F698">
        <v>15.7887673322538</v>
      </c>
      <c r="G698">
        <v>0.76988438268934301</v>
      </c>
      <c r="H698">
        <v>0.57103516176066804</v>
      </c>
      <c r="I698">
        <v>2.6563693133930202</v>
      </c>
      <c r="J698">
        <v>101.92305768401</v>
      </c>
      <c r="K698">
        <v>57.0284895102576</v>
      </c>
      <c r="L698" t="s">
        <v>34</v>
      </c>
      <c r="M698" t="s">
        <v>23</v>
      </c>
      <c r="N698">
        <v>24</v>
      </c>
      <c r="O698">
        <v>61.443027243661398</v>
      </c>
      <c r="P698">
        <v>26.766894381481599</v>
      </c>
      <c r="Q698" t="s">
        <v>24</v>
      </c>
      <c r="R698">
        <v>696</v>
      </c>
      <c r="S698">
        <v>73.146631820720302</v>
      </c>
    </row>
    <row r="699" spans="1:19" x14ac:dyDescent="0.25">
      <c r="A699">
        <v>1671</v>
      </c>
      <c r="B699">
        <v>169.23416960284601</v>
      </c>
      <c r="C699">
        <v>1.2258563517546901</v>
      </c>
      <c r="D699">
        <v>46.094124728015103</v>
      </c>
      <c r="E699">
        <v>32.344749841419898</v>
      </c>
      <c r="F699">
        <v>16.372064429840101</v>
      </c>
      <c r="G699">
        <v>0.92027949115771801</v>
      </c>
      <c r="H699">
        <v>0.45481515714222598</v>
      </c>
      <c r="I699">
        <v>3.6633371408225899</v>
      </c>
      <c r="J699">
        <v>27.989368779136001</v>
      </c>
      <c r="K699">
        <v>44.846795797182601</v>
      </c>
      <c r="L699" t="s">
        <v>34</v>
      </c>
      <c r="M699" t="s">
        <v>33</v>
      </c>
      <c r="N699">
        <v>36</v>
      </c>
      <c r="O699">
        <v>68.047632159025397</v>
      </c>
      <c r="P699">
        <v>16.719394697293701</v>
      </c>
      <c r="Q699" t="s">
        <v>29</v>
      </c>
      <c r="R699">
        <v>697</v>
      </c>
      <c r="S699">
        <v>82.950728557698596</v>
      </c>
    </row>
    <row r="700" spans="1:19" x14ac:dyDescent="0.25">
      <c r="A700">
        <v>7777</v>
      </c>
      <c r="B700">
        <v>107.561977141372</v>
      </c>
      <c r="C700">
        <v>1.58000911292639</v>
      </c>
      <c r="D700">
        <v>99.018550965584197</v>
      </c>
      <c r="E700">
        <v>31.689454559581701</v>
      </c>
      <c r="F700">
        <v>16.518898375657098</v>
      </c>
      <c r="G700">
        <v>0.470891896530654</v>
      </c>
      <c r="H700">
        <v>0.54985695121820199</v>
      </c>
      <c r="I700">
        <v>7.4534314483639399</v>
      </c>
      <c r="J700">
        <v>105.548595469595</v>
      </c>
      <c r="K700">
        <v>65.600549401737098</v>
      </c>
      <c r="L700" t="s">
        <v>19</v>
      </c>
      <c r="M700" t="s">
        <v>35</v>
      </c>
      <c r="N700">
        <v>24</v>
      </c>
      <c r="O700">
        <v>59.223071144094803</v>
      </c>
      <c r="P700">
        <v>22.005196452300002</v>
      </c>
      <c r="Q700" t="s">
        <v>29</v>
      </c>
      <c r="R700">
        <v>698</v>
      </c>
      <c r="S700">
        <v>68.524945717140795</v>
      </c>
    </row>
    <row r="701" spans="1:19" x14ac:dyDescent="0.25">
      <c r="A701">
        <v>8570</v>
      </c>
      <c r="B701">
        <v>102.728772042465</v>
      </c>
      <c r="C701">
        <v>1.7508913680837701</v>
      </c>
      <c r="D701">
        <v>106.14393287275701</v>
      </c>
      <c r="E701">
        <v>33.162406017470701</v>
      </c>
      <c r="F701">
        <v>21.6606430915025</v>
      </c>
      <c r="G701">
        <v>1.1064261339263901</v>
      </c>
      <c r="H701">
        <v>0.85748191510183702</v>
      </c>
      <c r="I701">
        <v>1.7584350326268801</v>
      </c>
      <c r="J701">
        <v>29.1896092077106</v>
      </c>
      <c r="K701">
        <v>19.1728994496527</v>
      </c>
      <c r="L701" t="s">
        <v>22</v>
      </c>
      <c r="M701" t="s">
        <v>26</v>
      </c>
      <c r="N701">
        <v>32</v>
      </c>
      <c r="O701">
        <v>78.775510896845006</v>
      </c>
      <c r="P701">
        <v>3.79968913284134</v>
      </c>
      <c r="Q701" t="s">
        <v>29</v>
      </c>
      <c r="R701">
        <v>699</v>
      </c>
      <c r="S701">
        <v>54.458795374317702</v>
      </c>
    </row>
    <row r="702" spans="1:19" x14ac:dyDescent="0.25">
      <c r="A702">
        <v>8956</v>
      </c>
      <c r="B702">
        <v>164.423406549872</v>
      </c>
      <c r="C702">
        <v>2.05869940795123</v>
      </c>
      <c r="D702">
        <v>36.3468261175462</v>
      </c>
      <c r="E702">
        <v>34.193336850610599</v>
      </c>
      <c r="F702">
        <v>24.158158148187901</v>
      </c>
      <c r="G702">
        <v>1.6429566616964599</v>
      </c>
      <c r="H702">
        <v>0.939258938780689</v>
      </c>
      <c r="I702">
        <v>8.3067552984932505</v>
      </c>
      <c r="J702">
        <v>103.44542148916899</v>
      </c>
      <c r="K702">
        <v>24.295439569832901</v>
      </c>
      <c r="L702" t="s">
        <v>22</v>
      </c>
      <c r="M702" t="s">
        <v>30</v>
      </c>
      <c r="N702">
        <v>25</v>
      </c>
      <c r="O702">
        <v>62.088276854218201</v>
      </c>
      <c r="P702">
        <v>5.1705833457351602</v>
      </c>
      <c r="Q702" t="s">
        <v>21</v>
      </c>
      <c r="R702">
        <v>700</v>
      </c>
      <c r="S702">
        <v>89.479995291378799</v>
      </c>
    </row>
    <row r="703" spans="1:19" x14ac:dyDescent="0.25">
      <c r="A703">
        <v>6124</v>
      </c>
      <c r="B703">
        <v>130.81352645696199</v>
      </c>
      <c r="C703">
        <v>2.2242496149464599</v>
      </c>
      <c r="D703">
        <v>49.519428182272399</v>
      </c>
      <c r="E703">
        <v>33.775207424537399</v>
      </c>
      <c r="F703">
        <v>25.698377340589101</v>
      </c>
      <c r="G703">
        <v>0.99476121868201395</v>
      </c>
      <c r="H703">
        <v>0.67161585810785795</v>
      </c>
      <c r="I703">
        <v>7.4701625014431103</v>
      </c>
      <c r="J703">
        <v>56.078840107872601</v>
      </c>
      <c r="K703">
        <v>52.440862764995003</v>
      </c>
      <c r="L703" t="s">
        <v>27</v>
      </c>
      <c r="M703" t="s">
        <v>37</v>
      </c>
      <c r="N703">
        <v>31</v>
      </c>
      <c r="O703">
        <v>60.659681510082102</v>
      </c>
      <c r="P703">
        <v>24.560685986871299</v>
      </c>
      <c r="Q703" t="s">
        <v>31</v>
      </c>
      <c r="R703">
        <v>701</v>
      </c>
      <c r="S703">
        <v>82.027103331008902</v>
      </c>
    </row>
    <row r="704" spans="1:19" x14ac:dyDescent="0.25">
      <c r="A704">
        <v>6585</v>
      </c>
      <c r="B704">
        <v>121.618545226801</v>
      </c>
      <c r="C704">
        <v>1.3201156771054501</v>
      </c>
      <c r="D704">
        <v>64.403793152459798</v>
      </c>
      <c r="E704">
        <v>30.154008766969302</v>
      </c>
      <c r="F704">
        <v>34.859976587474797</v>
      </c>
      <c r="G704">
        <v>1.0831044366167499</v>
      </c>
      <c r="H704">
        <v>0.40533519520767303</v>
      </c>
      <c r="I704">
        <v>7.5664598431180803</v>
      </c>
      <c r="J704">
        <v>81.220906325721501</v>
      </c>
      <c r="K704">
        <v>40.272359088512196</v>
      </c>
      <c r="L704" t="s">
        <v>27</v>
      </c>
      <c r="M704" t="s">
        <v>36</v>
      </c>
      <c r="N704">
        <v>18</v>
      </c>
      <c r="O704">
        <v>76.440631410157096</v>
      </c>
      <c r="P704">
        <v>20.199543522148598</v>
      </c>
      <c r="Q704" t="s">
        <v>21</v>
      </c>
      <c r="R704">
        <v>702</v>
      </c>
      <c r="S704">
        <v>72.086173095061199</v>
      </c>
    </row>
    <row r="705" spans="1:19" x14ac:dyDescent="0.25">
      <c r="A705">
        <v>5777</v>
      </c>
      <c r="B705">
        <v>155.798093747921</v>
      </c>
      <c r="C705">
        <v>0.83697615695897998</v>
      </c>
      <c r="D705">
        <v>50.709244101796102</v>
      </c>
      <c r="E705">
        <v>35.450483583513403</v>
      </c>
      <c r="F705">
        <v>10.7528377289961</v>
      </c>
      <c r="G705">
        <v>1.7277816535063599</v>
      </c>
      <c r="H705">
        <v>0.47702464667382599</v>
      </c>
      <c r="I705">
        <v>1.90217233240832</v>
      </c>
      <c r="J705">
        <v>35.288711564799797</v>
      </c>
      <c r="K705">
        <v>37.186002206351901</v>
      </c>
      <c r="L705" t="s">
        <v>22</v>
      </c>
      <c r="M705" t="s">
        <v>20</v>
      </c>
      <c r="N705">
        <v>30</v>
      </c>
      <c r="O705">
        <v>69.659486438244301</v>
      </c>
      <c r="P705">
        <v>21.2294175868651</v>
      </c>
      <c r="Q705" t="s">
        <v>25</v>
      </c>
      <c r="R705">
        <v>703</v>
      </c>
      <c r="S705">
        <v>76.446125468086393</v>
      </c>
    </row>
    <row r="706" spans="1:19" x14ac:dyDescent="0.25">
      <c r="A706">
        <v>4900</v>
      </c>
      <c r="B706">
        <v>122.88768920526201</v>
      </c>
      <c r="C706">
        <v>1.29326741943836</v>
      </c>
      <c r="D706">
        <v>80.119311069117302</v>
      </c>
      <c r="E706">
        <v>33.354335928745002</v>
      </c>
      <c r="F706">
        <v>25.043677945622001</v>
      </c>
      <c r="G706">
        <v>1.4709046063484501</v>
      </c>
      <c r="H706">
        <v>0.57714431642394604</v>
      </c>
      <c r="I706">
        <v>7.4598449033460703</v>
      </c>
      <c r="J706">
        <v>26.616872172518001</v>
      </c>
      <c r="K706">
        <v>20.027105927814201</v>
      </c>
      <c r="L706" t="s">
        <v>22</v>
      </c>
      <c r="M706" t="s">
        <v>35</v>
      </c>
      <c r="N706">
        <v>20</v>
      </c>
      <c r="O706">
        <v>74.277609994294096</v>
      </c>
      <c r="P706">
        <v>9.3698476042870702</v>
      </c>
      <c r="Q706" t="s">
        <v>31</v>
      </c>
      <c r="R706">
        <v>704</v>
      </c>
      <c r="S706">
        <v>74.053378081174799</v>
      </c>
    </row>
    <row r="707" spans="1:19" x14ac:dyDescent="0.25">
      <c r="A707">
        <v>7677</v>
      </c>
      <c r="B707">
        <v>171.52019427093799</v>
      </c>
      <c r="C707">
        <v>1.63014025329144</v>
      </c>
      <c r="D707">
        <v>55.434555951867701</v>
      </c>
      <c r="E707">
        <v>32.0682010314084</v>
      </c>
      <c r="F707">
        <v>19.214347137138802</v>
      </c>
      <c r="G707">
        <v>1.08281793533561</v>
      </c>
      <c r="H707">
        <v>0.71822194172612197</v>
      </c>
      <c r="I707">
        <v>7.1183631269797303</v>
      </c>
      <c r="J707">
        <v>41.593820402013499</v>
      </c>
      <c r="K707">
        <v>82.178938106100105</v>
      </c>
      <c r="L707" t="s">
        <v>22</v>
      </c>
      <c r="M707" t="s">
        <v>20</v>
      </c>
      <c r="N707">
        <v>38</v>
      </c>
      <c r="O707">
        <v>67.619265919064105</v>
      </c>
      <c r="P707">
        <v>14.622120597452099</v>
      </c>
      <c r="Q707" t="s">
        <v>24</v>
      </c>
      <c r="R707">
        <v>705</v>
      </c>
      <c r="S707">
        <v>98.293129459017095</v>
      </c>
    </row>
    <row r="708" spans="1:19" x14ac:dyDescent="0.25">
      <c r="A708">
        <v>7981</v>
      </c>
      <c r="B708">
        <v>148.55851742678499</v>
      </c>
      <c r="C708">
        <v>1.01812053689469</v>
      </c>
      <c r="D708">
        <v>113.301121356132</v>
      </c>
      <c r="E708">
        <v>33.188553502789098</v>
      </c>
      <c r="F708">
        <v>19.0679242555561</v>
      </c>
      <c r="G708">
        <v>0.66385216674052305</v>
      </c>
      <c r="H708">
        <v>0.44130150519292199</v>
      </c>
      <c r="I708">
        <v>8.4783024173966499</v>
      </c>
      <c r="J708">
        <v>32.785381790869501</v>
      </c>
      <c r="K708">
        <v>66.886393959378793</v>
      </c>
      <c r="L708" t="s">
        <v>19</v>
      </c>
      <c r="M708" t="s">
        <v>36</v>
      </c>
      <c r="N708">
        <v>23</v>
      </c>
      <c r="O708">
        <v>70.174026118080107</v>
      </c>
      <c r="P708">
        <v>4.6220160892001596</v>
      </c>
      <c r="Q708" t="s">
        <v>29</v>
      </c>
      <c r="R708">
        <v>706</v>
      </c>
      <c r="S708">
        <v>90.959396740645701</v>
      </c>
    </row>
    <row r="709" spans="1:19" x14ac:dyDescent="0.25">
      <c r="A709">
        <v>7376</v>
      </c>
      <c r="B709">
        <v>125.241771837085</v>
      </c>
      <c r="C709">
        <v>1.0214245425524699</v>
      </c>
      <c r="D709">
        <v>93.810971886871897</v>
      </c>
      <c r="E709">
        <v>33.211427787003203</v>
      </c>
      <c r="F709">
        <v>18.9011393587306</v>
      </c>
      <c r="G709">
        <v>1.79286814432094</v>
      </c>
      <c r="H709">
        <v>0.91884651429043396</v>
      </c>
      <c r="I709">
        <v>1.3743636063082201</v>
      </c>
      <c r="J709">
        <v>51.240589767963101</v>
      </c>
      <c r="K709">
        <v>24.1213617614737</v>
      </c>
      <c r="L709" t="s">
        <v>19</v>
      </c>
      <c r="M709" t="s">
        <v>28</v>
      </c>
      <c r="N709">
        <v>36</v>
      </c>
      <c r="O709">
        <v>56.5316043818368</v>
      </c>
      <c r="P709">
        <v>11.2204145208045</v>
      </c>
      <c r="Q709" t="s">
        <v>31</v>
      </c>
      <c r="R709">
        <v>707</v>
      </c>
      <c r="S709">
        <v>60.066474542135097</v>
      </c>
    </row>
    <row r="710" spans="1:19" x14ac:dyDescent="0.25">
      <c r="A710">
        <v>1523</v>
      </c>
      <c r="B710">
        <v>178.14616426531001</v>
      </c>
      <c r="C710">
        <v>1.67189394077494</v>
      </c>
      <c r="D710">
        <v>74.251480612644301</v>
      </c>
      <c r="E710">
        <v>32.199781539658098</v>
      </c>
      <c r="F710">
        <v>17.456151645960102</v>
      </c>
      <c r="G710">
        <v>1.238636723043</v>
      </c>
      <c r="H710">
        <v>0.60079602030641999</v>
      </c>
      <c r="I710">
        <v>1.20799601621012</v>
      </c>
      <c r="J710">
        <v>71.438324651101993</v>
      </c>
      <c r="K710">
        <v>19.878446830285501</v>
      </c>
      <c r="L710" t="s">
        <v>19</v>
      </c>
      <c r="M710" t="s">
        <v>30</v>
      </c>
      <c r="N710">
        <v>32</v>
      </c>
      <c r="O710">
        <v>66.817277910966695</v>
      </c>
      <c r="P710">
        <v>17.817104510989701</v>
      </c>
      <c r="Q710" t="s">
        <v>31</v>
      </c>
      <c r="R710">
        <v>708</v>
      </c>
      <c r="S710">
        <v>84.024066641205195</v>
      </c>
    </row>
    <row r="711" spans="1:19" x14ac:dyDescent="0.25">
      <c r="A711">
        <v>3393</v>
      </c>
      <c r="B711">
        <v>122.885701539933</v>
      </c>
      <c r="C711">
        <v>1.47567382421477</v>
      </c>
      <c r="D711">
        <v>90.539725266394598</v>
      </c>
      <c r="E711">
        <v>33.2375000008104</v>
      </c>
      <c r="F711">
        <v>30.422624173017201</v>
      </c>
      <c r="G711">
        <v>0.59806569819924804</v>
      </c>
      <c r="H711">
        <v>0.90192131985865198</v>
      </c>
      <c r="I711">
        <v>4.3570638989070396</v>
      </c>
      <c r="J711">
        <v>78.875946356500904</v>
      </c>
      <c r="K711">
        <v>88.115440007343196</v>
      </c>
      <c r="L711" t="s">
        <v>19</v>
      </c>
      <c r="M711" t="s">
        <v>30</v>
      </c>
      <c r="N711">
        <v>21</v>
      </c>
      <c r="O711">
        <v>59.615550646914002</v>
      </c>
      <c r="P711">
        <v>20.622616060226999</v>
      </c>
      <c r="Q711" t="s">
        <v>29</v>
      </c>
      <c r="R711">
        <v>709</v>
      </c>
      <c r="S711">
        <v>66.162837238904501</v>
      </c>
    </row>
    <row r="712" spans="1:19" x14ac:dyDescent="0.25">
      <c r="A712">
        <v>3593</v>
      </c>
      <c r="B712">
        <v>149.84190744018599</v>
      </c>
      <c r="C712">
        <v>1.51639849770579</v>
      </c>
      <c r="D712">
        <v>92.118008487146099</v>
      </c>
      <c r="E712">
        <v>32.271033254855602</v>
      </c>
      <c r="F712">
        <v>26.211486635069502</v>
      </c>
      <c r="G712">
        <v>0.68441555474841798</v>
      </c>
      <c r="H712">
        <v>0.82928699151636098</v>
      </c>
      <c r="I712">
        <v>2.33909455464237</v>
      </c>
      <c r="J712">
        <v>98.986810737974295</v>
      </c>
      <c r="K712">
        <v>66.087941282962802</v>
      </c>
      <c r="L712" t="s">
        <v>19</v>
      </c>
      <c r="M712" t="s">
        <v>36</v>
      </c>
      <c r="N712">
        <v>38</v>
      </c>
      <c r="O712">
        <v>83.635131839310603</v>
      </c>
      <c r="P712">
        <v>12.296561489803899</v>
      </c>
      <c r="Q712" t="s">
        <v>24</v>
      </c>
      <c r="R712">
        <v>710</v>
      </c>
      <c r="S712">
        <v>76.844126034874293</v>
      </c>
    </row>
    <row r="713" spans="1:19" x14ac:dyDescent="0.25">
      <c r="A713">
        <v>8240</v>
      </c>
      <c r="B713">
        <v>140.985851608129</v>
      </c>
      <c r="C713">
        <v>1.12075233264996</v>
      </c>
      <c r="D713">
        <v>58.721050238835097</v>
      </c>
      <c r="E713">
        <v>32.514765608771903</v>
      </c>
      <c r="F713">
        <v>22.1159798927868</v>
      </c>
      <c r="G713">
        <v>1.64563956008524</v>
      </c>
      <c r="H713">
        <v>0.81549049988356903</v>
      </c>
      <c r="I713">
        <v>6.02546029813199</v>
      </c>
      <c r="J713">
        <v>85.623989324835804</v>
      </c>
      <c r="K713">
        <v>46.309205332030601</v>
      </c>
      <c r="L713" t="s">
        <v>19</v>
      </c>
      <c r="M713" t="s">
        <v>26</v>
      </c>
      <c r="N713">
        <v>20</v>
      </c>
      <c r="O713">
        <v>78.342571235265694</v>
      </c>
      <c r="P713">
        <v>22.417228275066201</v>
      </c>
      <c r="Q713" t="s">
        <v>21</v>
      </c>
      <c r="R713">
        <v>711</v>
      </c>
      <c r="S713">
        <v>82.712606362257404</v>
      </c>
    </row>
    <row r="714" spans="1:19" x14ac:dyDescent="0.25">
      <c r="A714">
        <v>7937</v>
      </c>
      <c r="B714">
        <v>161.034825787975</v>
      </c>
      <c r="C714">
        <v>1.3847996428971101</v>
      </c>
      <c r="D714">
        <v>53.675655109160701</v>
      </c>
      <c r="E714">
        <v>32.176465037093898</v>
      </c>
      <c r="F714">
        <v>28.755078762435001</v>
      </c>
      <c r="G714">
        <v>0.27946201175741903</v>
      </c>
      <c r="H714">
        <v>0.73369576888022703</v>
      </c>
      <c r="I714">
        <v>9.2561401135607397</v>
      </c>
      <c r="J714">
        <v>80.875832512955299</v>
      </c>
      <c r="K714">
        <v>67.629828056683806</v>
      </c>
      <c r="L714" t="s">
        <v>27</v>
      </c>
      <c r="M714" t="s">
        <v>20</v>
      </c>
      <c r="N714">
        <v>21</v>
      </c>
      <c r="O714">
        <v>62.768610475790098</v>
      </c>
      <c r="P714">
        <v>17.693757874246899</v>
      </c>
      <c r="Q714" t="s">
        <v>21</v>
      </c>
      <c r="R714">
        <v>712</v>
      </c>
      <c r="S714">
        <v>98.051112200005505</v>
      </c>
    </row>
    <row r="715" spans="1:19" x14ac:dyDescent="0.25">
      <c r="A715">
        <v>7190</v>
      </c>
      <c r="B715">
        <v>166.23022393453701</v>
      </c>
      <c r="C715">
        <v>1.03788342786584</v>
      </c>
      <c r="D715">
        <v>71.562861259392903</v>
      </c>
      <c r="E715">
        <v>31.280794452312399</v>
      </c>
      <c r="F715">
        <v>14.437355173505599</v>
      </c>
      <c r="G715">
        <v>1.9857659366518701</v>
      </c>
      <c r="H715">
        <v>0.74473109937851401</v>
      </c>
      <c r="I715">
        <v>4.5233175730061399</v>
      </c>
      <c r="J715">
        <v>61.178202748577398</v>
      </c>
      <c r="K715">
        <v>71.724883986011903</v>
      </c>
      <c r="L715" t="s">
        <v>34</v>
      </c>
      <c r="M715" t="s">
        <v>20</v>
      </c>
      <c r="N715">
        <v>22</v>
      </c>
      <c r="O715">
        <v>66.339555286726394</v>
      </c>
      <c r="P715">
        <v>16.192561491577699</v>
      </c>
      <c r="Q715" t="s">
        <v>31</v>
      </c>
      <c r="R715">
        <v>713</v>
      </c>
      <c r="S715">
        <v>87.818739798185902</v>
      </c>
    </row>
    <row r="716" spans="1:19" x14ac:dyDescent="0.25">
      <c r="A716">
        <v>6240</v>
      </c>
      <c r="B716">
        <v>135.640082981315</v>
      </c>
      <c r="C716">
        <v>1.9450992055623899</v>
      </c>
      <c r="D716">
        <v>87.232722489958803</v>
      </c>
      <c r="E716">
        <v>33.175003764258399</v>
      </c>
      <c r="F716">
        <v>15.346474343345299</v>
      </c>
      <c r="G716">
        <v>0.43463302348662503</v>
      </c>
      <c r="H716">
        <v>0.75090177936893598</v>
      </c>
      <c r="I716">
        <v>8.6045533954534292</v>
      </c>
      <c r="J716">
        <v>67.380843496013796</v>
      </c>
      <c r="K716">
        <v>73.497165179158401</v>
      </c>
      <c r="L716" t="s">
        <v>27</v>
      </c>
      <c r="M716" t="s">
        <v>36</v>
      </c>
      <c r="N716">
        <v>35</v>
      </c>
      <c r="O716">
        <v>66.716647119869094</v>
      </c>
      <c r="P716">
        <v>18.669049620713501</v>
      </c>
      <c r="Q716" t="s">
        <v>29</v>
      </c>
      <c r="R716">
        <v>714</v>
      </c>
      <c r="S716">
        <v>83.897211614432507</v>
      </c>
    </row>
    <row r="717" spans="1:19" x14ac:dyDescent="0.25">
      <c r="A717">
        <v>7493</v>
      </c>
      <c r="B717">
        <v>119.93164259307601</v>
      </c>
      <c r="C717">
        <v>2.0176246673618699</v>
      </c>
      <c r="D717">
        <v>72.781207973068305</v>
      </c>
      <c r="E717">
        <v>33.7023593238196</v>
      </c>
      <c r="F717">
        <v>11.110161339026501</v>
      </c>
      <c r="G717">
        <v>1.6329233457144801</v>
      </c>
      <c r="H717">
        <v>0.74579676286407004</v>
      </c>
      <c r="I717">
        <v>1.0021678706607899</v>
      </c>
      <c r="J717">
        <v>61.452082939018098</v>
      </c>
      <c r="K717">
        <v>50.840797923979302</v>
      </c>
      <c r="L717" t="s">
        <v>34</v>
      </c>
      <c r="M717" t="s">
        <v>20</v>
      </c>
      <c r="N717">
        <v>27</v>
      </c>
      <c r="O717">
        <v>85.231652528328794</v>
      </c>
      <c r="P717">
        <v>34.796953807601298</v>
      </c>
      <c r="Q717" t="s">
        <v>25</v>
      </c>
      <c r="R717">
        <v>715</v>
      </c>
      <c r="S717">
        <v>60.263823887619402</v>
      </c>
    </row>
    <row r="718" spans="1:19" x14ac:dyDescent="0.25">
      <c r="A718">
        <v>3878</v>
      </c>
      <c r="B718">
        <v>144.19944285878199</v>
      </c>
      <c r="C718">
        <v>0.57690606888095297</v>
      </c>
      <c r="D718">
        <v>38.460070356179997</v>
      </c>
      <c r="E718">
        <v>33.617860315291601</v>
      </c>
      <c r="F718">
        <v>18.502927299383501</v>
      </c>
      <c r="G718">
        <v>0.91059557018902904</v>
      </c>
      <c r="H718">
        <v>0.70455052726909795</v>
      </c>
      <c r="I718">
        <v>2.5166317911326499</v>
      </c>
      <c r="J718">
        <v>104.216603006138</v>
      </c>
      <c r="K718">
        <v>47.241206859363601</v>
      </c>
      <c r="L718" t="s">
        <v>27</v>
      </c>
      <c r="M718" t="s">
        <v>26</v>
      </c>
      <c r="N718">
        <v>25</v>
      </c>
      <c r="O718">
        <v>71.171186414852301</v>
      </c>
      <c r="P718">
        <v>16.711945247963101</v>
      </c>
      <c r="Q718" t="s">
        <v>24</v>
      </c>
      <c r="R718">
        <v>716</v>
      </c>
      <c r="S718">
        <v>72.193530251092398</v>
      </c>
    </row>
    <row r="719" spans="1:19" x14ac:dyDescent="0.25">
      <c r="A719">
        <v>5143</v>
      </c>
      <c r="B719">
        <v>121.445692604957</v>
      </c>
      <c r="C719">
        <v>1.03524456990379</v>
      </c>
      <c r="D719">
        <v>53.943511120983104</v>
      </c>
      <c r="E719">
        <v>33.983910303162197</v>
      </c>
      <c r="F719">
        <v>22.808492633523699</v>
      </c>
      <c r="G719">
        <v>1.08598912991744</v>
      </c>
      <c r="H719">
        <v>0.94252771016558801</v>
      </c>
      <c r="I719">
        <v>1.27381185688677</v>
      </c>
      <c r="J719">
        <v>43.000045254839897</v>
      </c>
      <c r="K719">
        <v>15.8271063201675</v>
      </c>
      <c r="L719" t="s">
        <v>27</v>
      </c>
      <c r="M719" t="s">
        <v>30</v>
      </c>
      <c r="N719">
        <v>29</v>
      </c>
      <c r="O719">
        <v>64.5770591950414</v>
      </c>
      <c r="P719">
        <v>25.617948743111199</v>
      </c>
      <c r="Q719" t="s">
        <v>21</v>
      </c>
      <c r="R719">
        <v>717</v>
      </c>
      <c r="S719">
        <v>63.399595598960403</v>
      </c>
    </row>
    <row r="720" spans="1:19" x14ac:dyDescent="0.25">
      <c r="A720">
        <v>4644</v>
      </c>
      <c r="B720">
        <v>175.26774495053201</v>
      </c>
      <c r="C720">
        <v>0.75173537245496003</v>
      </c>
      <c r="D720">
        <v>68.520542728112403</v>
      </c>
      <c r="E720">
        <v>33.389208252017802</v>
      </c>
      <c r="F720">
        <v>22.514292889661601</v>
      </c>
      <c r="G720">
        <v>1.7851710394362399</v>
      </c>
      <c r="H720">
        <v>0.80275981208413205</v>
      </c>
      <c r="I720">
        <v>3.9533246246356102</v>
      </c>
      <c r="J720">
        <v>20.572093154196399</v>
      </c>
      <c r="K720">
        <v>84.491783635637802</v>
      </c>
      <c r="L720" t="s">
        <v>19</v>
      </c>
      <c r="M720" t="s">
        <v>28</v>
      </c>
      <c r="N720">
        <v>39</v>
      </c>
      <c r="O720">
        <v>69.173481412391496</v>
      </c>
      <c r="P720">
        <v>22.370282221692701</v>
      </c>
      <c r="Q720" t="s">
        <v>24</v>
      </c>
      <c r="R720">
        <v>718</v>
      </c>
      <c r="S720">
        <v>91.270629716222899</v>
      </c>
    </row>
    <row r="721" spans="1:19" x14ac:dyDescent="0.25">
      <c r="A721">
        <v>5432</v>
      </c>
      <c r="B721">
        <v>137.73070662165401</v>
      </c>
      <c r="C721">
        <v>1.1749880327965501</v>
      </c>
      <c r="D721">
        <v>68.486687913483394</v>
      </c>
      <c r="E721">
        <v>32.360729402139697</v>
      </c>
      <c r="F721">
        <v>22.7467095552994</v>
      </c>
      <c r="G721">
        <v>0.94324014126058398</v>
      </c>
      <c r="H721">
        <v>0.82732051361588599</v>
      </c>
      <c r="I721">
        <v>9.1737063612685201</v>
      </c>
      <c r="J721">
        <v>85.131989722623899</v>
      </c>
      <c r="K721">
        <v>60.248090879170697</v>
      </c>
      <c r="L721" t="s">
        <v>19</v>
      </c>
      <c r="M721" t="s">
        <v>23</v>
      </c>
      <c r="N721">
        <v>20</v>
      </c>
      <c r="O721">
        <v>55.704072501643701</v>
      </c>
      <c r="P721">
        <v>16.014724976039201</v>
      </c>
      <c r="Q721" t="s">
        <v>24</v>
      </c>
      <c r="R721">
        <v>719</v>
      </c>
      <c r="S721">
        <v>83.015737187918305</v>
      </c>
    </row>
    <row r="722" spans="1:19" x14ac:dyDescent="0.25">
      <c r="A722">
        <v>2276</v>
      </c>
      <c r="B722">
        <v>127.693568973757</v>
      </c>
      <c r="C722">
        <v>1.45828101510481</v>
      </c>
      <c r="D722">
        <v>109.450843535796</v>
      </c>
      <c r="E722">
        <v>34.007596637317398</v>
      </c>
      <c r="F722">
        <v>14.944715844669499</v>
      </c>
      <c r="G722">
        <v>1.1674887566118199</v>
      </c>
      <c r="H722">
        <v>0.87985454829601994</v>
      </c>
      <c r="I722">
        <v>1.8725691123908801</v>
      </c>
      <c r="J722">
        <v>40.246218363883102</v>
      </c>
      <c r="K722">
        <v>30.236545289247601</v>
      </c>
      <c r="L722" t="s">
        <v>34</v>
      </c>
      <c r="M722" t="s">
        <v>30</v>
      </c>
      <c r="N722">
        <v>35</v>
      </c>
      <c r="O722">
        <v>67.410613520426807</v>
      </c>
      <c r="P722">
        <v>5.5977108028694103</v>
      </c>
      <c r="Q722" t="s">
        <v>24</v>
      </c>
      <c r="R722">
        <v>720</v>
      </c>
      <c r="S722">
        <v>65.988947520709203</v>
      </c>
    </row>
    <row r="723" spans="1:19" x14ac:dyDescent="0.25">
      <c r="A723">
        <v>6811</v>
      </c>
      <c r="B723">
        <v>138.693606117298</v>
      </c>
      <c r="C723">
        <v>0.77517739015073495</v>
      </c>
      <c r="D723">
        <v>42.280241152019997</v>
      </c>
      <c r="E723">
        <v>31.370978952189599</v>
      </c>
      <c r="F723">
        <v>26.0157737130701</v>
      </c>
      <c r="G723">
        <v>0.28873939233650497</v>
      </c>
      <c r="H723">
        <v>0.51860186949921705</v>
      </c>
      <c r="I723">
        <v>6.4576879906942004</v>
      </c>
      <c r="J723">
        <v>109.01151363098001</v>
      </c>
      <c r="K723">
        <v>83.9702564566077</v>
      </c>
      <c r="L723" t="s">
        <v>34</v>
      </c>
      <c r="M723" t="s">
        <v>33</v>
      </c>
      <c r="N723">
        <v>25</v>
      </c>
      <c r="O723">
        <v>59.352847325396702</v>
      </c>
      <c r="P723">
        <v>12.9821820577951</v>
      </c>
      <c r="Q723" t="s">
        <v>29</v>
      </c>
      <c r="R723">
        <v>721</v>
      </c>
      <c r="S723">
        <v>76.585944702726493</v>
      </c>
    </row>
    <row r="724" spans="1:19" x14ac:dyDescent="0.25">
      <c r="A724">
        <v>1302</v>
      </c>
      <c r="B724">
        <v>108.057474209406</v>
      </c>
      <c r="C724">
        <v>1.03907009343734</v>
      </c>
      <c r="D724">
        <v>80.111784836717405</v>
      </c>
      <c r="E724">
        <v>31.919194340985001</v>
      </c>
      <c r="F724">
        <v>23.1981375911949</v>
      </c>
      <c r="G724">
        <v>0.204225452961415</v>
      </c>
      <c r="H724">
        <v>0.44609228750228302</v>
      </c>
      <c r="I724">
        <v>5.0634634520749904</v>
      </c>
      <c r="J724">
        <v>105.90463297066501</v>
      </c>
      <c r="K724">
        <v>83.619892632772206</v>
      </c>
      <c r="L724" t="s">
        <v>19</v>
      </c>
      <c r="M724" t="s">
        <v>33</v>
      </c>
      <c r="N724">
        <v>18</v>
      </c>
      <c r="O724">
        <v>53.218671807758099</v>
      </c>
      <c r="P724">
        <v>18.611067948027699</v>
      </c>
      <c r="Q724" t="s">
        <v>29</v>
      </c>
      <c r="R724">
        <v>722</v>
      </c>
      <c r="S724">
        <v>62.747625516793903</v>
      </c>
    </row>
    <row r="725" spans="1:19" x14ac:dyDescent="0.25">
      <c r="A725">
        <v>1638</v>
      </c>
      <c r="B725">
        <v>115.56771922978599</v>
      </c>
      <c r="C725">
        <v>0.99802131395924998</v>
      </c>
      <c r="D725">
        <v>99.7822621665658</v>
      </c>
      <c r="E725">
        <v>31.842959914292098</v>
      </c>
      <c r="F725">
        <v>25.6652714073299</v>
      </c>
      <c r="G725">
        <v>0.64063977140310602</v>
      </c>
      <c r="H725">
        <v>0.66559194012922895</v>
      </c>
      <c r="I725">
        <v>9.4462139112923094</v>
      </c>
      <c r="J725">
        <v>27.672737192820499</v>
      </c>
      <c r="K725">
        <v>89.1888123274572</v>
      </c>
      <c r="L725" t="s">
        <v>27</v>
      </c>
      <c r="M725" t="s">
        <v>30</v>
      </c>
      <c r="N725">
        <v>31</v>
      </c>
      <c r="O725">
        <v>83.892593000572205</v>
      </c>
      <c r="P725">
        <v>17.161785788759101</v>
      </c>
      <c r="Q725" t="s">
        <v>29</v>
      </c>
      <c r="R725">
        <v>723</v>
      </c>
      <c r="S725">
        <v>71.425901258240103</v>
      </c>
    </row>
    <row r="726" spans="1:19" x14ac:dyDescent="0.25">
      <c r="A726">
        <v>1055</v>
      </c>
      <c r="B726">
        <v>159.008278158888</v>
      </c>
      <c r="C726">
        <v>1.60363366469947</v>
      </c>
      <c r="D726">
        <v>115.428994908455</v>
      </c>
      <c r="E726">
        <v>34.2960672709671</v>
      </c>
      <c r="F726">
        <v>12.5361891120497</v>
      </c>
      <c r="G726">
        <v>1.42504956725378</v>
      </c>
      <c r="H726">
        <v>0.6827443825906</v>
      </c>
      <c r="I726">
        <v>2.10267228283384</v>
      </c>
      <c r="J726">
        <v>30.638840541407699</v>
      </c>
      <c r="K726">
        <v>80.554242235423402</v>
      </c>
      <c r="L726" t="s">
        <v>34</v>
      </c>
      <c r="M726" t="s">
        <v>26</v>
      </c>
      <c r="N726">
        <v>39</v>
      </c>
      <c r="O726">
        <v>67.784056008494701</v>
      </c>
      <c r="P726">
        <v>28.373065385393001</v>
      </c>
      <c r="Q726" t="s">
        <v>31</v>
      </c>
      <c r="R726">
        <v>724</v>
      </c>
      <c r="S726">
        <v>77.228059344594101</v>
      </c>
    </row>
    <row r="727" spans="1:19" x14ac:dyDescent="0.25">
      <c r="A727">
        <v>9717</v>
      </c>
      <c r="B727">
        <v>121.862114420572</v>
      </c>
      <c r="C727">
        <v>1.5346721685181199</v>
      </c>
      <c r="D727">
        <v>61.912051536320703</v>
      </c>
      <c r="E727">
        <v>34.131346216967998</v>
      </c>
      <c r="F727">
        <v>23.557454293988901</v>
      </c>
      <c r="G727">
        <v>0.41827680804644601</v>
      </c>
      <c r="H727">
        <v>0.85604997897245405</v>
      </c>
      <c r="I727">
        <v>2.9082506545200602</v>
      </c>
      <c r="J727">
        <v>69.517159224666599</v>
      </c>
      <c r="K727">
        <v>89.833829086504807</v>
      </c>
      <c r="L727" t="s">
        <v>22</v>
      </c>
      <c r="M727" t="s">
        <v>23</v>
      </c>
      <c r="N727">
        <v>30</v>
      </c>
      <c r="O727">
        <v>61.827307467198203</v>
      </c>
      <c r="P727">
        <v>12.1319863343936</v>
      </c>
      <c r="Q727" t="s">
        <v>29</v>
      </c>
      <c r="R727">
        <v>725</v>
      </c>
      <c r="S727">
        <v>63.209659065760199</v>
      </c>
    </row>
    <row r="728" spans="1:19" x14ac:dyDescent="0.25">
      <c r="A728">
        <v>9150</v>
      </c>
      <c r="B728">
        <v>114.061780346361</v>
      </c>
      <c r="C728">
        <v>1.13913122333137</v>
      </c>
      <c r="D728">
        <v>79.828589054403906</v>
      </c>
      <c r="E728">
        <v>33.584766284453899</v>
      </c>
      <c r="F728">
        <v>16.061173800412298</v>
      </c>
      <c r="G728">
        <v>0.40477152584818898</v>
      </c>
      <c r="H728">
        <v>0.64408096860528397</v>
      </c>
      <c r="I728">
        <v>1.2658777175034299</v>
      </c>
      <c r="J728">
        <v>80.922266276935403</v>
      </c>
      <c r="K728">
        <v>33.351464109245399</v>
      </c>
      <c r="L728" t="s">
        <v>22</v>
      </c>
      <c r="M728" t="s">
        <v>28</v>
      </c>
      <c r="N728">
        <v>29</v>
      </c>
      <c r="O728">
        <v>54.4225658398829</v>
      </c>
      <c r="P728">
        <v>16.825509053399202</v>
      </c>
      <c r="Q728" t="s">
        <v>31</v>
      </c>
      <c r="R728">
        <v>726</v>
      </c>
      <c r="S728">
        <v>54.384802926454398</v>
      </c>
    </row>
    <row r="729" spans="1:19" x14ac:dyDescent="0.25">
      <c r="A729">
        <v>3125</v>
      </c>
      <c r="B729">
        <v>145.733055050545</v>
      </c>
      <c r="C729">
        <v>1.58841043606969</v>
      </c>
      <c r="D729">
        <v>81.395207143972897</v>
      </c>
      <c r="E729">
        <v>34.286315838254097</v>
      </c>
      <c r="F729">
        <v>20.0133837372431</v>
      </c>
      <c r="G729">
        <v>0.93972909446462505</v>
      </c>
      <c r="H729">
        <v>0.71396916404937105</v>
      </c>
      <c r="I729">
        <v>4.9054172466823598</v>
      </c>
      <c r="J729">
        <v>47.490833748223999</v>
      </c>
      <c r="K729">
        <v>78.168718889942497</v>
      </c>
      <c r="L729" t="s">
        <v>22</v>
      </c>
      <c r="M729" t="s">
        <v>20</v>
      </c>
      <c r="N729">
        <v>20</v>
      </c>
      <c r="O729">
        <v>66.231072284210299</v>
      </c>
      <c r="P729">
        <v>22.290915654975102</v>
      </c>
      <c r="Q729" t="s">
        <v>21</v>
      </c>
      <c r="R729">
        <v>727</v>
      </c>
      <c r="S729">
        <v>78.835773747775704</v>
      </c>
    </row>
    <row r="730" spans="1:19" x14ac:dyDescent="0.25">
      <c r="A730">
        <v>1364</v>
      </c>
      <c r="B730">
        <v>158.71408309325901</v>
      </c>
      <c r="C730">
        <v>1.2266599577063599</v>
      </c>
      <c r="D730">
        <v>73.909634631065799</v>
      </c>
      <c r="E730">
        <v>31.944860661105601</v>
      </c>
      <c r="F730">
        <v>24.671824493181902</v>
      </c>
      <c r="G730">
        <v>1.3661066694948001</v>
      </c>
      <c r="H730">
        <v>0.68988901618240195</v>
      </c>
      <c r="I730">
        <v>3.5004960960818798</v>
      </c>
      <c r="J730">
        <v>91.679771669936997</v>
      </c>
      <c r="K730">
        <v>76.727123159682293</v>
      </c>
      <c r="L730" t="s">
        <v>34</v>
      </c>
      <c r="M730" t="s">
        <v>33</v>
      </c>
      <c r="N730">
        <v>35</v>
      </c>
      <c r="O730">
        <v>66.806586784411195</v>
      </c>
      <c r="P730">
        <v>15.774908317404901</v>
      </c>
      <c r="Q730" t="s">
        <v>21</v>
      </c>
      <c r="R730">
        <v>728</v>
      </c>
      <c r="S730">
        <v>85.023225731708294</v>
      </c>
    </row>
    <row r="731" spans="1:19" x14ac:dyDescent="0.25">
      <c r="A731">
        <v>7809</v>
      </c>
      <c r="B731">
        <v>149.379066213301</v>
      </c>
      <c r="C731">
        <v>1.3641724448369701</v>
      </c>
      <c r="D731">
        <v>68.023095975213806</v>
      </c>
      <c r="E731">
        <v>33.418314143833101</v>
      </c>
      <c r="F731">
        <v>22.455468031279501</v>
      </c>
      <c r="G731">
        <v>1.48172958604627</v>
      </c>
      <c r="H731">
        <v>0.42101153106656503</v>
      </c>
      <c r="I731">
        <v>8.8291534050128799</v>
      </c>
      <c r="J731">
        <v>79.491602091887103</v>
      </c>
      <c r="K731">
        <v>32.320526941555002</v>
      </c>
      <c r="L731" t="s">
        <v>19</v>
      </c>
      <c r="M731" t="s">
        <v>33</v>
      </c>
      <c r="N731">
        <v>38</v>
      </c>
      <c r="O731">
        <v>74.120413548504601</v>
      </c>
      <c r="P731">
        <v>25.7893880530719</v>
      </c>
      <c r="Q731" t="s">
        <v>21</v>
      </c>
      <c r="R731">
        <v>729</v>
      </c>
      <c r="S731">
        <v>89.774426511666306</v>
      </c>
    </row>
    <row r="732" spans="1:19" x14ac:dyDescent="0.25">
      <c r="A732">
        <v>5621</v>
      </c>
      <c r="B732">
        <v>154.920953716116</v>
      </c>
      <c r="C732">
        <v>2.33672604514926</v>
      </c>
      <c r="D732">
        <v>78.719507790000904</v>
      </c>
      <c r="E732">
        <v>32.849790685940199</v>
      </c>
      <c r="F732">
        <v>17.7423001011034</v>
      </c>
      <c r="G732">
        <v>0.52121121337707399</v>
      </c>
      <c r="H732">
        <v>0.73836819312830204</v>
      </c>
      <c r="I732">
        <v>6.4444673187797896</v>
      </c>
      <c r="J732">
        <v>52.482410974855398</v>
      </c>
      <c r="K732">
        <v>22.3828161750743</v>
      </c>
      <c r="L732" t="s">
        <v>19</v>
      </c>
      <c r="M732" t="s">
        <v>33</v>
      </c>
      <c r="N732">
        <v>30</v>
      </c>
      <c r="O732">
        <v>60.369326342313997</v>
      </c>
      <c r="P732">
        <v>9.2994586281899903</v>
      </c>
      <c r="Q732" t="s">
        <v>21</v>
      </c>
      <c r="R732">
        <v>730</v>
      </c>
      <c r="S732">
        <v>88.408757824966898</v>
      </c>
    </row>
    <row r="733" spans="1:19" x14ac:dyDescent="0.25">
      <c r="A733">
        <v>6126</v>
      </c>
      <c r="B733">
        <v>119.86409822861</v>
      </c>
      <c r="C733">
        <v>2.1702305258951702</v>
      </c>
      <c r="D733">
        <v>20</v>
      </c>
      <c r="E733">
        <v>34.016258524661801</v>
      </c>
      <c r="F733">
        <v>22.031365780921998</v>
      </c>
      <c r="G733">
        <v>0.34325866526967602</v>
      </c>
      <c r="H733">
        <v>0.85542380717583799</v>
      </c>
      <c r="I733">
        <v>6.52681664178131</v>
      </c>
      <c r="J733">
        <v>22.537148804231499</v>
      </c>
      <c r="K733">
        <v>88.456538525819894</v>
      </c>
      <c r="L733" t="s">
        <v>19</v>
      </c>
      <c r="M733" t="s">
        <v>32</v>
      </c>
      <c r="N733">
        <v>32</v>
      </c>
      <c r="O733">
        <v>63.729934866185999</v>
      </c>
      <c r="P733">
        <v>5.8418625753781601</v>
      </c>
      <c r="Q733" t="s">
        <v>21</v>
      </c>
      <c r="R733">
        <v>731</v>
      </c>
      <c r="S733">
        <v>67.307795941039302</v>
      </c>
    </row>
    <row r="734" spans="1:19" x14ac:dyDescent="0.25">
      <c r="A734">
        <v>6122</v>
      </c>
      <c r="B734">
        <v>106.56378666516299</v>
      </c>
      <c r="C734">
        <v>0.85020938153620096</v>
      </c>
      <c r="D734">
        <v>83.6413898012526</v>
      </c>
      <c r="E734">
        <v>32.861730920937298</v>
      </c>
      <c r="F734">
        <v>14.3423234237817</v>
      </c>
      <c r="G734">
        <v>1.8927146611019701</v>
      </c>
      <c r="H734">
        <v>0.48662530144169203</v>
      </c>
      <c r="I734">
        <v>5.7871962719317196</v>
      </c>
      <c r="J734">
        <v>95.0150281298517</v>
      </c>
      <c r="K734">
        <v>37.201841364045698</v>
      </c>
      <c r="L734" t="s">
        <v>34</v>
      </c>
      <c r="M734" t="s">
        <v>26</v>
      </c>
      <c r="N734">
        <v>27</v>
      </c>
      <c r="O734">
        <v>60.603267728441899</v>
      </c>
      <c r="P734">
        <v>15.7086352401395</v>
      </c>
      <c r="Q734" t="s">
        <v>29</v>
      </c>
      <c r="R734">
        <v>732</v>
      </c>
      <c r="S734">
        <v>64.472347842789006</v>
      </c>
    </row>
    <row r="735" spans="1:19" x14ac:dyDescent="0.25">
      <c r="A735">
        <v>2646</v>
      </c>
      <c r="B735">
        <v>165.026673039109</v>
      </c>
      <c r="C735">
        <v>1.91486620893958</v>
      </c>
      <c r="D735">
        <v>72.5235580732393</v>
      </c>
      <c r="E735">
        <v>32.538068533907897</v>
      </c>
      <c r="F735">
        <v>27.751336979491398</v>
      </c>
      <c r="G735">
        <v>0.66919948861178302</v>
      </c>
      <c r="H735">
        <v>0.726882453659627</v>
      </c>
      <c r="I735">
        <v>1.8266530350628001</v>
      </c>
      <c r="J735">
        <v>41.475366582508201</v>
      </c>
      <c r="K735">
        <v>80.316884285085393</v>
      </c>
      <c r="L735" t="s">
        <v>34</v>
      </c>
      <c r="M735" t="s">
        <v>30</v>
      </c>
      <c r="N735">
        <v>18</v>
      </c>
      <c r="O735">
        <v>66.255600210239393</v>
      </c>
      <c r="P735">
        <v>17.431705270297702</v>
      </c>
      <c r="Q735" t="s">
        <v>25</v>
      </c>
      <c r="R735">
        <v>733</v>
      </c>
      <c r="S735">
        <v>77.946331856140205</v>
      </c>
    </row>
    <row r="736" spans="1:19" x14ac:dyDescent="0.25">
      <c r="A736">
        <v>1918</v>
      </c>
      <c r="B736">
        <v>128.546403223157</v>
      </c>
      <c r="C736">
        <v>1.90569827724579</v>
      </c>
      <c r="D736">
        <v>65.550502064434696</v>
      </c>
      <c r="E736">
        <v>33.649090222273102</v>
      </c>
      <c r="F736">
        <v>20.973579902518701</v>
      </c>
      <c r="G736">
        <v>1.7360236956957</v>
      </c>
      <c r="H736">
        <v>0.72648579944552705</v>
      </c>
      <c r="I736">
        <v>5.0051681535281896</v>
      </c>
      <c r="J736">
        <v>103.447374346262</v>
      </c>
      <c r="K736">
        <v>15.3095366005952</v>
      </c>
      <c r="L736" t="s">
        <v>22</v>
      </c>
      <c r="M736" t="s">
        <v>23</v>
      </c>
      <c r="N736">
        <v>23</v>
      </c>
      <c r="O736">
        <v>52.056048302737402</v>
      </c>
      <c r="P736">
        <v>19.744807043568201</v>
      </c>
      <c r="Q736" t="s">
        <v>29</v>
      </c>
      <c r="R736">
        <v>734</v>
      </c>
      <c r="S736">
        <v>71.048994761036795</v>
      </c>
    </row>
    <row r="737" spans="1:19" x14ac:dyDescent="0.25">
      <c r="A737">
        <v>3797</v>
      </c>
      <c r="B737">
        <v>129.983339670899</v>
      </c>
      <c r="C737">
        <v>0.92586835562368996</v>
      </c>
      <c r="D737">
        <v>110.937243914391</v>
      </c>
      <c r="E737">
        <v>34.051403000629399</v>
      </c>
      <c r="F737">
        <v>27.592749721276601</v>
      </c>
      <c r="G737">
        <v>1.7542846108330701</v>
      </c>
      <c r="H737">
        <v>0.49030173023099699</v>
      </c>
      <c r="I737">
        <v>9.99554670737664</v>
      </c>
      <c r="J737">
        <v>62.0290260054255</v>
      </c>
      <c r="K737">
        <v>16.576860541470101</v>
      </c>
      <c r="L737" t="s">
        <v>34</v>
      </c>
      <c r="M737" t="s">
        <v>30</v>
      </c>
      <c r="N737">
        <v>26</v>
      </c>
      <c r="O737">
        <v>61.566393003004698</v>
      </c>
      <c r="P737">
        <v>19.107637463807901</v>
      </c>
      <c r="Q737" t="s">
        <v>25</v>
      </c>
      <c r="R737">
        <v>735</v>
      </c>
      <c r="S737">
        <v>84.821864638580195</v>
      </c>
    </row>
    <row r="738" spans="1:19" x14ac:dyDescent="0.25">
      <c r="A738">
        <v>7506</v>
      </c>
      <c r="B738">
        <v>161.56388283698101</v>
      </c>
      <c r="C738">
        <v>1.90938882187743</v>
      </c>
      <c r="D738">
        <v>56.501319624188902</v>
      </c>
      <c r="E738">
        <v>32.197985766183798</v>
      </c>
      <c r="F738">
        <v>19.367341564519698</v>
      </c>
      <c r="G738">
        <v>1.59054066517258</v>
      </c>
      <c r="H738">
        <v>0.46790496555190397</v>
      </c>
      <c r="I738">
        <v>8.5170636176141308</v>
      </c>
      <c r="J738">
        <v>77.707744263176494</v>
      </c>
      <c r="K738">
        <v>49.9403481522276</v>
      </c>
      <c r="L738" t="s">
        <v>22</v>
      </c>
      <c r="M738" t="s">
        <v>32</v>
      </c>
      <c r="N738">
        <v>27</v>
      </c>
      <c r="O738">
        <v>73.0377297036909</v>
      </c>
      <c r="P738">
        <v>14.7328293637116</v>
      </c>
      <c r="Q738" t="s">
        <v>29</v>
      </c>
      <c r="R738">
        <v>736</v>
      </c>
      <c r="S738">
        <v>93.820315092767402</v>
      </c>
    </row>
    <row r="739" spans="1:19" x14ac:dyDescent="0.25">
      <c r="A739">
        <v>6870</v>
      </c>
      <c r="B739">
        <v>146.12460018801301</v>
      </c>
      <c r="C739">
        <v>2.2689659592062701</v>
      </c>
      <c r="D739">
        <v>61.938480218699297</v>
      </c>
      <c r="E739">
        <v>32.926709194377104</v>
      </c>
      <c r="F739">
        <v>19.382120057967001</v>
      </c>
      <c r="G739">
        <v>0.50390049197462605</v>
      </c>
      <c r="H739">
        <v>0.93902856863706596</v>
      </c>
      <c r="I739">
        <v>9.0411314875040407</v>
      </c>
      <c r="J739">
        <v>107.2948730409</v>
      </c>
      <c r="K739">
        <v>32.903601295129697</v>
      </c>
      <c r="L739" t="s">
        <v>22</v>
      </c>
      <c r="M739" t="s">
        <v>33</v>
      </c>
      <c r="N739">
        <v>32</v>
      </c>
      <c r="O739">
        <v>58.196442749396297</v>
      </c>
      <c r="P739">
        <v>5.9362577650339503</v>
      </c>
      <c r="Q739" t="s">
        <v>21</v>
      </c>
      <c r="R739">
        <v>737</v>
      </c>
      <c r="S739">
        <v>89.866502244787995</v>
      </c>
    </row>
    <row r="740" spans="1:19" x14ac:dyDescent="0.25">
      <c r="A740">
        <v>2531</v>
      </c>
      <c r="B740">
        <v>144.117755441632</v>
      </c>
      <c r="C740">
        <v>0.93872759687779295</v>
      </c>
      <c r="D740">
        <v>109.831066044094</v>
      </c>
      <c r="E740">
        <v>31.72987123963</v>
      </c>
      <c r="F740">
        <v>18.179066066810702</v>
      </c>
      <c r="G740">
        <v>1.67924262665756</v>
      </c>
      <c r="H740">
        <v>0.61654554330917</v>
      </c>
      <c r="I740">
        <v>8.4090372332184895</v>
      </c>
      <c r="J740">
        <v>106.362300091995</v>
      </c>
      <c r="K740">
        <v>66.738096257697293</v>
      </c>
      <c r="L740" t="s">
        <v>19</v>
      </c>
      <c r="M740" t="s">
        <v>36</v>
      </c>
      <c r="N740">
        <v>26</v>
      </c>
      <c r="O740">
        <v>75.996047166397403</v>
      </c>
      <c r="P740">
        <v>17.050329819090202</v>
      </c>
      <c r="Q740" t="s">
        <v>24</v>
      </c>
      <c r="R740">
        <v>738</v>
      </c>
      <c r="S740">
        <v>87.683072425360805</v>
      </c>
    </row>
    <row r="741" spans="1:19" x14ac:dyDescent="0.25">
      <c r="A741">
        <v>9172</v>
      </c>
      <c r="B741">
        <v>178.30004689802101</v>
      </c>
      <c r="C741">
        <v>1.04124858949286</v>
      </c>
      <c r="D741">
        <v>53.358773903002799</v>
      </c>
      <c r="E741">
        <v>30.002326779008399</v>
      </c>
      <c r="F741">
        <v>26.380869658465301</v>
      </c>
      <c r="G741">
        <v>1.58465100663485</v>
      </c>
      <c r="H741">
        <v>0.52508195079794096</v>
      </c>
      <c r="I741">
        <v>1.92737524087884</v>
      </c>
      <c r="J741">
        <v>57.1519575243573</v>
      </c>
      <c r="K741">
        <v>57.417324417596497</v>
      </c>
      <c r="L741" t="s">
        <v>34</v>
      </c>
      <c r="M741" t="s">
        <v>32</v>
      </c>
      <c r="N741">
        <v>31</v>
      </c>
      <c r="O741">
        <v>74.986893853026103</v>
      </c>
      <c r="P741">
        <v>9.6860430248178595</v>
      </c>
      <c r="Q741" t="s">
        <v>25</v>
      </c>
      <c r="R741">
        <v>739</v>
      </c>
      <c r="S741">
        <v>85.024730925852893</v>
      </c>
    </row>
    <row r="742" spans="1:19" x14ac:dyDescent="0.25">
      <c r="A742">
        <v>4345</v>
      </c>
      <c r="B742">
        <v>122.12963539239701</v>
      </c>
      <c r="C742">
        <v>2.0088307334217501</v>
      </c>
      <c r="D742">
        <v>58.997694341269202</v>
      </c>
      <c r="E742">
        <v>33.240551557696399</v>
      </c>
      <c r="F742">
        <v>18.452844213357601</v>
      </c>
      <c r="G742">
        <v>1.27410138219119</v>
      </c>
      <c r="H742">
        <v>0.49422849944990599</v>
      </c>
      <c r="I742">
        <v>3.0470342865831901</v>
      </c>
      <c r="J742">
        <v>40.888889271484302</v>
      </c>
      <c r="K742">
        <v>20.8114348087868</v>
      </c>
      <c r="L742" t="s">
        <v>19</v>
      </c>
      <c r="M742" t="s">
        <v>26</v>
      </c>
      <c r="N742">
        <v>28</v>
      </c>
      <c r="O742">
        <v>75.656187390710798</v>
      </c>
      <c r="P742">
        <v>18.564449487030501</v>
      </c>
      <c r="Q742" t="s">
        <v>24</v>
      </c>
      <c r="R742">
        <v>740</v>
      </c>
      <c r="S742">
        <v>68.383039633964799</v>
      </c>
    </row>
    <row r="743" spans="1:19" x14ac:dyDescent="0.25">
      <c r="A743">
        <v>8673</v>
      </c>
      <c r="B743">
        <v>153.55680256162401</v>
      </c>
      <c r="C743">
        <v>1.6357476554128201</v>
      </c>
      <c r="D743">
        <v>67.059491531383003</v>
      </c>
      <c r="E743">
        <v>33.730686427505503</v>
      </c>
      <c r="F743">
        <v>25.2229771620758</v>
      </c>
      <c r="G743">
        <v>0.80696366330411495</v>
      </c>
      <c r="H743">
        <v>0.76718094247077895</v>
      </c>
      <c r="I743">
        <v>1.02809486220768</v>
      </c>
      <c r="J743">
        <v>97.514607772859407</v>
      </c>
      <c r="K743">
        <v>27.197122223678701</v>
      </c>
      <c r="L743" t="s">
        <v>19</v>
      </c>
      <c r="M743" t="s">
        <v>28</v>
      </c>
      <c r="N743">
        <v>24</v>
      </c>
      <c r="O743">
        <v>67.963814875932499</v>
      </c>
      <c r="P743">
        <v>9.1360597991187706</v>
      </c>
      <c r="Q743" t="s">
        <v>21</v>
      </c>
      <c r="R743">
        <v>741</v>
      </c>
      <c r="S743">
        <v>74.258336534496493</v>
      </c>
    </row>
    <row r="744" spans="1:19" x14ac:dyDescent="0.25">
      <c r="A744">
        <v>7949</v>
      </c>
      <c r="B744">
        <v>136.14026249794099</v>
      </c>
      <c r="C744">
        <v>1.7757381376197601</v>
      </c>
      <c r="D744">
        <v>86.814689642590906</v>
      </c>
      <c r="E744">
        <v>33.314480170903998</v>
      </c>
      <c r="F744">
        <v>20.087738011653499</v>
      </c>
      <c r="G744">
        <v>0.67251548767977898</v>
      </c>
      <c r="H744">
        <v>0.73519491353000299</v>
      </c>
      <c r="I744">
        <v>3.7315911239030002</v>
      </c>
      <c r="J744">
        <v>63.308020360213099</v>
      </c>
      <c r="K744">
        <v>44.103695254381002</v>
      </c>
      <c r="L744" t="s">
        <v>34</v>
      </c>
      <c r="M744" t="s">
        <v>20</v>
      </c>
      <c r="N744">
        <v>19</v>
      </c>
      <c r="O744">
        <v>67.244798419646301</v>
      </c>
      <c r="P744">
        <v>21.033680888500498</v>
      </c>
      <c r="Q744" t="s">
        <v>25</v>
      </c>
      <c r="R744">
        <v>742</v>
      </c>
      <c r="S744">
        <v>71.798314075741004</v>
      </c>
    </row>
    <row r="745" spans="1:19" x14ac:dyDescent="0.25">
      <c r="A745">
        <v>7882</v>
      </c>
      <c r="B745">
        <v>140.37184557726499</v>
      </c>
      <c r="C745">
        <v>1.6702946082002399</v>
      </c>
      <c r="D745">
        <v>74.156050147066196</v>
      </c>
      <c r="E745">
        <v>30.6605259386947</v>
      </c>
      <c r="F745">
        <v>12.1201835005419</v>
      </c>
      <c r="G745">
        <v>0.41940058174464601</v>
      </c>
      <c r="H745">
        <v>0.75395366764307903</v>
      </c>
      <c r="I745">
        <v>1.97746662111843</v>
      </c>
      <c r="J745">
        <v>39.2041993559004</v>
      </c>
      <c r="K745">
        <v>28.920304796657401</v>
      </c>
      <c r="L745" t="s">
        <v>34</v>
      </c>
      <c r="M745" t="s">
        <v>37</v>
      </c>
      <c r="N745">
        <v>31</v>
      </c>
      <c r="O745">
        <v>70.556874361530603</v>
      </c>
      <c r="P745">
        <v>31.3432953677396</v>
      </c>
      <c r="Q745" t="s">
        <v>24</v>
      </c>
      <c r="R745">
        <v>743</v>
      </c>
      <c r="S745">
        <v>72.217339443699899</v>
      </c>
    </row>
    <row r="746" spans="1:19" x14ac:dyDescent="0.25">
      <c r="A746">
        <v>2906</v>
      </c>
      <c r="B746">
        <v>165.56936852825001</v>
      </c>
      <c r="C746">
        <v>1.69534796046407</v>
      </c>
      <c r="D746">
        <v>44.147493056954701</v>
      </c>
      <c r="E746">
        <v>32.578980683908199</v>
      </c>
      <c r="F746">
        <v>19.148429661067599</v>
      </c>
      <c r="G746">
        <v>1.1175627204215599</v>
      </c>
      <c r="H746">
        <v>0.448403315131298</v>
      </c>
      <c r="I746">
        <v>5.2551401077142401</v>
      </c>
      <c r="J746">
        <v>110.442534231715</v>
      </c>
      <c r="K746">
        <v>74.416676043294601</v>
      </c>
      <c r="L746" t="s">
        <v>27</v>
      </c>
      <c r="M746" t="s">
        <v>23</v>
      </c>
      <c r="N746">
        <v>23</v>
      </c>
      <c r="O746">
        <v>78.562134880263301</v>
      </c>
      <c r="P746">
        <v>12.192225814635201</v>
      </c>
      <c r="Q746" t="s">
        <v>29</v>
      </c>
      <c r="R746">
        <v>744</v>
      </c>
      <c r="S746">
        <v>88.3119503131485</v>
      </c>
    </row>
    <row r="747" spans="1:19" x14ac:dyDescent="0.25">
      <c r="A747">
        <v>4086</v>
      </c>
      <c r="B747">
        <v>145.156715125792</v>
      </c>
      <c r="C747">
        <v>0.83676393584445796</v>
      </c>
      <c r="D747">
        <v>59.356628737456198</v>
      </c>
      <c r="E747">
        <v>30.337982687938698</v>
      </c>
      <c r="F747">
        <v>16.1044589281857</v>
      </c>
      <c r="G747">
        <v>1.2534695759177199</v>
      </c>
      <c r="H747">
        <v>0.89144402092413999</v>
      </c>
      <c r="I747">
        <v>7.0941473971651101</v>
      </c>
      <c r="J747">
        <v>39.810419424108701</v>
      </c>
      <c r="K747">
        <v>46.205267666495999</v>
      </c>
      <c r="L747" t="s">
        <v>22</v>
      </c>
      <c r="M747" t="s">
        <v>32</v>
      </c>
      <c r="N747">
        <v>22</v>
      </c>
      <c r="O747">
        <v>77.834216878880497</v>
      </c>
      <c r="P747">
        <v>7.8791619346167803</v>
      </c>
      <c r="Q747" t="s">
        <v>21</v>
      </c>
      <c r="R747">
        <v>745</v>
      </c>
      <c r="S747">
        <v>82.7289516725168</v>
      </c>
    </row>
    <row r="748" spans="1:19" x14ac:dyDescent="0.25">
      <c r="A748">
        <v>9152</v>
      </c>
      <c r="B748">
        <v>145.765921580992</v>
      </c>
      <c r="C748">
        <v>2.02365885331072</v>
      </c>
      <c r="D748">
        <v>57.852911335755699</v>
      </c>
      <c r="E748">
        <v>34.643641329185002</v>
      </c>
      <c r="F748">
        <v>22.1695136184116</v>
      </c>
      <c r="G748">
        <v>0.84681018292841603</v>
      </c>
      <c r="H748">
        <v>0.61409651824497602</v>
      </c>
      <c r="I748">
        <v>8.8705476553426905</v>
      </c>
      <c r="J748">
        <v>22.580716819123101</v>
      </c>
      <c r="K748">
        <v>22.007390013187401</v>
      </c>
      <c r="L748" t="s">
        <v>27</v>
      </c>
      <c r="M748" t="s">
        <v>28</v>
      </c>
      <c r="N748">
        <v>22</v>
      </c>
      <c r="O748">
        <v>54.702117824151202</v>
      </c>
      <c r="P748">
        <v>27.1560810374773</v>
      </c>
      <c r="Q748" t="s">
        <v>29</v>
      </c>
      <c r="R748">
        <v>746</v>
      </c>
      <c r="S748">
        <v>88.550418958857904</v>
      </c>
    </row>
    <row r="749" spans="1:19" x14ac:dyDescent="0.25">
      <c r="A749">
        <v>6750</v>
      </c>
      <c r="B749">
        <v>156.450146746196</v>
      </c>
      <c r="C749">
        <v>2.0847949962138799</v>
      </c>
      <c r="D749">
        <v>68.455579095539093</v>
      </c>
      <c r="E749">
        <v>31.696734501458199</v>
      </c>
      <c r="F749">
        <v>16.047961321627501</v>
      </c>
      <c r="G749">
        <v>1.0556463218255601</v>
      </c>
      <c r="H749">
        <v>0.57235317353669601</v>
      </c>
      <c r="I749">
        <v>7.7429544858180801</v>
      </c>
      <c r="J749">
        <v>22.027997376741901</v>
      </c>
      <c r="K749">
        <v>51.325717670409297</v>
      </c>
      <c r="L749" t="s">
        <v>22</v>
      </c>
      <c r="M749" t="s">
        <v>37</v>
      </c>
      <c r="N749">
        <v>36</v>
      </c>
      <c r="O749">
        <v>61.005562287443198</v>
      </c>
      <c r="P749">
        <v>32.136007020723298</v>
      </c>
      <c r="Q749" t="s">
        <v>29</v>
      </c>
      <c r="R749">
        <v>747</v>
      </c>
      <c r="S749">
        <v>93.036408394854902</v>
      </c>
    </row>
    <row r="750" spans="1:19" x14ac:dyDescent="0.25">
      <c r="A750">
        <v>9905</v>
      </c>
      <c r="B750">
        <v>127.70094540914199</v>
      </c>
      <c r="C750">
        <v>1.38530462796598</v>
      </c>
      <c r="D750">
        <v>78.516873172596505</v>
      </c>
      <c r="E750">
        <v>34.5064843313518</v>
      </c>
      <c r="F750">
        <v>26.629875503573</v>
      </c>
      <c r="G750">
        <v>0.85432602326467999</v>
      </c>
      <c r="H750">
        <v>0.65429879598625595</v>
      </c>
      <c r="I750">
        <v>9.4472703620065399</v>
      </c>
      <c r="J750">
        <v>82.231535645426405</v>
      </c>
      <c r="K750">
        <v>21.812863579605999</v>
      </c>
      <c r="L750" t="s">
        <v>22</v>
      </c>
      <c r="M750" t="s">
        <v>28</v>
      </c>
      <c r="N750">
        <v>36</v>
      </c>
      <c r="O750">
        <v>59.568483014485302</v>
      </c>
      <c r="P750">
        <v>8.0353545788905905</v>
      </c>
      <c r="Q750" t="s">
        <v>21</v>
      </c>
      <c r="R750">
        <v>748</v>
      </c>
      <c r="S750">
        <v>81.998713278921798</v>
      </c>
    </row>
    <row r="751" spans="1:19" x14ac:dyDescent="0.25">
      <c r="A751">
        <v>2062</v>
      </c>
      <c r="B751">
        <v>118.215806653219</v>
      </c>
      <c r="C751">
        <v>1.47826152509306</v>
      </c>
      <c r="D751">
        <v>78.364115117759397</v>
      </c>
      <c r="E751">
        <v>34.135043572420898</v>
      </c>
      <c r="F751">
        <v>21.544620698234802</v>
      </c>
      <c r="G751">
        <v>1.35381090317726</v>
      </c>
      <c r="H751">
        <v>0.61453633616119496</v>
      </c>
      <c r="I751">
        <v>1.48508461354409</v>
      </c>
      <c r="J751">
        <v>86.167506071752996</v>
      </c>
      <c r="K751">
        <v>24.670297906486201</v>
      </c>
      <c r="L751" t="s">
        <v>22</v>
      </c>
      <c r="M751" t="s">
        <v>30</v>
      </c>
      <c r="N751">
        <v>23</v>
      </c>
      <c r="O751">
        <v>73.814183826289494</v>
      </c>
      <c r="P751">
        <v>17.267739465918801</v>
      </c>
      <c r="Q751" t="s">
        <v>25</v>
      </c>
      <c r="R751">
        <v>749</v>
      </c>
      <c r="S751">
        <v>60.256598101710097</v>
      </c>
    </row>
    <row r="752" spans="1:19" x14ac:dyDescent="0.25">
      <c r="A752">
        <v>2976</v>
      </c>
      <c r="B752">
        <v>114.10381611957899</v>
      </c>
      <c r="C752">
        <v>0.73444624872213804</v>
      </c>
      <c r="D752">
        <v>34.479764919031901</v>
      </c>
      <c r="E752">
        <v>31.919291576956699</v>
      </c>
      <c r="F752">
        <v>21.112020026206299</v>
      </c>
      <c r="G752">
        <v>1.82226657403381</v>
      </c>
      <c r="H752">
        <v>0.87496735172652995</v>
      </c>
      <c r="I752">
        <v>1.1096185187488701</v>
      </c>
      <c r="J752">
        <v>51.104170505698299</v>
      </c>
      <c r="K752">
        <v>32.970737402115397</v>
      </c>
      <c r="L752" t="s">
        <v>19</v>
      </c>
      <c r="M752" t="s">
        <v>30</v>
      </c>
      <c r="N752">
        <v>27</v>
      </c>
      <c r="O752">
        <v>62.565718024284102</v>
      </c>
      <c r="P752">
        <v>21.894052333833901</v>
      </c>
      <c r="Q752" t="s">
        <v>31</v>
      </c>
      <c r="R752">
        <v>750</v>
      </c>
      <c r="S752">
        <v>57.810083548317202</v>
      </c>
    </row>
    <row r="753" spans="1:19" x14ac:dyDescent="0.25">
      <c r="A753">
        <v>2296</v>
      </c>
      <c r="B753">
        <v>95.672868212479898</v>
      </c>
      <c r="C753">
        <v>1.7571273780089101</v>
      </c>
      <c r="D753">
        <v>91.2788197512171</v>
      </c>
      <c r="E753">
        <v>31.640658058478699</v>
      </c>
      <c r="F753">
        <v>25.279460688937899</v>
      </c>
      <c r="G753">
        <v>0.49505647168450001</v>
      </c>
      <c r="H753">
        <v>0.91109353635884005</v>
      </c>
      <c r="I753">
        <v>6.9520430245259099</v>
      </c>
      <c r="J753">
        <v>52.001098924706298</v>
      </c>
      <c r="K753">
        <v>79.464577893561696</v>
      </c>
      <c r="L753" t="s">
        <v>19</v>
      </c>
      <c r="M753" t="s">
        <v>33</v>
      </c>
      <c r="N753">
        <v>31</v>
      </c>
      <c r="O753">
        <v>66.372874617066103</v>
      </c>
      <c r="P753">
        <v>15.9179464990294</v>
      </c>
      <c r="Q753" t="s">
        <v>31</v>
      </c>
      <c r="R753">
        <v>751</v>
      </c>
      <c r="S753">
        <v>60.482539964727998</v>
      </c>
    </row>
    <row r="754" spans="1:19" x14ac:dyDescent="0.25">
      <c r="A754">
        <v>7229</v>
      </c>
      <c r="B754">
        <v>176.124142598806</v>
      </c>
      <c r="C754">
        <v>1.78602872085707</v>
      </c>
      <c r="D754">
        <v>75.051376919932395</v>
      </c>
      <c r="E754">
        <v>33.420444259663597</v>
      </c>
      <c r="F754">
        <v>26.819534670379301</v>
      </c>
      <c r="G754">
        <v>0.88653585782562205</v>
      </c>
      <c r="H754">
        <v>0.56689926904728305</v>
      </c>
      <c r="I754">
        <v>3.60417169200021</v>
      </c>
      <c r="J754">
        <v>53.9493915059942</v>
      </c>
      <c r="K754">
        <v>84.345939924972896</v>
      </c>
      <c r="L754" t="s">
        <v>34</v>
      </c>
      <c r="M754" t="s">
        <v>35</v>
      </c>
      <c r="N754">
        <v>34</v>
      </c>
      <c r="O754">
        <v>81.663588396448802</v>
      </c>
      <c r="P754">
        <v>3.98710954155908</v>
      </c>
      <c r="Q754" t="s">
        <v>21</v>
      </c>
      <c r="R754">
        <v>752</v>
      </c>
      <c r="S754">
        <v>85.541056788420093</v>
      </c>
    </row>
    <row r="755" spans="1:19" x14ac:dyDescent="0.25">
      <c r="A755">
        <v>8641</v>
      </c>
      <c r="B755">
        <v>112.935832685566</v>
      </c>
      <c r="C755">
        <v>1.46890449150034</v>
      </c>
      <c r="D755">
        <v>97.690640951878095</v>
      </c>
      <c r="E755">
        <v>31.986811155380298</v>
      </c>
      <c r="F755">
        <v>21.899506241151698</v>
      </c>
      <c r="G755">
        <v>0.45356348711154998</v>
      </c>
      <c r="H755">
        <v>0.87516469410297504</v>
      </c>
      <c r="I755">
        <v>3.2815091449519498</v>
      </c>
      <c r="J755">
        <v>88.015854675887795</v>
      </c>
      <c r="K755">
        <v>76.969329699905103</v>
      </c>
      <c r="L755" t="s">
        <v>22</v>
      </c>
      <c r="M755" t="s">
        <v>20</v>
      </c>
      <c r="N755">
        <v>20</v>
      </c>
      <c r="O755">
        <v>76.967047858374102</v>
      </c>
      <c r="P755">
        <v>7.0167064795552401</v>
      </c>
      <c r="Q755" t="s">
        <v>31</v>
      </c>
      <c r="R755">
        <v>753</v>
      </c>
      <c r="S755">
        <v>55.935087647999602</v>
      </c>
    </row>
    <row r="756" spans="1:19" x14ac:dyDescent="0.25">
      <c r="A756">
        <v>1125</v>
      </c>
      <c r="B756">
        <v>130.57492752828401</v>
      </c>
      <c r="C756">
        <v>2.0621766799352499</v>
      </c>
      <c r="D756">
        <v>78.883966545813394</v>
      </c>
      <c r="E756">
        <v>33.122981570589801</v>
      </c>
      <c r="F756">
        <v>18.143998502253499</v>
      </c>
      <c r="G756">
        <v>1.32489878673409</v>
      </c>
      <c r="H756">
        <v>0.829837721243186</v>
      </c>
      <c r="I756">
        <v>3.9779837892441399</v>
      </c>
      <c r="J756">
        <v>25.813379102682799</v>
      </c>
      <c r="K756">
        <v>40.055791306338499</v>
      </c>
      <c r="L756" t="s">
        <v>22</v>
      </c>
      <c r="M756" t="s">
        <v>26</v>
      </c>
      <c r="N756">
        <v>18</v>
      </c>
      <c r="O756">
        <v>79.009591539639501</v>
      </c>
      <c r="P756">
        <v>7.8576543577699702</v>
      </c>
      <c r="Q756" t="s">
        <v>24</v>
      </c>
      <c r="R756">
        <v>754</v>
      </c>
      <c r="S756">
        <v>66.949124241054406</v>
      </c>
    </row>
    <row r="757" spans="1:19" x14ac:dyDescent="0.25">
      <c r="A757">
        <v>5632</v>
      </c>
      <c r="B757">
        <v>129.463734002221</v>
      </c>
      <c r="C757">
        <v>1.3329613845100201</v>
      </c>
      <c r="D757">
        <v>92.026459154715198</v>
      </c>
      <c r="E757">
        <v>32.420606891031603</v>
      </c>
      <c r="F757">
        <v>13.130151919439299</v>
      </c>
      <c r="G757">
        <v>1.5119669170794701</v>
      </c>
      <c r="H757">
        <v>0.91194421978961804</v>
      </c>
      <c r="I757">
        <v>3.4281645210312699</v>
      </c>
      <c r="J757">
        <v>112.91163526913201</v>
      </c>
      <c r="K757">
        <v>35.433483083162301</v>
      </c>
      <c r="L757" t="s">
        <v>22</v>
      </c>
      <c r="M757" t="s">
        <v>26</v>
      </c>
      <c r="N757">
        <v>27</v>
      </c>
      <c r="O757">
        <v>62.264367686240298</v>
      </c>
      <c r="P757">
        <v>9.6791671822230807</v>
      </c>
      <c r="Q757" t="s">
        <v>25</v>
      </c>
      <c r="R757">
        <v>755</v>
      </c>
      <c r="S757">
        <v>66.108018826465099</v>
      </c>
    </row>
    <row r="758" spans="1:19" x14ac:dyDescent="0.25">
      <c r="A758">
        <v>7288</v>
      </c>
      <c r="B758">
        <v>141.14813395618199</v>
      </c>
      <c r="C758">
        <v>1.7823029629467999</v>
      </c>
      <c r="D758">
        <v>79.330906229002494</v>
      </c>
      <c r="E758">
        <v>30.8626099026412</v>
      </c>
      <c r="F758">
        <v>18.569751214824102</v>
      </c>
      <c r="G758">
        <v>1.87744291867542</v>
      </c>
      <c r="H758">
        <v>0.53516267170223797</v>
      </c>
      <c r="I758">
        <v>5.6029276567142796</v>
      </c>
      <c r="J758">
        <v>42.252104417744597</v>
      </c>
      <c r="K758">
        <v>56.186676809267901</v>
      </c>
      <c r="L758" t="s">
        <v>19</v>
      </c>
      <c r="M758" t="s">
        <v>33</v>
      </c>
      <c r="N758">
        <v>20</v>
      </c>
      <c r="O758">
        <v>48</v>
      </c>
      <c r="P758">
        <v>18.694809962059502</v>
      </c>
      <c r="Q758" t="s">
        <v>29</v>
      </c>
      <c r="R758">
        <v>756</v>
      </c>
      <c r="S758">
        <v>83.636543378528302</v>
      </c>
    </row>
    <row r="759" spans="1:19" x14ac:dyDescent="0.25">
      <c r="A759">
        <v>4596</v>
      </c>
      <c r="B759">
        <v>151.314744250785</v>
      </c>
      <c r="C759">
        <v>0.99016783065394198</v>
      </c>
      <c r="D759">
        <v>96.924515124054906</v>
      </c>
      <c r="E759">
        <v>30.3234383770506</v>
      </c>
      <c r="F759">
        <v>18.913938766760101</v>
      </c>
      <c r="G759">
        <v>0.70196946726973697</v>
      </c>
      <c r="H759">
        <v>0.71732753256653803</v>
      </c>
      <c r="I759">
        <v>4.9613360250171903</v>
      </c>
      <c r="J759">
        <v>119.967320524209</v>
      </c>
      <c r="K759">
        <v>69.138987039983405</v>
      </c>
      <c r="L759" t="s">
        <v>34</v>
      </c>
      <c r="M759" t="s">
        <v>30</v>
      </c>
      <c r="N759">
        <v>22</v>
      </c>
      <c r="O759">
        <v>64.835802387087597</v>
      </c>
      <c r="P759">
        <v>26.781838729873002</v>
      </c>
      <c r="Q759" t="s">
        <v>29</v>
      </c>
      <c r="R759">
        <v>757</v>
      </c>
      <c r="S759">
        <v>86.2724298010924</v>
      </c>
    </row>
    <row r="760" spans="1:19" x14ac:dyDescent="0.25">
      <c r="A760">
        <v>7168</v>
      </c>
      <c r="B760">
        <v>152.20946976719401</v>
      </c>
      <c r="C760">
        <v>1.4882239245628801</v>
      </c>
      <c r="D760">
        <v>80.445012720355507</v>
      </c>
      <c r="E760">
        <v>33.272021098193498</v>
      </c>
      <c r="F760">
        <v>22.535287264961401</v>
      </c>
      <c r="G760">
        <v>1.9103801705577701</v>
      </c>
      <c r="H760">
        <v>0.55099952160724397</v>
      </c>
      <c r="I760">
        <v>5.6118569623898997</v>
      </c>
      <c r="J760">
        <v>37.152269378718699</v>
      </c>
      <c r="K760">
        <v>89.502959112013102</v>
      </c>
      <c r="L760" t="s">
        <v>19</v>
      </c>
      <c r="M760" t="s">
        <v>33</v>
      </c>
      <c r="N760">
        <v>36</v>
      </c>
      <c r="O760">
        <v>56.480409251769501</v>
      </c>
      <c r="P760">
        <v>7.1403109149537203</v>
      </c>
      <c r="Q760" t="s">
        <v>21</v>
      </c>
      <c r="R760">
        <v>758</v>
      </c>
      <c r="S760">
        <v>80.363702495927896</v>
      </c>
    </row>
    <row r="761" spans="1:19" x14ac:dyDescent="0.25">
      <c r="A761">
        <v>8561</v>
      </c>
      <c r="B761">
        <v>123.338451228621</v>
      </c>
      <c r="C761">
        <v>1.41282287104858</v>
      </c>
      <c r="D761">
        <v>68.041695071141902</v>
      </c>
      <c r="E761">
        <v>32.326130704403198</v>
      </c>
      <c r="F761">
        <v>20.274265594309799</v>
      </c>
      <c r="G761">
        <v>0.313872809277214</v>
      </c>
      <c r="H761">
        <v>0.85325196976640505</v>
      </c>
      <c r="I761">
        <v>7.0544225035039201</v>
      </c>
      <c r="J761">
        <v>97.154645731237693</v>
      </c>
      <c r="K761">
        <v>24.867803390919399</v>
      </c>
      <c r="L761" t="s">
        <v>27</v>
      </c>
      <c r="M761" t="s">
        <v>36</v>
      </c>
      <c r="N761">
        <v>27</v>
      </c>
      <c r="O761">
        <v>52.447604562965999</v>
      </c>
      <c r="P761">
        <v>11.712715248635099</v>
      </c>
      <c r="Q761" t="s">
        <v>29</v>
      </c>
      <c r="R761">
        <v>759</v>
      </c>
      <c r="S761">
        <v>74.200512100426195</v>
      </c>
    </row>
    <row r="762" spans="1:19" x14ac:dyDescent="0.25">
      <c r="A762">
        <v>9258</v>
      </c>
      <c r="B762">
        <v>131.657565724271</v>
      </c>
      <c r="C762">
        <v>1.61265396102047</v>
      </c>
      <c r="D762">
        <v>115.448694408937</v>
      </c>
      <c r="E762">
        <v>32.336292219702997</v>
      </c>
      <c r="F762">
        <v>25.4396648602571</v>
      </c>
      <c r="G762">
        <v>1.2854249540562499</v>
      </c>
      <c r="H762">
        <v>0.40292830481408498</v>
      </c>
      <c r="I762">
        <v>4.4841745807403299</v>
      </c>
      <c r="J762">
        <v>42.341254492962499</v>
      </c>
      <c r="K762">
        <v>18.696899926785299</v>
      </c>
      <c r="L762" t="s">
        <v>27</v>
      </c>
      <c r="M762" t="s">
        <v>32</v>
      </c>
      <c r="N762">
        <v>33</v>
      </c>
      <c r="O762">
        <v>77.029382615786105</v>
      </c>
      <c r="P762">
        <v>9.1203149143396995</v>
      </c>
      <c r="Q762" t="s">
        <v>24</v>
      </c>
      <c r="R762">
        <v>760</v>
      </c>
      <c r="S762">
        <v>70.4864560073663</v>
      </c>
    </row>
    <row r="763" spans="1:19" x14ac:dyDescent="0.25">
      <c r="A763">
        <v>1232</v>
      </c>
      <c r="B763">
        <v>140.65159900976599</v>
      </c>
      <c r="C763">
        <v>1.31523653558332</v>
      </c>
      <c r="D763">
        <v>87.780742445597795</v>
      </c>
      <c r="E763">
        <v>33.835036606912503</v>
      </c>
      <c r="F763">
        <v>18.9350836436465</v>
      </c>
      <c r="G763">
        <v>0.30283889481799398</v>
      </c>
      <c r="H763">
        <v>0.71065053958751701</v>
      </c>
      <c r="I763">
        <v>3.2617691842794101</v>
      </c>
      <c r="J763">
        <v>28.084680164325398</v>
      </c>
      <c r="K763">
        <v>67.076691674645303</v>
      </c>
      <c r="L763" t="s">
        <v>27</v>
      </c>
      <c r="M763" t="s">
        <v>32</v>
      </c>
      <c r="N763">
        <v>18</v>
      </c>
      <c r="O763">
        <v>60.865210298178198</v>
      </c>
      <c r="P763">
        <v>20.307311588475802</v>
      </c>
      <c r="Q763" t="s">
        <v>24</v>
      </c>
      <c r="R763">
        <v>761</v>
      </c>
      <c r="S763">
        <v>74.008532404946706</v>
      </c>
    </row>
    <row r="764" spans="1:19" x14ac:dyDescent="0.25">
      <c r="A764">
        <v>7371</v>
      </c>
      <c r="B764">
        <v>130.026177476329</v>
      </c>
      <c r="C764">
        <v>1.43426370216416</v>
      </c>
      <c r="D764">
        <v>81.474888420088206</v>
      </c>
      <c r="E764">
        <v>34.408130731958899</v>
      </c>
      <c r="F764">
        <v>21.714794165735199</v>
      </c>
      <c r="G764">
        <v>1.8087935379715001</v>
      </c>
      <c r="H764">
        <v>0.58656188719955404</v>
      </c>
      <c r="I764">
        <v>2.4958048312786998</v>
      </c>
      <c r="J764">
        <v>107.493332435064</v>
      </c>
      <c r="K764">
        <v>77.416933762792894</v>
      </c>
      <c r="L764" t="s">
        <v>34</v>
      </c>
      <c r="M764" t="s">
        <v>23</v>
      </c>
      <c r="N764">
        <v>23</v>
      </c>
      <c r="O764">
        <v>61.547500801717597</v>
      </c>
      <c r="P764">
        <v>11.4246067044661</v>
      </c>
      <c r="Q764" t="s">
        <v>21</v>
      </c>
      <c r="R764">
        <v>762</v>
      </c>
      <c r="S764">
        <v>64.157920488138402</v>
      </c>
    </row>
    <row r="765" spans="1:19" x14ac:dyDescent="0.25">
      <c r="A765">
        <v>5206</v>
      </c>
      <c r="B765">
        <v>167.14691152039899</v>
      </c>
      <c r="C765">
        <v>1.91302358572075</v>
      </c>
      <c r="D765">
        <v>44.473911669233203</v>
      </c>
      <c r="E765">
        <v>32.672946334365797</v>
      </c>
      <c r="F765">
        <v>27.919937215984401</v>
      </c>
      <c r="G765">
        <v>1.15365630272609</v>
      </c>
      <c r="H765">
        <v>0.57747603889280097</v>
      </c>
      <c r="I765">
        <v>4.1452670757936296</v>
      </c>
      <c r="J765">
        <v>105.875125919089</v>
      </c>
      <c r="K765">
        <v>78.4761584899817</v>
      </c>
      <c r="L765" t="s">
        <v>27</v>
      </c>
      <c r="M765" t="s">
        <v>30</v>
      </c>
      <c r="N765">
        <v>26</v>
      </c>
      <c r="O765">
        <v>65.073889493470105</v>
      </c>
      <c r="P765">
        <v>9.9142353321872001</v>
      </c>
      <c r="Q765" t="s">
        <v>29</v>
      </c>
      <c r="R765">
        <v>763</v>
      </c>
      <c r="S765">
        <v>92.824592557895201</v>
      </c>
    </row>
    <row r="766" spans="1:19" x14ac:dyDescent="0.25">
      <c r="A766">
        <v>8943</v>
      </c>
      <c r="B766">
        <v>144.81949903276501</v>
      </c>
      <c r="C766">
        <v>1.2816178813808901</v>
      </c>
      <c r="D766">
        <v>44.233847650729203</v>
      </c>
      <c r="E766">
        <v>32.5912815517081</v>
      </c>
      <c r="F766">
        <v>23.709126069774801</v>
      </c>
      <c r="G766">
        <v>1.40482703137303</v>
      </c>
      <c r="H766">
        <v>0.75469847812570401</v>
      </c>
      <c r="I766">
        <v>7.6762582772155401</v>
      </c>
      <c r="J766">
        <v>60.357039244960099</v>
      </c>
      <c r="K766">
        <v>65.884766180786997</v>
      </c>
      <c r="L766" t="s">
        <v>34</v>
      </c>
      <c r="M766" t="s">
        <v>35</v>
      </c>
      <c r="N766">
        <v>22</v>
      </c>
      <c r="O766">
        <v>81.171955832310701</v>
      </c>
      <c r="P766">
        <v>5.2235072422270203</v>
      </c>
      <c r="Q766" t="s">
        <v>31</v>
      </c>
      <c r="R766">
        <v>764</v>
      </c>
      <c r="S766">
        <v>88.661348178262202</v>
      </c>
    </row>
    <row r="767" spans="1:19" x14ac:dyDescent="0.25">
      <c r="A767">
        <v>7891</v>
      </c>
      <c r="B767">
        <v>149.69755572099601</v>
      </c>
      <c r="C767">
        <v>0.69671144963066001</v>
      </c>
      <c r="D767">
        <v>75.854309642836995</v>
      </c>
      <c r="E767">
        <v>33.600171639736601</v>
      </c>
      <c r="F767">
        <v>21.699812291557102</v>
      </c>
      <c r="G767">
        <v>1.6968330666388101</v>
      </c>
      <c r="H767">
        <v>0.86831644712269596</v>
      </c>
      <c r="I767">
        <v>7.8103441910032201</v>
      </c>
      <c r="J767">
        <v>90.239614254042607</v>
      </c>
      <c r="K767">
        <v>86.551185308938997</v>
      </c>
      <c r="L767" t="s">
        <v>19</v>
      </c>
      <c r="M767" t="s">
        <v>36</v>
      </c>
      <c r="N767">
        <v>31</v>
      </c>
      <c r="O767">
        <v>66.707085914334698</v>
      </c>
      <c r="P767">
        <v>28.8777264727714</v>
      </c>
      <c r="Q767" t="s">
        <v>31</v>
      </c>
      <c r="R767">
        <v>765</v>
      </c>
      <c r="S767">
        <v>87.343145360137896</v>
      </c>
    </row>
    <row r="768" spans="1:19" x14ac:dyDescent="0.25">
      <c r="A768">
        <v>7738</v>
      </c>
      <c r="B768">
        <v>148.25762537334799</v>
      </c>
      <c r="C768">
        <v>2.3747919521027101</v>
      </c>
      <c r="D768">
        <v>72.910423955364806</v>
      </c>
      <c r="E768">
        <v>31.3716773163605</v>
      </c>
      <c r="F768">
        <v>18.9902777903241</v>
      </c>
      <c r="G768">
        <v>0.47055912047114301</v>
      </c>
      <c r="H768">
        <v>0.73505746526632898</v>
      </c>
      <c r="I768">
        <v>7.0021484801578904</v>
      </c>
      <c r="J768">
        <v>75.7065932683917</v>
      </c>
      <c r="K768">
        <v>53.325357265843998</v>
      </c>
      <c r="L768" t="s">
        <v>19</v>
      </c>
      <c r="M768" t="s">
        <v>36</v>
      </c>
      <c r="N768">
        <v>27</v>
      </c>
      <c r="O768">
        <v>75.612716689836702</v>
      </c>
      <c r="P768">
        <v>35.516497402248497</v>
      </c>
      <c r="Q768" t="s">
        <v>25</v>
      </c>
      <c r="R768">
        <v>766</v>
      </c>
      <c r="S768">
        <v>85.306088301087399</v>
      </c>
    </row>
    <row r="769" spans="1:19" x14ac:dyDescent="0.25">
      <c r="A769">
        <v>3472</v>
      </c>
      <c r="B769">
        <v>158.46947714970599</v>
      </c>
      <c r="C769">
        <v>2.1907270393452398</v>
      </c>
      <c r="D769">
        <v>57.7175486998336</v>
      </c>
      <c r="E769">
        <v>33.267783665697202</v>
      </c>
      <c r="F769">
        <v>18.833843016425099</v>
      </c>
      <c r="G769">
        <v>0.26946481148863999</v>
      </c>
      <c r="H769">
        <v>0.86924513825569705</v>
      </c>
      <c r="I769">
        <v>3.1062535777618701</v>
      </c>
      <c r="J769">
        <v>105.29561136737399</v>
      </c>
      <c r="K769">
        <v>83.536109875215899</v>
      </c>
      <c r="L769" t="s">
        <v>34</v>
      </c>
      <c r="M769" t="s">
        <v>30</v>
      </c>
      <c r="N769">
        <v>19</v>
      </c>
      <c r="O769">
        <v>65.477232741547795</v>
      </c>
      <c r="P769">
        <v>18.673386936228098</v>
      </c>
      <c r="Q769" t="s">
        <v>21</v>
      </c>
      <c r="R769">
        <v>767</v>
      </c>
      <c r="S769">
        <v>83.819465032859796</v>
      </c>
    </row>
    <row r="770" spans="1:19" x14ac:dyDescent="0.25">
      <c r="A770">
        <v>3739</v>
      </c>
      <c r="B770">
        <v>138.62043117407401</v>
      </c>
      <c r="C770">
        <v>0.85386865244719001</v>
      </c>
      <c r="D770">
        <v>72.8196539922412</v>
      </c>
      <c r="E770">
        <v>33.662263166186499</v>
      </c>
      <c r="F770">
        <v>17.746933735240201</v>
      </c>
      <c r="G770">
        <v>1.7819860626431301</v>
      </c>
      <c r="H770">
        <v>0.54552841153456599</v>
      </c>
      <c r="I770">
        <v>6.2927762126922797</v>
      </c>
      <c r="J770">
        <v>51.505596931865398</v>
      </c>
      <c r="K770">
        <v>87.585910274364196</v>
      </c>
      <c r="L770" t="s">
        <v>19</v>
      </c>
      <c r="M770" t="s">
        <v>32</v>
      </c>
      <c r="N770">
        <v>22</v>
      </c>
      <c r="O770">
        <v>55.356304949091701</v>
      </c>
      <c r="P770">
        <v>29.884762583717102</v>
      </c>
      <c r="Q770" t="s">
        <v>25</v>
      </c>
      <c r="R770">
        <v>768</v>
      </c>
      <c r="S770">
        <v>76.436626245793306</v>
      </c>
    </row>
    <row r="771" spans="1:19" x14ac:dyDescent="0.25">
      <c r="A771">
        <v>6401</v>
      </c>
      <c r="B771">
        <v>109.063361040883</v>
      </c>
      <c r="C771">
        <v>1.8448539026225901</v>
      </c>
      <c r="D771">
        <v>101.772538560871</v>
      </c>
      <c r="E771">
        <v>33.816276250101097</v>
      </c>
      <c r="F771">
        <v>19.2949656710855</v>
      </c>
      <c r="G771">
        <v>0.76687980942607803</v>
      </c>
      <c r="H771">
        <v>0.68572602012073902</v>
      </c>
      <c r="I771">
        <v>6.1362069541916302</v>
      </c>
      <c r="J771">
        <v>72.367239999898501</v>
      </c>
      <c r="K771">
        <v>78.536809275232997</v>
      </c>
      <c r="L771" t="s">
        <v>19</v>
      </c>
      <c r="M771" t="s">
        <v>37</v>
      </c>
      <c r="N771">
        <v>18</v>
      </c>
      <c r="O771">
        <v>58.481311534720803</v>
      </c>
      <c r="P771">
        <v>13.4647106179936</v>
      </c>
      <c r="Q771" t="s">
        <v>31</v>
      </c>
      <c r="R771">
        <v>769</v>
      </c>
      <c r="S771">
        <v>67.285232986873098</v>
      </c>
    </row>
    <row r="772" spans="1:19" x14ac:dyDescent="0.25">
      <c r="A772">
        <v>2761</v>
      </c>
      <c r="B772">
        <v>142.99375903505199</v>
      </c>
      <c r="C772">
        <v>1.24851261472432</v>
      </c>
      <c r="D772">
        <v>83.908049491005897</v>
      </c>
      <c r="E772">
        <v>30.675896756996998</v>
      </c>
      <c r="F772">
        <v>25.7783291937215</v>
      </c>
      <c r="G772">
        <v>0.43216203426889699</v>
      </c>
      <c r="H772">
        <v>0.64779509648689104</v>
      </c>
      <c r="I772">
        <v>5.3583957829875297</v>
      </c>
      <c r="J772">
        <v>68.537237120455003</v>
      </c>
      <c r="K772">
        <v>38.231892244396498</v>
      </c>
      <c r="L772" t="s">
        <v>34</v>
      </c>
      <c r="M772" t="s">
        <v>32</v>
      </c>
      <c r="N772">
        <v>27</v>
      </c>
      <c r="O772">
        <v>67.969707469053006</v>
      </c>
      <c r="P772">
        <v>17.9928229622688</v>
      </c>
      <c r="Q772" t="s">
        <v>31</v>
      </c>
      <c r="R772">
        <v>770</v>
      </c>
      <c r="S772">
        <v>79.045752763611503</v>
      </c>
    </row>
    <row r="773" spans="1:19" x14ac:dyDescent="0.25">
      <c r="A773">
        <v>1876</v>
      </c>
      <c r="B773">
        <v>121.972862124163</v>
      </c>
      <c r="C773">
        <v>1.6317436076655201</v>
      </c>
      <c r="D773">
        <v>47.1798298049452</v>
      </c>
      <c r="E773">
        <v>32.086373676229201</v>
      </c>
      <c r="F773">
        <v>20.890558643538601</v>
      </c>
      <c r="G773">
        <v>1.0432302267567499</v>
      </c>
      <c r="H773">
        <v>0.40640469472670199</v>
      </c>
      <c r="I773">
        <v>5.9498108774547704</v>
      </c>
      <c r="J773">
        <v>55.390582625685802</v>
      </c>
      <c r="K773">
        <v>29.7161738377721</v>
      </c>
      <c r="L773" t="s">
        <v>27</v>
      </c>
      <c r="M773" t="s">
        <v>23</v>
      </c>
      <c r="N773">
        <v>39</v>
      </c>
      <c r="O773">
        <v>68.861084492024105</v>
      </c>
      <c r="P773">
        <v>23.210185585810201</v>
      </c>
      <c r="Q773" t="s">
        <v>31</v>
      </c>
      <c r="R773">
        <v>771</v>
      </c>
      <c r="S773">
        <v>66.949825260881497</v>
      </c>
    </row>
    <row r="774" spans="1:19" x14ac:dyDescent="0.25">
      <c r="A774">
        <v>4812</v>
      </c>
      <c r="B774">
        <v>124.427666365004</v>
      </c>
      <c r="C774">
        <v>1.6471120645067401</v>
      </c>
      <c r="D774">
        <v>67.769823457141101</v>
      </c>
      <c r="E774">
        <v>31.946084096611798</v>
      </c>
      <c r="F774">
        <v>15.2511346530938</v>
      </c>
      <c r="G774">
        <v>1.27695093625283</v>
      </c>
      <c r="H774">
        <v>0.70624667872740698</v>
      </c>
      <c r="I774">
        <v>5.4261156936130099</v>
      </c>
      <c r="J774">
        <v>109.145506455637</v>
      </c>
      <c r="K774">
        <v>56.109004873636302</v>
      </c>
      <c r="L774" t="s">
        <v>34</v>
      </c>
      <c r="M774" t="s">
        <v>23</v>
      </c>
      <c r="N774">
        <v>26</v>
      </c>
      <c r="O774">
        <v>72.341679449962996</v>
      </c>
      <c r="P774">
        <v>11.9858604791771</v>
      </c>
      <c r="Q774" t="s">
        <v>25</v>
      </c>
      <c r="R774">
        <v>772</v>
      </c>
      <c r="S774">
        <v>69.407029728218305</v>
      </c>
    </row>
    <row r="775" spans="1:19" x14ac:dyDescent="0.25">
      <c r="A775">
        <v>2460</v>
      </c>
      <c r="B775">
        <v>146.727280375101</v>
      </c>
      <c r="C775">
        <v>1.3827960998418301</v>
      </c>
      <c r="D775">
        <v>53.900670382948697</v>
      </c>
      <c r="E775">
        <v>33.119864345290999</v>
      </c>
      <c r="F775">
        <v>30.840846465298899</v>
      </c>
      <c r="G775">
        <v>0.255747086160518</v>
      </c>
      <c r="H775">
        <v>0.76383837828039602</v>
      </c>
      <c r="I775">
        <v>6.0891072946669702</v>
      </c>
      <c r="J775">
        <v>36.587792466253497</v>
      </c>
      <c r="K775">
        <v>48.976106278514102</v>
      </c>
      <c r="L775" t="s">
        <v>22</v>
      </c>
      <c r="M775" t="s">
        <v>30</v>
      </c>
      <c r="N775">
        <v>20</v>
      </c>
      <c r="O775">
        <v>72.344998525600005</v>
      </c>
      <c r="P775">
        <v>16.724389136519001</v>
      </c>
      <c r="Q775" t="s">
        <v>21</v>
      </c>
      <c r="R775">
        <v>773</v>
      </c>
      <c r="S775">
        <v>79.877815753413898</v>
      </c>
    </row>
    <row r="776" spans="1:19" x14ac:dyDescent="0.25">
      <c r="A776">
        <v>2733</v>
      </c>
      <c r="B776">
        <v>159.76566142867199</v>
      </c>
      <c r="C776">
        <v>1.1081171672068</v>
      </c>
      <c r="D776">
        <v>62.246001671828701</v>
      </c>
      <c r="E776">
        <v>33.5768934957215</v>
      </c>
      <c r="F776">
        <v>23.599825955725802</v>
      </c>
      <c r="G776">
        <v>0.69481218486275798</v>
      </c>
      <c r="H776">
        <v>0.72555292243048797</v>
      </c>
      <c r="I776">
        <v>7.4395535915901503</v>
      </c>
      <c r="J776">
        <v>34.950863952069597</v>
      </c>
      <c r="K776">
        <v>80.831875664454898</v>
      </c>
      <c r="L776" t="s">
        <v>19</v>
      </c>
      <c r="M776" t="s">
        <v>20</v>
      </c>
      <c r="N776">
        <v>32</v>
      </c>
      <c r="O776">
        <v>75.201301867555799</v>
      </c>
      <c r="P776">
        <v>15.7369240055249</v>
      </c>
      <c r="Q776" t="s">
        <v>24</v>
      </c>
      <c r="R776">
        <v>774</v>
      </c>
      <c r="S776">
        <v>90.967772309289103</v>
      </c>
    </row>
    <row r="777" spans="1:19" x14ac:dyDescent="0.25">
      <c r="A777">
        <v>2605</v>
      </c>
      <c r="B777">
        <v>135.42543153472101</v>
      </c>
      <c r="C777">
        <v>1.1547294738418701</v>
      </c>
      <c r="D777">
        <v>61.7276866874071</v>
      </c>
      <c r="E777">
        <v>34.796052488935103</v>
      </c>
      <c r="F777">
        <v>14.9652829974341</v>
      </c>
      <c r="G777">
        <v>0.25903977369841202</v>
      </c>
      <c r="H777">
        <v>0.80495394433088097</v>
      </c>
      <c r="I777">
        <v>1.98665374963095</v>
      </c>
      <c r="J777">
        <v>77.690953532275103</v>
      </c>
      <c r="K777">
        <v>22.5023753300365</v>
      </c>
      <c r="L777" t="s">
        <v>34</v>
      </c>
      <c r="M777" t="s">
        <v>20</v>
      </c>
      <c r="N777">
        <v>21</v>
      </c>
      <c r="O777">
        <v>61.846783963572797</v>
      </c>
      <c r="P777">
        <v>21.501908576374301</v>
      </c>
      <c r="Q777" t="s">
        <v>24</v>
      </c>
      <c r="R777">
        <v>775</v>
      </c>
      <c r="S777">
        <v>68.411249187487201</v>
      </c>
    </row>
    <row r="778" spans="1:19" x14ac:dyDescent="0.25">
      <c r="A778">
        <v>6622</v>
      </c>
      <c r="B778">
        <v>141.176660251979</v>
      </c>
      <c r="C778">
        <v>1.0419040422593699</v>
      </c>
      <c r="D778">
        <v>60.447088347919802</v>
      </c>
      <c r="E778">
        <v>32.4060414235583</v>
      </c>
      <c r="F778">
        <v>19.7907553637958</v>
      </c>
      <c r="G778">
        <v>0.95660370055189803</v>
      </c>
      <c r="H778">
        <v>0.71423674064919196</v>
      </c>
      <c r="I778">
        <v>7.7466317693412101</v>
      </c>
      <c r="J778">
        <v>85.749422998494197</v>
      </c>
      <c r="K778">
        <v>34.330504598363802</v>
      </c>
      <c r="L778" t="s">
        <v>19</v>
      </c>
      <c r="M778" t="s">
        <v>35</v>
      </c>
      <c r="N778">
        <v>30</v>
      </c>
      <c r="O778">
        <v>82.6177498057625</v>
      </c>
      <c r="P778">
        <v>18.496502917588899</v>
      </c>
      <c r="Q778" t="s">
        <v>31</v>
      </c>
      <c r="R778">
        <v>776</v>
      </c>
      <c r="S778">
        <v>79.062293744084698</v>
      </c>
    </row>
    <row r="779" spans="1:19" x14ac:dyDescent="0.25">
      <c r="A779">
        <v>7767</v>
      </c>
      <c r="B779">
        <v>169.04429889270401</v>
      </c>
      <c r="C779">
        <v>1.0840888958847701</v>
      </c>
      <c r="D779">
        <v>44.897292560532101</v>
      </c>
      <c r="E779">
        <v>32.402913002028903</v>
      </c>
      <c r="F779">
        <v>22.554431914142</v>
      </c>
      <c r="G779">
        <v>1.8111800523192301</v>
      </c>
      <c r="H779">
        <v>0.436712640167916</v>
      </c>
      <c r="I779">
        <v>2.2229753511483401</v>
      </c>
      <c r="J779">
        <v>39.461925432456503</v>
      </c>
      <c r="K779">
        <v>71.384920838903099</v>
      </c>
      <c r="L779" t="s">
        <v>27</v>
      </c>
      <c r="M779" t="s">
        <v>20</v>
      </c>
      <c r="N779">
        <v>23</v>
      </c>
      <c r="O779">
        <v>83.350060189733099</v>
      </c>
      <c r="P779">
        <v>12.1807557232338</v>
      </c>
      <c r="Q779" t="s">
        <v>21</v>
      </c>
      <c r="R779">
        <v>777</v>
      </c>
      <c r="S779">
        <v>81.744967141384294</v>
      </c>
    </row>
    <row r="780" spans="1:19" x14ac:dyDescent="0.25">
      <c r="A780">
        <v>7986</v>
      </c>
      <c r="B780">
        <v>139.815063589771</v>
      </c>
      <c r="C780">
        <v>1.4664108549753201</v>
      </c>
      <c r="D780">
        <v>67.446906369636196</v>
      </c>
      <c r="E780">
        <v>34.379606422654497</v>
      </c>
      <c r="F780">
        <v>30.522960466486801</v>
      </c>
      <c r="G780">
        <v>1.9687743406884199</v>
      </c>
      <c r="H780">
        <v>0.46404503824659099</v>
      </c>
      <c r="I780">
        <v>1.59965198569337</v>
      </c>
      <c r="J780">
        <v>59.071744225462403</v>
      </c>
      <c r="K780">
        <v>22.123998373298399</v>
      </c>
      <c r="L780" t="s">
        <v>19</v>
      </c>
      <c r="M780" t="s">
        <v>28</v>
      </c>
      <c r="N780">
        <v>37</v>
      </c>
      <c r="O780">
        <v>63.835714628131498</v>
      </c>
      <c r="P780">
        <v>15.592874713414499</v>
      </c>
      <c r="Q780" t="s">
        <v>21</v>
      </c>
      <c r="R780">
        <v>778</v>
      </c>
      <c r="S780">
        <v>70.471242153573996</v>
      </c>
    </row>
    <row r="781" spans="1:19" x14ac:dyDescent="0.25">
      <c r="A781">
        <v>4517</v>
      </c>
      <c r="B781">
        <v>187.03366228360699</v>
      </c>
      <c r="C781">
        <v>1.1421200054446199</v>
      </c>
      <c r="D781">
        <v>58.787847263053798</v>
      </c>
      <c r="E781">
        <v>33.355892326236301</v>
      </c>
      <c r="F781">
        <v>16.4594377087056</v>
      </c>
      <c r="G781">
        <v>1.3466855963065201</v>
      </c>
      <c r="H781">
        <v>0.72806101764917297</v>
      </c>
      <c r="I781">
        <v>9.7847171759931992</v>
      </c>
      <c r="J781">
        <v>114.656384297874</v>
      </c>
      <c r="K781">
        <v>39.0573310516275</v>
      </c>
      <c r="L781" t="s">
        <v>34</v>
      </c>
      <c r="M781" t="s">
        <v>28</v>
      </c>
      <c r="N781">
        <v>34</v>
      </c>
      <c r="O781">
        <v>61.648645741463902</v>
      </c>
      <c r="P781">
        <v>26.9179487008888</v>
      </c>
      <c r="Q781" t="s">
        <v>29</v>
      </c>
      <c r="R781">
        <v>779</v>
      </c>
      <c r="S781">
        <v>111.505040176405</v>
      </c>
    </row>
    <row r="782" spans="1:19" x14ac:dyDescent="0.25">
      <c r="A782">
        <v>4735</v>
      </c>
      <c r="B782">
        <v>146.31019291262999</v>
      </c>
      <c r="C782">
        <v>1.8410260328563099</v>
      </c>
      <c r="D782">
        <v>20</v>
      </c>
      <c r="E782">
        <v>34.5211818134255</v>
      </c>
      <c r="F782">
        <v>26.880203596779701</v>
      </c>
      <c r="G782">
        <v>0.490947848812265</v>
      </c>
      <c r="H782">
        <v>0.55123855558550205</v>
      </c>
      <c r="I782">
        <v>9.6129259198339696</v>
      </c>
      <c r="J782">
        <v>44.661742269067403</v>
      </c>
      <c r="K782">
        <v>44.036654554048702</v>
      </c>
      <c r="L782" t="s">
        <v>27</v>
      </c>
      <c r="M782" t="s">
        <v>26</v>
      </c>
      <c r="N782">
        <v>22</v>
      </c>
      <c r="O782">
        <v>53.721522783546703</v>
      </c>
      <c r="P782">
        <v>22.3908440013297</v>
      </c>
      <c r="Q782" t="s">
        <v>29</v>
      </c>
      <c r="R782">
        <v>780</v>
      </c>
      <c r="S782">
        <v>89.138058780456603</v>
      </c>
    </row>
    <row r="783" spans="1:19" x14ac:dyDescent="0.25">
      <c r="A783">
        <v>9434</v>
      </c>
      <c r="B783">
        <v>99.784744816883602</v>
      </c>
      <c r="C783">
        <v>2.24362307766796</v>
      </c>
      <c r="D783">
        <v>111.059440490033</v>
      </c>
      <c r="E783">
        <v>33.346473603611798</v>
      </c>
      <c r="F783">
        <v>28.9974321348617</v>
      </c>
      <c r="G783">
        <v>1.8305289019987501</v>
      </c>
      <c r="H783">
        <v>0.44380482096912099</v>
      </c>
      <c r="I783">
        <v>1.5439289044650699</v>
      </c>
      <c r="J783">
        <v>86.836070211739397</v>
      </c>
      <c r="K783">
        <v>61.694534742201697</v>
      </c>
      <c r="L783" t="s">
        <v>27</v>
      </c>
      <c r="M783" t="s">
        <v>28</v>
      </c>
      <c r="N783">
        <v>32</v>
      </c>
      <c r="O783">
        <v>69.367113017254695</v>
      </c>
      <c r="P783">
        <v>21.694767703559599</v>
      </c>
      <c r="Q783" t="s">
        <v>25</v>
      </c>
      <c r="R783">
        <v>781</v>
      </c>
      <c r="S783">
        <v>52.949549733796097</v>
      </c>
    </row>
    <row r="784" spans="1:19" x14ac:dyDescent="0.25">
      <c r="A784">
        <v>3590</v>
      </c>
      <c r="B784">
        <v>150.06683242208999</v>
      </c>
      <c r="C784">
        <v>1.2099733793149701</v>
      </c>
      <c r="D784">
        <v>91.775393084333402</v>
      </c>
      <c r="E784">
        <v>31.611460057544001</v>
      </c>
      <c r="F784">
        <v>18.856728474627101</v>
      </c>
      <c r="G784">
        <v>1.1292460817601</v>
      </c>
      <c r="H784">
        <v>0.63628150889669999</v>
      </c>
      <c r="I784">
        <v>4.9892809732746599</v>
      </c>
      <c r="J784">
        <v>94.014939369759006</v>
      </c>
      <c r="K784">
        <v>26.859948428952301</v>
      </c>
      <c r="L784" t="s">
        <v>27</v>
      </c>
      <c r="M784" t="s">
        <v>37</v>
      </c>
      <c r="N784">
        <v>25</v>
      </c>
      <c r="O784">
        <v>71.619496309527506</v>
      </c>
      <c r="P784">
        <v>36.048010079639702</v>
      </c>
      <c r="Q784" t="s">
        <v>29</v>
      </c>
      <c r="R784">
        <v>782</v>
      </c>
      <c r="S784">
        <v>83.994386557330103</v>
      </c>
    </row>
    <row r="785" spans="1:19" x14ac:dyDescent="0.25">
      <c r="A785">
        <v>2063</v>
      </c>
      <c r="B785">
        <v>142.62316769765499</v>
      </c>
      <c r="C785">
        <v>1.6197022502676801</v>
      </c>
      <c r="D785">
        <v>62.473985501500003</v>
      </c>
      <c r="E785">
        <v>31.4002459742666</v>
      </c>
      <c r="F785">
        <v>20.612431905698799</v>
      </c>
      <c r="G785">
        <v>0.476748761785252</v>
      </c>
      <c r="H785">
        <v>0.70487742894601002</v>
      </c>
      <c r="I785">
        <v>2.6762044446979698</v>
      </c>
      <c r="J785">
        <v>64.812869946515903</v>
      </c>
      <c r="K785">
        <v>79.545336776228197</v>
      </c>
      <c r="L785" t="s">
        <v>22</v>
      </c>
      <c r="M785" t="s">
        <v>37</v>
      </c>
      <c r="N785">
        <v>22</v>
      </c>
      <c r="O785">
        <v>63.365385504902299</v>
      </c>
      <c r="P785">
        <v>8.9524002703338006</v>
      </c>
      <c r="Q785" t="s">
        <v>25</v>
      </c>
      <c r="R785">
        <v>783</v>
      </c>
      <c r="S785">
        <v>71.470342778532796</v>
      </c>
    </row>
    <row r="786" spans="1:19" x14ac:dyDescent="0.25">
      <c r="A786">
        <v>5324</v>
      </c>
      <c r="B786">
        <v>160.795055081654</v>
      </c>
      <c r="C786">
        <v>1.74984255515146</v>
      </c>
      <c r="D786">
        <v>70.376380994811896</v>
      </c>
      <c r="E786">
        <v>31.138185301129202</v>
      </c>
      <c r="F786">
        <v>16.8184537631311</v>
      </c>
      <c r="G786">
        <v>1.85910800501299</v>
      </c>
      <c r="H786">
        <v>0.58081029359228298</v>
      </c>
      <c r="I786">
        <v>5.3681040742097599</v>
      </c>
      <c r="J786">
        <v>113.752598675958</v>
      </c>
      <c r="K786">
        <v>48.565667659970501</v>
      </c>
      <c r="L786" t="s">
        <v>34</v>
      </c>
      <c r="M786" t="s">
        <v>37</v>
      </c>
      <c r="N786">
        <v>30</v>
      </c>
      <c r="O786">
        <v>70.262116532380603</v>
      </c>
      <c r="P786">
        <v>23.678074690390201</v>
      </c>
      <c r="Q786" t="s">
        <v>24</v>
      </c>
      <c r="R786">
        <v>784</v>
      </c>
      <c r="S786">
        <v>88.925563097534607</v>
      </c>
    </row>
    <row r="787" spans="1:19" x14ac:dyDescent="0.25">
      <c r="A787">
        <v>6342</v>
      </c>
      <c r="B787">
        <v>148.46362702539901</v>
      </c>
      <c r="C787">
        <v>1.7360011354596301</v>
      </c>
      <c r="D787">
        <v>46.566913053648697</v>
      </c>
      <c r="E787">
        <v>33.794462201710097</v>
      </c>
      <c r="F787">
        <v>20.982694294598399</v>
      </c>
      <c r="G787">
        <v>1.56344429130158</v>
      </c>
      <c r="H787">
        <v>0.79623853622417695</v>
      </c>
      <c r="I787">
        <v>8.4715951869962804</v>
      </c>
      <c r="J787">
        <v>93.665673521879</v>
      </c>
      <c r="K787">
        <v>83.776628391041697</v>
      </c>
      <c r="L787" t="s">
        <v>34</v>
      </c>
      <c r="M787" t="s">
        <v>28</v>
      </c>
      <c r="N787">
        <v>18</v>
      </c>
      <c r="O787">
        <v>56.897491913642298</v>
      </c>
      <c r="P787">
        <v>18.438429823337302</v>
      </c>
      <c r="Q787" t="s">
        <v>31</v>
      </c>
      <c r="R787">
        <v>785</v>
      </c>
      <c r="S787">
        <v>85.403940205872701</v>
      </c>
    </row>
    <row r="788" spans="1:19" x14ac:dyDescent="0.25">
      <c r="A788">
        <v>1005</v>
      </c>
      <c r="B788">
        <v>132.23088032032399</v>
      </c>
      <c r="C788">
        <v>1.53797763395804</v>
      </c>
      <c r="D788">
        <v>103.914457556217</v>
      </c>
      <c r="E788">
        <v>34.426316187704401</v>
      </c>
      <c r="F788">
        <v>21.817050128285299</v>
      </c>
      <c r="G788">
        <v>1.51706949090167</v>
      </c>
      <c r="H788">
        <v>0.75407383445568399</v>
      </c>
      <c r="I788">
        <v>9.5555059726860101</v>
      </c>
      <c r="J788">
        <v>65.792457986089701</v>
      </c>
      <c r="K788">
        <v>50.090243522544803</v>
      </c>
      <c r="L788" t="s">
        <v>27</v>
      </c>
      <c r="M788" t="s">
        <v>35</v>
      </c>
      <c r="N788">
        <v>18</v>
      </c>
      <c r="O788">
        <v>75.741390201665595</v>
      </c>
      <c r="P788">
        <v>20.750531818781599</v>
      </c>
      <c r="Q788" t="s">
        <v>21</v>
      </c>
      <c r="R788">
        <v>786</v>
      </c>
      <c r="S788">
        <v>83.480377594972396</v>
      </c>
    </row>
    <row r="789" spans="1:19" x14ac:dyDescent="0.25">
      <c r="A789">
        <v>8489</v>
      </c>
      <c r="B789">
        <v>110.51403527421201</v>
      </c>
      <c r="C789">
        <v>1.87134120917986</v>
      </c>
      <c r="D789">
        <v>107.945773895462</v>
      </c>
      <c r="E789">
        <v>35.219234569663598</v>
      </c>
      <c r="F789">
        <v>25.298249990411801</v>
      </c>
      <c r="G789">
        <v>1.47652526682992</v>
      </c>
      <c r="H789">
        <v>0.58305009860041901</v>
      </c>
      <c r="I789">
        <v>6.70827388106383</v>
      </c>
      <c r="J789">
        <v>76.933520177609395</v>
      </c>
      <c r="K789">
        <v>35.628019420554999</v>
      </c>
      <c r="L789" t="s">
        <v>19</v>
      </c>
      <c r="M789" t="s">
        <v>32</v>
      </c>
      <c r="N789">
        <v>24</v>
      </c>
      <c r="O789">
        <v>63.752177087638799</v>
      </c>
      <c r="P789">
        <v>19.458260364241202</v>
      </c>
      <c r="Q789" t="s">
        <v>24</v>
      </c>
      <c r="R789">
        <v>787</v>
      </c>
      <c r="S789">
        <v>62.574094308726799</v>
      </c>
    </row>
    <row r="790" spans="1:19" x14ac:dyDescent="0.25">
      <c r="A790">
        <v>9659</v>
      </c>
      <c r="B790">
        <v>130.819534854279</v>
      </c>
      <c r="C790">
        <v>1.74112447634032</v>
      </c>
      <c r="D790">
        <v>73.133874564930494</v>
      </c>
      <c r="E790">
        <v>34.0117263987878</v>
      </c>
      <c r="F790">
        <v>27.450917355102199</v>
      </c>
      <c r="G790">
        <v>0.56061167797359601</v>
      </c>
      <c r="H790">
        <v>0.81517989089970799</v>
      </c>
      <c r="I790">
        <v>4.1851510049063503</v>
      </c>
      <c r="J790">
        <v>89.26134434251</v>
      </c>
      <c r="K790">
        <v>25.637162151575598</v>
      </c>
      <c r="L790" t="s">
        <v>27</v>
      </c>
      <c r="M790" t="s">
        <v>30</v>
      </c>
      <c r="N790">
        <v>39</v>
      </c>
      <c r="O790">
        <v>70.310077228416503</v>
      </c>
      <c r="P790">
        <v>12.387954133069099</v>
      </c>
      <c r="Q790" t="s">
        <v>24</v>
      </c>
      <c r="R790">
        <v>788</v>
      </c>
      <c r="S790">
        <v>69.922638816539305</v>
      </c>
    </row>
    <row r="791" spans="1:19" x14ac:dyDescent="0.25">
      <c r="A791">
        <v>9195</v>
      </c>
      <c r="B791">
        <v>117.98959091581401</v>
      </c>
      <c r="C791">
        <v>0.88116878883635097</v>
      </c>
      <c r="D791">
        <v>90.470612883706806</v>
      </c>
      <c r="E791">
        <v>34.395406293041901</v>
      </c>
      <c r="F791">
        <v>18.259519676891699</v>
      </c>
      <c r="G791">
        <v>0.579812045073546</v>
      </c>
      <c r="H791">
        <v>0.75678227339316895</v>
      </c>
      <c r="I791">
        <v>6.4299300908013803</v>
      </c>
      <c r="J791">
        <v>79.219018042921803</v>
      </c>
      <c r="K791">
        <v>15.2808821033463</v>
      </c>
      <c r="L791" t="s">
        <v>22</v>
      </c>
      <c r="M791" t="s">
        <v>33</v>
      </c>
      <c r="N791">
        <v>22</v>
      </c>
      <c r="O791">
        <v>69.681256376479595</v>
      </c>
      <c r="P791">
        <v>9.7195890741987903</v>
      </c>
      <c r="Q791" t="s">
        <v>25</v>
      </c>
      <c r="R791">
        <v>789</v>
      </c>
      <c r="S791">
        <v>72.946942651489707</v>
      </c>
    </row>
    <row r="792" spans="1:19" x14ac:dyDescent="0.25">
      <c r="A792">
        <v>6966</v>
      </c>
      <c r="B792">
        <v>123.38953100390501</v>
      </c>
      <c r="C792">
        <v>1.93457803219463</v>
      </c>
      <c r="D792">
        <v>73.505735578678397</v>
      </c>
      <c r="E792">
        <v>32.303980400815497</v>
      </c>
      <c r="F792">
        <v>12.163374678869999</v>
      </c>
      <c r="G792">
        <v>1.4389273971690499</v>
      </c>
      <c r="H792">
        <v>0.75059495829484602</v>
      </c>
      <c r="I792">
        <v>3.8080117549760502</v>
      </c>
      <c r="J792">
        <v>107.869758382607</v>
      </c>
      <c r="K792">
        <v>54.911811373862598</v>
      </c>
      <c r="L792" t="s">
        <v>27</v>
      </c>
      <c r="M792" t="s">
        <v>26</v>
      </c>
      <c r="N792">
        <v>31</v>
      </c>
      <c r="O792">
        <v>52.3164653970532</v>
      </c>
      <c r="P792">
        <v>17.998657725618301</v>
      </c>
      <c r="Q792" t="s">
        <v>31</v>
      </c>
      <c r="R792">
        <v>790</v>
      </c>
      <c r="S792">
        <v>65.684550496761602</v>
      </c>
    </row>
    <row r="793" spans="1:19" x14ac:dyDescent="0.25">
      <c r="A793">
        <v>9837</v>
      </c>
      <c r="B793">
        <v>146.77156808841201</v>
      </c>
      <c r="C793">
        <v>1.94364541863337</v>
      </c>
      <c r="D793">
        <v>43.265491222481302</v>
      </c>
      <c r="E793">
        <v>31.612301019907299</v>
      </c>
      <c r="F793">
        <v>21.893776103618698</v>
      </c>
      <c r="G793">
        <v>0.59550095019871396</v>
      </c>
      <c r="H793">
        <v>0.704385235432887</v>
      </c>
      <c r="I793">
        <v>9.1884127674885399</v>
      </c>
      <c r="J793">
        <v>55.688866228040098</v>
      </c>
      <c r="K793">
        <v>23.036752269519202</v>
      </c>
      <c r="L793" t="s">
        <v>34</v>
      </c>
      <c r="M793" t="s">
        <v>23</v>
      </c>
      <c r="N793">
        <v>32</v>
      </c>
      <c r="O793">
        <v>74.672259730182105</v>
      </c>
      <c r="P793">
        <v>11.742599122214401</v>
      </c>
      <c r="Q793" t="s">
        <v>25</v>
      </c>
      <c r="R793">
        <v>791</v>
      </c>
      <c r="S793">
        <v>92.229039633266595</v>
      </c>
    </row>
    <row r="794" spans="1:19" x14ac:dyDescent="0.25">
      <c r="A794">
        <v>1117</v>
      </c>
      <c r="B794">
        <v>168.39809008702801</v>
      </c>
      <c r="C794">
        <v>1.1183569479107001</v>
      </c>
      <c r="D794">
        <v>61.763532620726799</v>
      </c>
      <c r="E794">
        <v>34.020095198900997</v>
      </c>
      <c r="F794">
        <v>23.467687649843199</v>
      </c>
      <c r="G794">
        <v>0.98960905424548795</v>
      </c>
      <c r="H794">
        <v>0.406264317448704</v>
      </c>
      <c r="I794">
        <v>8.8336041679525295</v>
      </c>
      <c r="J794">
        <v>49.988574005580404</v>
      </c>
      <c r="K794">
        <v>44.379582272338297</v>
      </c>
      <c r="L794" t="s">
        <v>27</v>
      </c>
      <c r="M794" t="s">
        <v>36</v>
      </c>
      <c r="N794">
        <v>38</v>
      </c>
      <c r="O794">
        <v>61.724453335474799</v>
      </c>
      <c r="P794">
        <v>15.043159510116199</v>
      </c>
      <c r="Q794" t="s">
        <v>24</v>
      </c>
      <c r="R794">
        <v>792</v>
      </c>
      <c r="S794">
        <v>96.442991727782598</v>
      </c>
    </row>
    <row r="795" spans="1:19" x14ac:dyDescent="0.25">
      <c r="A795">
        <v>3551</v>
      </c>
      <c r="B795">
        <v>142.89343059645901</v>
      </c>
      <c r="C795">
        <v>1.5189689177237999</v>
      </c>
      <c r="D795">
        <v>72.638559335439098</v>
      </c>
      <c r="E795">
        <v>33.501216902687197</v>
      </c>
      <c r="F795">
        <v>23.247088438425202</v>
      </c>
      <c r="G795">
        <v>1.6076032860690901</v>
      </c>
      <c r="H795">
        <v>0.78307895091228896</v>
      </c>
      <c r="I795">
        <v>6.0240857525169398</v>
      </c>
      <c r="J795">
        <v>41.383888949526401</v>
      </c>
      <c r="K795">
        <v>59.1953820927815</v>
      </c>
      <c r="L795" t="s">
        <v>19</v>
      </c>
      <c r="M795" t="s">
        <v>23</v>
      </c>
      <c r="N795">
        <v>34</v>
      </c>
      <c r="O795">
        <v>69.620037412818306</v>
      </c>
      <c r="P795">
        <v>24.385282042059799</v>
      </c>
      <c r="Q795" t="s">
        <v>21</v>
      </c>
      <c r="R795">
        <v>793</v>
      </c>
      <c r="S795">
        <v>77.682793643059696</v>
      </c>
    </row>
    <row r="796" spans="1:19" x14ac:dyDescent="0.25">
      <c r="A796">
        <v>6560</v>
      </c>
      <c r="B796">
        <v>111.08233875929599</v>
      </c>
      <c r="C796">
        <v>1.84166449640553</v>
      </c>
      <c r="D796">
        <v>60.9090456251311</v>
      </c>
      <c r="E796">
        <v>33.128933249208998</v>
      </c>
      <c r="F796">
        <v>20.3666337624547</v>
      </c>
      <c r="G796">
        <v>1.61111453257611</v>
      </c>
      <c r="H796">
        <v>0.60682298511003596</v>
      </c>
      <c r="I796">
        <v>3.9231902384232402</v>
      </c>
      <c r="J796">
        <v>23.778296806459501</v>
      </c>
      <c r="K796">
        <v>35.676442267702498</v>
      </c>
      <c r="L796" t="s">
        <v>34</v>
      </c>
      <c r="M796" t="s">
        <v>26</v>
      </c>
      <c r="N796">
        <v>35</v>
      </c>
      <c r="O796">
        <v>56.720956923333297</v>
      </c>
      <c r="P796">
        <v>8.1849232523843192</v>
      </c>
      <c r="Q796" t="s">
        <v>29</v>
      </c>
      <c r="R796">
        <v>794</v>
      </c>
      <c r="S796">
        <v>62.148944599469402</v>
      </c>
    </row>
    <row r="797" spans="1:19" x14ac:dyDescent="0.25">
      <c r="A797">
        <v>5289</v>
      </c>
      <c r="B797">
        <v>143.89205336440199</v>
      </c>
      <c r="C797">
        <v>1.3953430902103101</v>
      </c>
      <c r="D797">
        <v>65.626934451299206</v>
      </c>
      <c r="E797">
        <v>33.464845776759503</v>
      </c>
      <c r="F797">
        <v>22.623760498319601</v>
      </c>
      <c r="G797">
        <v>1.0158711905465401</v>
      </c>
      <c r="H797">
        <v>0.91843534058725995</v>
      </c>
      <c r="I797">
        <v>3.6405070802467998</v>
      </c>
      <c r="J797">
        <v>24.301396438005501</v>
      </c>
      <c r="K797">
        <v>28.141821927458601</v>
      </c>
      <c r="L797" t="s">
        <v>19</v>
      </c>
      <c r="M797" t="s">
        <v>23</v>
      </c>
      <c r="N797">
        <v>24</v>
      </c>
      <c r="O797">
        <v>64.164982498068696</v>
      </c>
      <c r="P797">
        <v>16.466302964041901</v>
      </c>
      <c r="Q797" t="s">
        <v>25</v>
      </c>
      <c r="R797">
        <v>795</v>
      </c>
      <c r="S797">
        <v>76.546900999235106</v>
      </c>
    </row>
    <row r="798" spans="1:19" x14ac:dyDescent="0.25">
      <c r="A798">
        <v>1846</v>
      </c>
      <c r="B798">
        <v>158.932629732913</v>
      </c>
      <c r="C798">
        <v>2.036489023883</v>
      </c>
      <c r="D798">
        <v>68.172008849817701</v>
      </c>
      <c r="E798">
        <v>33.387822578949802</v>
      </c>
      <c r="F798">
        <v>29.577224041761198</v>
      </c>
      <c r="G798">
        <v>1.62594188889544</v>
      </c>
      <c r="H798">
        <v>0.84989162409246299</v>
      </c>
      <c r="I798">
        <v>1.30076195234553</v>
      </c>
      <c r="J798">
        <v>107.00551931092799</v>
      </c>
      <c r="K798">
        <v>73.104121695700599</v>
      </c>
      <c r="L798" t="s">
        <v>27</v>
      </c>
      <c r="M798" t="s">
        <v>32</v>
      </c>
      <c r="N798">
        <v>39</v>
      </c>
      <c r="O798">
        <v>70.905990935447605</v>
      </c>
      <c r="P798">
        <v>26.4361283439309</v>
      </c>
      <c r="Q798" t="s">
        <v>24</v>
      </c>
      <c r="R798">
        <v>796</v>
      </c>
      <c r="S798">
        <v>85.121665586117103</v>
      </c>
    </row>
    <row r="799" spans="1:19" x14ac:dyDescent="0.25">
      <c r="A799">
        <v>7316</v>
      </c>
      <c r="B799">
        <v>122.80434191361201</v>
      </c>
      <c r="C799">
        <v>2.6819362473096802</v>
      </c>
      <c r="D799">
        <v>68.3824300426907</v>
      </c>
      <c r="E799">
        <v>34.540580231824201</v>
      </c>
      <c r="F799">
        <v>23.908670844812502</v>
      </c>
      <c r="G799">
        <v>1.7095192331564999</v>
      </c>
      <c r="H799">
        <v>0.72323195824222097</v>
      </c>
      <c r="I799">
        <v>8.3423876592276507</v>
      </c>
      <c r="J799">
        <v>87.8393146405907</v>
      </c>
      <c r="K799">
        <v>86.009337921121499</v>
      </c>
      <c r="L799" t="s">
        <v>34</v>
      </c>
      <c r="M799" t="s">
        <v>23</v>
      </c>
      <c r="N799">
        <v>35</v>
      </c>
      <c r="O799">
        <v>59.365577701378001</v>
      </c>
      <c r="P799">
        <v>13.942599716777501</v>
      </c>
      <c r="Q799" t="s">
        <v>29</v>
      </c>
      <c r="R799">
        <v>797</v>
      </c>
      <c r="S799">
        <v>73.155012402033293</v>
      </c>
    </row>
    <row r="800" spans="1:19" x14ac:dyDescent="0.25">
      <c r="A800">
        <v>7469</v>
      </c>
      <c r="B800">
        <v>132.31965666654099</v>
      </c>
      <c r="C800">
        <v>1.1070069836825001</v>
      </c>
      <c r="D800">
        <v>71.045169809949599</v>
      </c>
      <c r="E800">
        <v>34.553982701780299</v>
      </c>
      <c r="F800">
        <v>20.133157874984501</v>
      </c>
      <c r="G800">
        <v>1.37859635231166</v>
      </c>
      <c r="H800">
        <v>0.53870009000059804</v>
      </c>
      <c r="I800">
        <v>5.0534489173510702</v>
      </c>
      <c r="J800">
        <v>86.053241543648596</v>
      </c>
      <c r="K800">
        <v>22.533031339647401</v>
      </c>
      <c r="L800" t="s">
        <v>22</v>
      </c>
      <c r="M800" t="s">
        <v>23</v>
      </c>
      <c r="N800">
        <v>36</v>
      </c>
      <c r="O800">
        <v>59.803790851397501</v>
      </c>
      <c r="P800">
        <v>29.755641774520299</v>
      </c>
      <c r="Q800" t="s">
        <v>29</v>
      </c>
      <c r="R800">
        <v>798</v>
      </c>
      <c r="S800">
        <v>75.633454358239206</v>
      </c>
    </row>
    <row r="801" spans="1:19" x14ac:dyDescent="0.25">
      <c r="A801">
        <v>9915</v>
      </c>
      <c r="B801">
        <v>135.29376389458301</v>
      </c>
      <c r="C801">
        <v>0.80947769842311201</v>
      </c>
      <c r="D801">
        <v>48.787898672067897</v>
      </c>
      <c r="E801">
        <v>33.653064422808399</v>
      </c>
      <c r="F801">
        <v>19.499010914519999</v>
      </c>
      <c r="G801">
        <v>0.61116653415515598</v>
      </c>
      <c r="H801">
        <v>0.512044566302716</v>
      </c>
      <c r="I801">
        <v>3.9261963556023698</v>
      </c>
      <c r="J801">
        <v>81.464281893488604</v>
      </c>
      <c r="K801">
        <v>26.669274328875499</v>
      </c>
      <c r="L801" t="s">
        <v>34</v>
      </c>
      <c r="M801" t="s">
        <v>32</v>
      </c>
      <c r="N801">
        <v>37</v>
      </c>
      <c r="O801">
        <v>69.000544914083804</v>
      </c>
      <c r="P801">
        <v>5.5936466832818299</v>
      </c>
      <c r="Q801" t="s">
        <v>24</v>
      </c>
      <c r="R801">
        <v>799</v>
      </c>
      <c r="S801">
        <v>71.610036400106793</v>
      </c>
    </row>
    <row r="802" spans="1:19" x14ac:dyDescent="0.25">
      <c r="A802">
        <v>1224</v>
      </c>
      <c r="B802">
        <v>119.30203373835499</v>
      </c>
      <c r="C802">
        <v>1.6519092978024299</v>
      </c>
      <c r="D802">
        <v>55.659677017441197</v>
      </c>
      <c r="E802">
        <v>34.014963447075502</v>
      </c>
      <c r="F802">
        <v>21.150738211611301</v>
      </c>
      <c r="G802">
        <v>0.69322120469398496</v>
      </c>
      <c r="H802">
        <v>0.58721166072265196</v>
      </c>
      <c r="I802">
        <v>5.23999319497978</v>
      </c>
      <c r="J802">
        <v>104.92191446941</v>
      </c>
      <c r="K802">
        <v>87.000949293953894</v>
      </c>
      <c r="L802" t="s">
        <v>19</v>
      </c>
      <c r="M802" t="s">
        <v>32</v>
      </c>
      <c r="N802">
        <v>24</v>
      </c>
      <c r="O802">
        <v>66.659884361700705</v>
      </c>
      <c r="P802">
        <v>32.555076324394697</v>
      </c>
      <c r="Q802" t="s">
        <v>31</v>
      </c>
      <c r="R802">
        <v>800</v>
      </c>
      <c r="S802">
        <v>72.790636265059803</v>
      </c>
    </row>
    <row r="803" spans="1:19" x14ac:dyDescent="0.25">
      <c r="A803">
        <v>5208</v>
      </c>
      <c r="B803">
        <v>147.965608676877</v>
      </c>
      <c r="C803">
        <v>1.86078125256307</v>
      </c>
      <c r="D803">
        <v>44.3083146860006</v>
      </c>
      <c r="E803">
        <v>33.616875062909699</v>
      </c>
      <c r="F803">
        <v>30.183699809153101</v>
      </c>
      <c r="G803">
        <v>0.76671407973572303</v>
      </c>
      <c r="H803">
        <v>0.66211236896901005</v>
      </c>
      <c r="I803">
        <v>8.3686419140918602</v>
      </c>
      <c r="J803">
        <v>68.026692566562701</v>
      </c>
      <c r="K803">
        <v>17.833816635918399</v>
      </c>
      <c r="L803" t="s">
        <v>34</v>
      </c>
      <c r="M803" t="s">
        <v>28</v>
      </c>
      <c r="N803">
        <v>25</v>
      </c>
      <c r="O803">
        <v>70.794436920262498</v>
      </c>
      <c r="P803">
        <v>18.143867220132599</v>
      </c>
      <c r="Q803" t="s">
        <v>24</v>
      </c>
      <c r="R803">
        <v>801</v>
      </c>
      <c r="S803">
        <v>89.320431357471094</v>
      </c>
    </row>
    <row r="804" spans="1:19" x14ac:dyDescent="0.25">
      <c r="A804">
        <v>7283</v>
      </c>
      <c r="B804">
        <v>132.58103702784399</v>
      </c>
      <c r="C804">
        <v>1.3845668130776101</v>
      </c>
      <c r="D804">
        <v>89.556310993723997</v>
      </c>
      <c r="E804">
        <v>32.446596321558403</v>
      </c>
      <c r="F804">
        <v>21.083496452369001</v>
      </c>
      <c r="G804">
        <v>0.41024739392111298</v>
      </c>
      <c r="H804">
        <v>0.56283603052141995</v>
      </c>
      <c r="I804">
        <v>2.1215278693676898</v>
      </c>
      <c r="J804">
        <v>107.04108285583</v>
      </c>
      <c r="K804">
        <v>88.322425241285401</v>
      </c>
      <c r="L804" t="s">
        <v>22</v>
      </c>
      <c r="M804" t="s">
        <v>32</v>
      </c>
      <c r="N804">
        <v>30</v>
      </c>
      <c r="O804">
        <v>65.057541427083194</v>
      </c>
      <c r="P804">
        <v>7.3708828128952497</v>
      </c>
      <c r="Q804" t="s">
        <v>21</v>
      </c>
      <c r="R804">
        <v>802</v>
      </c>
      <c r="S804">
        <v>64.7644713239238</v>
      </c>
    </row>
    <row r="805" spans="1:19" x14ac:dyDescent="0.25">
      <c r="A805">
        <v>3048</v>
      </c>
      <c r="B805">
        <v>143.39064887814001</v>
      </c>
      <c r="C805">
        <v>2.2266303316605098</v>
      </c>
      <c r="D805">
        <v>27.887061163193501</v>
      </c>
      <c r="E805">
        <v>33.907877609895699</v>
      </c>
      <c r="F805">
        <v>21.901028277396399</v>
      </c>
      <c r="G805">
        <v>0.691687316665901</v>
      </c>
      <c r="H805">
        <v>0.68321122246586496</v>
      </c>
      <c r="I805">
        <v>8.7189038941764405</v>
      </c>
      <c r="J805">
        <v>55.9445026182239</v>
      </c>
      <c r="K805">
        <v>15.3483362313741</v>
      </c>
      <c r="L805" t="s">
        <v>22</v>
      </c>
      <c r="M805" t="s">
        <v>33</v>
      </c>
      <c r="N805">
        <v>35</v>
      </c>
      <c r="O805">
        <v>73.1319886282308</v>
      </c>
      <c r="P805">
        <v>24.665421129115501</v>
      </c>
      <c r="Q805" t="s">
        <v>29</v>
      </c>
      <c r="R805">
        <v>803</v>
      </c>
      <c r="S805">
        <v>84.122003576729</v>
      </c>
    </row>
    <row r="806" spans="1:19" x14ac:dyDescent="0.25">
      <c r="A806">
        <v>7233</v>
      </c>
      <c r="B806">
        <v>117.250156443957</v>
      </c>
      <c r="C806">
        <v>0.83069710013837506</v>
      </c>
      <c r="D806">
        <v>93.071806866338505</v>
      </c>
      <c r="E806">
        <v>31.326605917368799</v>
      </c>
      <c r="F806">
        <v>19.5884321453184</v>
      </c>
      <c r="G806">
        <v>0.57713460376255699</v>
      </c>
      <c r="H806">
        <v>0.49095373403225201</v>
      </c>
      <c r="I806">
        <v>9.0775795159751809</v>
      </c>
      <c r="J806">
        <v>112.67075043390901</v>
      </c>
      <c r="K806">
        <v>80.525149173849798</v>
      </c>
      <c r="L806" t="s">
        <v>22</v>
      </c>
      <c r="M806" t="s">
        <v>20</v>
      </c>
      <c r="N806">
        <v>28</v>
      </c>
      <c r="O806">
        <v>63.464356605697503</v>
      </c>
      <c r="P806">
        <v>21.4466809274121</v>
      </c>
      <c r="Q806" t="s">
        <v>21</v>
      </c>
      <c r="R806">
        <v>804</v>
      </c>
      <c r="S806">
        <v>76.595924853684195</v>
      </c>
    </row>
    <row r="807" spans="1:19" x14ac:dyDescent="0.25">
      <c r="A807">
        <v>2828</v>
      </c>
      <c r="B807">
        <v>126.250833993531</v>
      </c>
      <c r="C807">
        <v>1.8464593115157999</v>
      </c>
      <c r="D807">
        <v>97.726987945256795</v>
      </c>
      <c r="E807">
        <v>34.264669862754999</v>
      </c>
      <c r="F807">
        <v>27.494916787209799</v>
      </c>
      <c r="G807">
        <v>1.0195917496554801</v>
      </c>
      <c r="H807">
        <v>0.93774204705402497</v>
      </c>
      <c r="I807">
        <v>9.5203712353049905</v>
      </c>
      <c r="J807">
        <v>89.865698008123999</v>
      </c>
      <c r="K807">
        <v>38.049388574081199</v>
      </c>
      <c r="L807" t="s">
        <v>22</v>
      </c>
      <c r="M807" t="s">
        <v>33</v>
      </c>
      <c r="N807">
        <v>26</v>
      </c>
      <c r="O807">
        <v>72.776516686032394</v>
      </c>
      <c r="P807">
        <v>29.057182266805398</v>
      </c>
      <c r="Q807" t="s">
        <v>25</v>
      </c>
      <c r="R807">
        <v>805</v>
      </c>
      <c r="S807">
        <v>82.921753634782704</v>
      </c>
    </row>
    <row r="808" spans="1:19" x14ac:dyDescent="0.25">
      <c r="A808">
        <v>2917</v>
      </c>
      <c r="B808">
        <v>149.447627156555</v>
      </c>
      <c r="C808">
        <v>1.1970695896205501</v>
      </c>
      <c r="D808">
        <v>63.956388260347502</v>
      </c>
      <c r="E808">
        <v>31.566572472280701</v>
      </c>
      <c r="F808">
        <v>31.799186273723301</v>
      </c>
      <c r="G808">
        <v>1.8351875861700699</v>
      </c>
      <c r="H808">
        <v>0.45935850523074601</v>
      </c>
      <c r="I808">
        <v>4.5773919318036498</v>
      </c>
      <c r="J808">
        <v>45.7177136024427</v>
      </c>
      <c r="K808">
        <v>85.394164363297193</v>
      </c>
      <c r="L808" t="s">
        <v>19</v>
      </c>
      <c r="M808" t="s">
        <v>23</v>
      </c>
      <c r="N808">
        <v>18</v>
      </c>
      <c r="O808">
        <v>60.745745725842198</v>
      </c>
      <c r="P808">
        <v>5.7116725559634798</v>
      </c>
      <c r="Q808" t="s">
        <v>29</v>
      </c>
      <c r="R808">
        <v>806</v>
      </c>
      <c r="S808">
        <v>80.260464120909205</v>
      </c>
    </row>
    <row r="809" spans="1:19" x14ac:dyDescent="0.25">
      <c r="A809">
        <v>5234</v>
      </c>
      <c r="B809">
        <v>127.54333695816401</v>
      </c>
      <c r="C809">
        <v>2.3596889531036398</v>
      </c>
      <c r="D809">
        <v>20</v>
      </c>
      <c r="E809">
        <v>33.342963944153603</v>
      </c>
      <c r="F809">
        <v>24.253065247156901</v>
      </c>
      <c r="G809">
        <v>0.38806457015712398</v>
      </c>
      <c r="H809">
        <v>0.91256927680990396</v>
      </c>
      <c r="I809">
        <v>2.9542636363390402</v>
      </c>
      <c r="J809">
        <v>76.408492168862495</v>
      </c>
      <c r="K809">
        <v>38.770896647668899</v>
      </c>
      <c r="L809" t="s">
        <v>34</v>
      </c>
      <c r="M809" t="s">
        <v>33</v>
      </c>
      <c r="N809">
        <v>39</v>
      </c>
      <c r="O809">
        <v>63.112072358258402</v>
      </c>
      <c r="P809">
        <v>9.23106769122057</v>
      </c>
      <c r="Q809" t="s">
        <v>31</v>
      </c>
      <c r="R809">
        <v>807</v>
      </c>
      <c r="S809">
        <v>64.841214900434196</v>
      </c>
    </row>
    <row r="810" spans="1:19" x14ac:dyDescent="0.25">
      <c r="A810">
        <v>7988</v>
      </c>
      <c r="B810">
        <v>169.539277024668</v>
      </c>
      <c r="C810">
        <v>2.4962576765840501</v>
      </c>
      <c r="D810">
        <v>62.773788760654099</v>
      </c>
      <c r="E810">
        <v>31.985815249888599</v>
      </c>
      <c r="F810">
        <v>22.413864518927099</v>
      </c>
      <c r="G810">
        <v>1.4964822631053101</v>
      </c>
      <c r="H810">
        <v>0.90246790627148199</v>
      </c>
      <c r="I810">
        <v>4.3627673662002797</v>
      </c>
      <c r="J810">
        <v>73.303056148825505</v>
      </c>
      <c r="K810">
        <v>64.072974115054194</v>
      </c>
      <c r="L810" t="s">
        <v>27</v>
      </c>
      <c r="M810" t="s">
        <v>26</v>
      </c>
      <c r="N810">
        <v>25</v>
      </c>
      <c r="O810">
        <v>73.845367248505795</v>
      </c>
      <c r="P810">
        <v>24.160414245925502</v>
      </c>
      <c r="Q810" t="s">
        <v>24</v>
      </c>
      <c r="R810">
        <v>808</v>
      </c>
      <c r="S810">
        <v>90.373344560310002</v>
      </c>
    </row>
    <row r="811" spans="1:19" x14ac:dyDescent="0.25">
      <c r="A811">
        <v>3026</v>
      </c>
      <c r="B811">
        <v>127.007276287707</v>
      </c>
      <c r="C811">
        <v>1.11667170610832</v>
      </c>
      <c r="D811">
        <v>68.7163167742236</v>
      </c>
      <c r="E811">
        <v>33.6640667796893</v>
      </c>
      <c r="F811">
        <v>22.183914165871101</v>
      </c>
      <c r="G811">
        <v>1.43710940794363</v>
      </c>
      <c r="H811">
        <v>0.68894826500072304</v>
      </c>
      <c r="I811">
        <v>3.99620886608262</v>
      </c>
      <c r="J811">
        <v>33.789882173033398</v>
      </c>
      <c r="K811">
        <v>21.0024427324452</v>
      </c>
      <c r="L811" t="s">
        <v>22</v>
      </c>
      <c r="M811" t="s">
        <v>30</v>
      </c>
      <c r="N811">
        <v>38</v>
      </c>
      <c r="O811">
        <v>63.884955188072901</v>
      </c>
      <c r="P811">
        <v>38.3962874758884</v>
      </c>
      <c r="Q811" t="s">
        <v>25</v>
      </c>
      <c r="R811">
        <v>809</v>
      </c>
      <c r="S811">
        <v>66.255035968050905</v>
      </c>
    </row>
    <row r="812" spans="1:19" x14ac:dyDescent="0.25">
      <c r="A812">
        <v>4744</v>
      </c>
      <c r="B812">
        <v>139.49369451503699</v>
      </c>
      <c r="C812">
        <v>1.22522143204571</v>
      </c>
      <c r="D812">
        <v>49.788035601421697</v>
      </c>
      <c r="E812">
        <v>32.959289728886503</v>
      </c>
      <c r="F812">
        <v>10.0784660560712</v>
      </c>
      <c r="G812">
        <v>0.37235755759404299</v>
      </c>
      <c r="H812">
        <v>0.79870064950984598</v>
      </c>
      <c r="I812">
        <v>2.5853852125257402</v>
      </c>
      <c r="J812">
        <v>79.124290575061394</v>
      </c>
      <c r="K812">
        <v>33.174735859030399</v>
      </c>
      <c r="L812" t="s">
        <v>27</v>
      </c>
      <c r="M812" t="s">
        <v>20</v>
      </c>
      <c r="N812">
        <v>29</v>
      </c>
      <c r="O812">
        <v>58.630157304224298</v>
      </c>
      <c r="P812">
        <v>22.601989463282901</v>
      </c>
      <c r="Q812" t="s">
        <v>21</v>
      </c>
      <c r="R812">
        <v>810</v>
      </c>
      <c r="S812">
        <v>68.452076422619996</v>
      </c>
    </row>
    <row r="813" spans="1:19" x14ac:dyDescent="0.25">
      <c r="A813">
        <v>1009</v>
      </c>
      <c r="B813">
        <v>153.651816637461</v>
      </c>
      <c r="C813">
        <v>1.9297939434899001</v>
      </c>
      <c r="D813">
        <v>59.695632123835097</v>
      </c>
      <c r="E813">
        <v>31.086292850204</v>
      </c>
      <c r="F813">
        <v>25.725754321423999</v>
      </c>
      <c r="G813">
        <v>1.86063032883044</v>
      </c>
      <c r="H813">
        <v>0.63982656388492298</v>
      </c>
      <c r="I813">
        <v>6.4654000309133899</v>
      </c>
      <c r="J813">
        <v>51.478562371695702</v>
      </c>
      <c r="K813">
        <v>73.025950985943794</v>
      </c>
      <c r="L813" t="s">
        <v>27</v>
      </c>
      <c r="M813" t="s">
        <v>30</v>
      </c>
      <c r="N813">
        <v>19</v>
      </c>
      <c r="O813">
        <v>81.840926986969393</v>
      </c>
      <c r="P813">
        <v>23.8406942675072</v>
      </c>
      <c r="Q813" t="s">
        <v>25</v>
      </c>
      <c r="R813">
        <v>811</v>
      </c>
      <c r="S813">
        <v>89.6136075917493</v>
      </c>
    </row>
    <row r="814" spans="1:19" x14ac:dyDescent="0.25">
      <c r="A814">
        <v>1260</v>
      </c>
      <c r="B814">
        <v>106.632685341339</v>
      </c>
      <c r="C814">
        <v>1.30643467510524</v>
      </c>
      <c r="D814">
        <v>100.603903977267</v>
      </c>
      <c r="E814">
        <v>33.504839557222098</v>
      </c>
      <c r="F814">
        <v>22.670832079979199</v>
      </c>
      <c r="G814">
        <v>1.22324996388227</v>
      </c>
      <c r="H814">
        <v>0.74651901764834006</v>
      </c>
      <c r="I814">
        <v>5.2896174445776598</v>
      </c>
      <c r="J814">
        <v>25.234876680960198</v>
      </c>
      <c r="K814">
        <v>54.651439025911401</v>
      </c>
      <c r="L814" t="s">
        <v>34</v>
      </c>
      <c r="M814" t="s">
        <v>36</v>
      </c>
      <c r="N814">
        <v>32</v>
      </c>
      <c r="O814">
        <v>67.718933323054699</v>
      </c>
      <c r="P814">
        <v>11.909883782287</v>
      </c>
      <c r="Q814" t="s">
        <v>31</v>
      </c>
      <c r="R814">
        <v>812</v>
      </c>
      <c r="S814">
        <v>61.982489822296102</v>
      </c>
    </row>
    <row r="815" spans="1:19" x14ac:dyDescent="0.25">
      <c r="A815">
        <v>7038</v>
      </c>
      <c r="B815">
        <v>99.783823760384394</v>
      </c>
      <c r="C815">
        <v>1.47729439103388</v>
      </c>
      <c r="D815">
        <v>83.298543246034797</v>
      </c>
      <c r="E815">
        <v>32.306495067800697</v>
      </c>
      <c r="F815">
        <v>24.1417102533036</v>
      </c>
      <c r="G815">
        <v>0.85470593804423101</v>
      </c>
      <c r="H815">
        <v>0.58731676558161505</v>
      </c>
      <c r="I815">
        <v>8.7913089309160295</v>
      </c>
      <c r="J815">
        <v>114.86561577065601</v>
      </c>
      <c r="K815">
        <v>84.597679634028296</v>
      </c>
      <c r="L815" t="s">
        <v>27</v>
      </c>
      <c r="M815" t="s">
        <v>33</v>
      </c>
      <c r="N815">
        <v>38</v>
      </c>
      <c r="O815">
        <v>71.771616617503796</v>
      </c>
      <c r="P815">
        <v>16.545201303527101</v>
      </c>
      <c r="Q815" t="s">
        <v>24</v>
      </c>
      <c r="R815">
        <v>813</v>
      </c>
      <c r="S815">
        <v>68.099673107828394</v>
      </c>
    </row>
    <row r="816" spans="1:19" x14ac:dyDescent="0.25">
      <c r="A816">
        <v>3219</v>
      </c>
      <c r="B816">
        <v>104.486873708598</v>
      </c>
      <c r="C816">
        <v>1.5126942102712</v>
      </c>
      <c r="D816">
        <v>51.508717712437999</v>
      </c>
      <c r="E816">
        <v>34.057376064975998</v>
      </c>
      <c r="F816">
        <v>18.442689029581398</v>
      </c>
      <c r="G816">
        <v>1.56176945029155</v>
      </c>
      <c r="H816">
        <v>0.56563746088199496</v>
      </c>
      <c r="I816">
        <v>1.2889862243385199</v>
      </c>
      <c r="J816">
        <v>84.149036906428705</v>
      </c>
      <c r="K816">
        <v>47.156355625601499</v>
      </c>
      <c r="L816" t="s">
        <v>27</v>
      </c>
      <c r="M816" t="s">
        <v>30</v>
      </c>
      <c r="N816">
        <v>35</v>
      </c>
      <c r="O816">
        <v>49.903357624976998</v>
      </c>
      <c r="P816">
        <v>13.041324022179399</v>
      </c>
      <c r="Q816" t="s">
        <v>25</v>
      </c>
      <c r="R816">
        <v>814</v>
      </c>
      <c r="S816">
        <v>50.078574784869303</v>
      </c>
    </row>
    <row r="817" spans="1:19" x14ac:dyDescent="0.25">
      <c r="A817">
        <v>8041</v>
      </c>
      <c r="B817">
        <v>160.251682068543</v>
      </c>
      <c r="C817">
        <v>0.54016342190117095</v>
      </c>
      <c r="D817">
        <v>38.048016608091302</v>
      </c>
      <c r="E817">
        <v>33.001590826481198</v>
      </c>
      <c r="F817">
        <v>20.077715605114498</v>
      </c>
      <c r="G817">
        <v>0.66325782512294096</v>
      </c>
      <c r="H817">
        <v>0.71802638239323202</v>
      </c>
      <c r="I817">
        <v>6.7948113479961298</v>
      </c>
      <c r="J817">
        <v>107.69189318708401</v>
      </c>
      <c r="K817">
        <v>80.235927436044193</v>
      </c>
      <c r="L817" t="s">
        <v>19</v>
      </c>
      <c r="M817" t="s">
        <v>32</v>
      </c>
      <c r="N817">
        <v>34</v>
      </c>
      <c r="O817">
        <v>78.654468636329895</v>
      </c>
      <c r="P817">
        <v>22.0187418275497</v>
      </c>
      <c r="Q817" t="s">
        <v>21</v>
      </c>
      <c r="R817">
        <v>815</v>
      </c>
      <c r="S817">
        <v>87.689781642245194</v>
      </c>
    </row>
    <row r="818" spans="1:19" x14ac:dyDescent="0.25">
      <c r="A818">
        <v>3060</v>
      </c>
      <c r="B818">
        <v>123.962837082151</v>
      </c>
      <c r="C818">
        <v>1.4930811269528801</v>
      </c>
      <c r="D818">
        <v>63.459653647804501</v>
      </c>
      <c r="E818">
        <v>33.474505182465599</v>
      </c>
      <c r="F818">
        <v>19.944875317484101</v>
      </c>
      <c r="G818">
        <v>1.4483177066833699</v>
      </c>
      <c r="H818">
        <v>0.67397132080118904</v>
      </c>
      <c r="I818">
        <v>7.86653990660405</v>
      </c>
      <c r="J818">
        <v>87.605600501325299</v>
      </c>
      <c r="K818">
        <v>48.671657810867799</v>
      </c>
      <c r="L818" t="s">
        <v>27</v>
      </c>
      <c r="M818" t="s">
        <v>35</v>
      </c>
      <c r="N818">
        <v>32</v>
      </c>
      <c r="O818">
        <v>89.169847386116103</v>
      </c>
      <c r="P818">
        <v>25.4362051871651</v>
      </c>
      <c r="Q818" t="s">
        <v>25</v>
      </c>
      <c r="R818">
        <v>816</v>
      </c>
      <c r="S818">
        <v>75.319279655448199</v>
      </c>
    </row>
    <row r="819" spans="1:19" x14ac:dyDescent="0.25">
      <c r="A819">
        <v>6287</v>
      </c>
      <c r="B819">
        <v>186.16398571336501</v>
      </c>
      <c r="C819">
        <v>1.1551361129679101</v>
      </c>
      <c r="D819">
        <v>65.730864412991195</v>
      </c>
      <c r="E819">
        <v>31.850917253981699</v>
      </c>
      <c r="F819">
        <v>27.1081149203651</v>
      </c>
      <c r="G819">
        <v>0.27148017363004501</v>
      </c>
      <c r="H819">
        <v>0.718745003032489</v>
      </c>
      <c r="I819">
        <v>7.8353791226947598</v>
      </c>
      <c r="J819">
        <v>55.698369214011201</v>
      </c>
      <c r="K819">
        <v>88.443620902648902</v>
      </c>
      <c r="L819" t="s">
        <v>34</v>
      </c>
      <c r="M819" t="s">
        <v>35</v>
      </c>
      <c r="N819">
        <v>37</v>
      </c>
      <c r="O819">
        <v>77.937459629548499</v>
      </c>
      <c r="P819">
        <v>19.485734268003402</v>
      </c>
      <c r="Q819" t="s">
        <v>24</v>
      </c>
      <c r="R819">
        <v>817</v>
      </c>
      <c r="S819">
        <v>104.40950987110401</v>
      </c>
    </row>
    <row r="820" spans="1:19" x14ac:dyDescent="0.25">
      <c r="A820">
        <v>2619</v>
      </c>
      <c r="B820">
        <v>123.715048026852</v>
      </c>
      <c r="C820">
        <v>1.2534385888001101</v>
      </c>
      <c r="D820">
        <v>79.923983747266305</v>
      </c>
      <c r="E820">
        <v>32.292801322287097</v>
      </c>
      <c r="F820">
        <v>20.106200816984501</v>
      </c>
      <c r="G820">
        <v>1.71093446769668</v>
      </c>
      <c r="H820">
        <v>0.55766331970786198</v>
      </c>
      <c r="I820">
        <v>8.9746657038597206</v>
      </c>
      <c r="J820">
        <v>71.268807232881102</v>
      </c>
      <c r="K820">
        <v>86.987578604915697</v>
      </c>
      <c r="L820" t="s">
        <v>27</v>
      </c>
      <c r="M820" t="s">
        <v>32</v>
      </c>
      <c r="N820">
        <v>37</v>
      </c>
      <c r="O820">
        <v>79.0776216240222</v>
      </c>
      <c r="P820">
        <v>24.363514901639299</v>
      </c>
      <c r="Q820" t="s">
        <v>25</v>
      </c>
      <c r="R820">
        <v>818</v>
      </c>
      <c r="S820">
        <v>80.773441892339804</v>
      </c>
    </row>
    <row r="821" spans="1:19" x14ac:dyDescent="0.25">
      <c r="A821">
        <v>9512</v>
      </c>
      <c r="B821">
        <v>138.69102606394</v>
      </c>
      <c r="C821">
        <v>2.2218160017344002</v>
      </c>
      <c r="D821">
        <v>59.293665748646802</v>
      </c>
      <c r="E821">
        <v>32.449633636678698</v>
      </c>
      <c r="F821">
        <v>32.413301610548899</v>
      </c>
      <c r="G821">
        <v>1.0067075246383701</v>
      </c>
      <c r="H821">
        <v>0.60182680749934703</v>
      </c>
      <c r="I821">
        <v>7.5613036854654396</v>
      </c>
      <c r="J821">
        <v>87.574676034717697</v>
      </c>
      <c r="K821">
        <v>39.685252916705998</v>
      </c>
      <c r="L821" t="s">
        <v>34</v>
      </c>
      <c r="M821" t="s">
        <v>30</v>
      </c>
      <c r="N821">
        <v>26</v>
      </c>
      <c r="O821">
        <v>64.729840951154003</v>
      </c>
      <c r="P821">
        <v>17.770039136385599</v>
      </c>
      <c r="Q821" t="s">
        <v>21</v>
      </c>
      <c r="R821">
        <v>819</v>
      </c>
      <c r="S821">
        <v>81.097449169037603</v>
      </c>
    </row>
    <row r="822" spans="1:19" x14ac:dyDescent="0.25">
      <c r="A822">
        <v>2342</v>
      </c>
      <c r="B822">
        <v>165.842199051357</v>
      </c>
      <c r="C822">
        <v>0.87174655286037095</v>
      </c>
      <c r="D822">
        <v>80.229991507237202</v>
      </c>
      <c r="E822">
        <v>34.028042976290998</v>
      </c>
      <c r="F822">
        <v>24.154312095075099</v>
      </c>
      <c r="G822">
        <v>1.34604724584429</v>
      </c>
      <c r="H822">
        <v>0.44614387834590002</v>
      </c>
      <c r="I822">
        <v>9.3502905548292592</v>
      </c>
      <c r="J822">
        <v>116.02523252014301</v>
      </c>
      <c r="K822">
        <v>81.444275281260204</v>
      </c>
      <c r="L822" t="s">
        <v>22</v>
      </c>
      <c r="M822" t="s">
        <v>23</v>
      </c>
      <c r="N822">
        <v>20</v>
      </c>
      <c r="O822">
        <v>70.014584117296195</v>
      </c>
      <c r="P822">
        <v>28.5972428874807</v>
      </c>
      <c r="Q822" t="s">
        <v>24</v>
      </c>
      <c r="R822">
        <v>820</v>
      </c>
      <c r="S822">
        <v>93.914074615647493</v>
      </c>
    </row>
    <row r="823" spans="1:19" x14ac:dyDescent="0.25">
      <c r="A823">
        <v>3832</v>
      </c>
      <c r="B823">
        <v>175.12185776318199</v>
      </c>
      <c r="C823">
        <v>1.9066025933739801</v>
      </c>
      <c r="D823">
        <v>108.703080801204</v>
      </c>
      <c r="E823">
        <v>35.012852505366503</v>
      </c>
      <c r="F823">
        <v>15.6215867000213</v>
      </c>
      <c r="G823">
        <v>0.59822807565202996</v>
      </c>
      <c r="H823">
        <v>0.42875200474971298</v>
      </c>
      <c r="I823">
        <v>3.9939093983880198</v>
      </c>
      <c r="J823">
        <v>45.366945912169598</v>
      </c>
      <c r="K823">
        <v>78.570853066173697</v>
      </c>
      <c r="L823" t="s">
        <v>27</v>
      </c>
      <c r="M823" t="s">
        <v>32</v>
      </c>
      <c r="N823">
        <v>37</v>
      </c>
      <c r="O823">
        <v>71.904617220159096</v>
      </c>
      <c r="P823">
        <v>11.107593736857201</v>
      </c>
      <c r="Q823" t="s">
        <v>31</v>
      </c>
      <c r="R823">
        <v>821</v>
      </c>
      <c r="S823">
        <v>90.699441513873694</v>
      </c>
    </row>
    <row r="824" spans="1:19" x14ac:dyDescent="0.25">
      <c r="A824">
        <v>3824</v>
      </c>
      <c r="B824">
        <v>176.23007153272701</v>
      </c>
      <c r="C824">
        <v>1.36051853483409</v>
      </c>
      <c r="D824">
        <v>86.310020448885197</v>
      </c>
      <c r="E824">
        <v>32.033793897908502</v>
      </c>
      <c r="F824">
        <v>21.3572685337402</v>
      </c>
      <c r="G824">
        <v>1.4187326827852</v>
      </c>
      <c r="H824">
        <v>0.539401421320159</v>
      </c>
      <c r="I824">
        <v>5.5288847507638801</v>
      </c>
      <c r="J824">
        <v>107.497705862411</v>
      </c>
      <c r="K824">
        <v>30.8010297995672</v>
      </c>
      <c r="L824" t="s">
        <v>27</v>
      </c>
      <c r="M824" t="s">
        <v>20</v>
      </c>
      <c r="N824">
        <v>36</v>
      </c>
      <c r="O824">
        <v>62.4191196867881</v>
      </c>
      <c r="P824">
        <v>29.3274905210315</v>
      </c>
      <c r="Q824" t="s">
        <v>31</v>
      </c>
      <c r="R824">
        <v>822</v>
      </c>
      <c r="S824">
        <v>96.195689529746005</v>
      </c>
    </row>
    <row r="825" spans="1:19" x14ac:dyDescent="0.25">
      <c r="A825">
        <v>2994</v>
      </c>
      <c r="B825">
        <v>159.167324611862</v>
      </c>
      <c r="C825">
        <v>1.36011991575208</v>
      </c>
      <c r="D825">
        <v>69.038229853384493</v>
      </c>
      <c r="E825">
        <v>34.292217773589201</v>
      </c>
      <c r="F825">
        <v>18.7416243892179</v>
      </c>
      <c r="G825">
        <v>1.59003249660789</v>
      </c>
      <c r="H825">
        <v>0.44083577263180002</v>
      </c>
      <c r="I825">
        <v>1.12671696954601</v>
      </c>
      <c r="J825">
        <v>112.40778052942601</v>
      </c>
      <c r="K825">
        <v>61.821780058745198</v>
      </c>
      <c r="L825" t="s">
        <v>27</v>
      </c>
      <c r="M825" t="s">
        <v>37</v>
      </c>
      <c r="N825">
        <v>35</v>
      </c>
      <c r="O825">
        <v>67.007524572061698</v>
      </c>
      <c r="P825">
        <v>12.2708569161874</v>
      </c>
      <c r="Q825" t="s">
        <v>29</v>
      </c>
      <c r="R825">
        <v>823</v>
      </c>
      <c r="S825">
        <v>77.422131147676893</v>
      </c>
    </row>
    <row r="826" spans="1:19" x14ac:dyDescent="0.25">
      <c r="A826">
        <v>4490</v>
      </c>
      <c r="B826">
        <v>155.48125051622901</v>
      </c>
      <c r="C826">
        <v>1.8951859480258499</v>
      </c>
      <c r="D826">
        <v>66.336990578934106</v>
      </c>
      <c r="E826">
        <v>30.3963870987291</v>
      </c>
      <c r="F826">
        <v>11.028087650899799</v>
      </c>
      <c r="G826">
        <v>1.05178373639191</v>
      </c>
      <c r="H826">
        <v>0.45707608974910702</v>
      </c>
      <c r="I826">
        <v>1.06261828572962</v>
      </c>
      <c r="J826">
        <v>87.041551465895594</v>
      </c>
      <c r="K826">
        <v>20.451173669236098</v>
      </c>
      <c r="L826" t="s">
        <v>22</v>
      </c>
      <c r="M826" t="s">
        <v>26</v>
      </c>
      <c r="N826">
        <v>37</v>
      </c>
      <c r="O826">
        <v>59.992055316459599</v>
      </c>
      <c r="P826">
        <v>18.131095347837</v>
      </c>
      <c r="Q826" t="s">
        <v>25</v>
      </c>
      <c r="R826">
        <v>824</v>
      </c>
      <c r="S826">
        <v>77.618104553805793</v>
      </c>
    </row>
    <row r="827" spans="1:19" x14ac:dyDescent="0.25">
      <c r="A827">
        <v>8984</v>
      </c>
      <c r="B827">
        <v>146.85053898402299</v>
      </c>
      <c r="C827">
        <v>1.6700256472844399</v>
      </c>
      <c r="D827">
        <v>62.8665373164025</v>
      </c>
      <c r="E827">
        <v>31.5669727186892</v>
      </c>
      <c r="F827">
        <v>29.997354700568899</v>
      </c>
      <c r="G827">
        <v>1.3119084633112199</v>
      </c>
      <c r="H827">
        <v>0.84711062296666495</v>
      </c>
      <c r="I827">
        <v>3.1611395840636698</v>
      </c>
      <c r="J827">
        <v>113.126662740133</v>
      </c>
      <c r="K827">
        <v>77.753304043759599</v>
      </c>
      <c r="L827" t="s">
        <v>19</v>
      </c>
      <c r="M827" t="s">
        <v>23</v>
      </c>
      <c r="N827">
        <v>25</v>
      </c>
      <c r="O827">
        <v>64.835950158966298</v>
      </c>
      <c r="P827">
        <v>8.44567166686927</v>
      </c>
      <c r="Q827" t="s">
        <v>21</v>
      </c>
      <c r="R827">
        <v>825</v>
      </c>
      <c r="S827">
        <v>76.884413393758194</v>
      </c>
    </row>
    <row r="828" spans="1:19" x14ac:dyDescent="0.25">
      <c r="A828">
        <v>2604</v>
      </c>
      <c r="B828">
        <v>150.56722152333199</v>
      </c>
      <c r="C828">
        <v>1.78530649860976</v>
      </c>
      <c r="D828">
        <v>93.612818249042803</v>
      </c>
      <c r="E828">
        <v>31.849465852575801</v>
      </c>
      <c r="F828">
        <v>25.515712711100001</v>
      </c>
      <c r="G828">
        <v>1.0213866628803101</v>
      </c>
      <c r="H828">
        <v>0.42138053335917902</v>
      </c>
      <c r="I828">
        <v>1.9072647742517601</v>
      </c>
      <c r="J828">
        <v>59.787858747736799</v>
      </c>
      <c r="K828">
        <v>28.0909412627622</v>
      </c>
      <c r="L828" t="s">
        <v>27</v>
      </c>
      <c r="M828" t="s">
        <v>20</v>
      </c>
      <c r="N828">
        <v>18</v>
      </c>
      <c r="O828">
        <v>74.727132563096902</v>
      </c>
      <c r="P828">
        <v>22.047747364119399</v>
      </c>
      <c r="Q828" t="s">
        <v>25</v>
      </c>
      <c r="R828">
        <v>826</v>
      </c>
      <c r="S828">
        <v>79.214996505549394</v>
      </c>
    </row>
    <row r="829" spans="1:19" x14ac:dyDescent="0.25">
      <c r="A829">
        <v>1235</v>
      </c>
      <c r="B829">
        <v>123.976285673429</v>
      </c>
      <c r="C829">
        <v>1.9840923302664299</v>
      </c>
      <c r="D829">
        <v>57.453731080973903</v>
      </c>
      <c r="E829">
        <v>31.3769895726711</v>
      </c>
      <c r="F829">
        <v>24.6660365894965</v>
      </c>
      <c r="G829">
        <v>1.80936446466412</v>
      </c>
      <c r="H829">
        <v>0.76241853666410797</v>
      </c>
      <c r="I829">
        <v>3.3419023114217801</v>
      </c>
      <c r="J829">
        <v>115.301617604044</v>
      </c>
      <c r="K829">
        <v>20.311102603932301</v>
      </c>
      <c r="L829" t="s">
        <v>34</v>
      </c>
      <c r="M829" t="s">
        <v>30</v>
      </c>
      <c r="N829">
        <v>32</v>
      </c>
      <c r="O829">
        <v>53.8739002758551</v>
      </c>
      <c r="P829">
        <v>19.0518805482189</v>
      </c>
      <c r="Q829" t="s">
        <v>24</v>
      </c>
      <c r="R829">
        <v>827</v>
      </c>
      <c r="S829">
        <v>66.108220193180898</v>
      </c>
    </row>
    <row r="830" spans="1:19" x14ac:dyDescent="0.25">
      <c r="A830">
        <v>2908</v>
      </c>
      <c r="B830">
        <v>118.63602233155299</v>
      </c>
      <c r="C830">
        <v>1.3343458084083299</v>
      </c>
      <c r="D830">
        <v>70.904454179999604</v>
      </c>
      <c r="E830">
        <v>31.099693932254901</v>
      </c>
      <c r="F830">
        <v>22.827018301498502</v>
      </c>
      <c r="G830">
        <v>1.0961645249257701</v>
      </c>
      <c r="H830">
        <v>0.54990676184846998</v>
      </c>
      <c r="I830">
        <v>2.59338965075557</v>
      </c>
      <c r="J830">
        <v>90.278287716597404</v>
      </c>
      <c r="K830">
        <v>45.016432165410798</v>
      </c>
      <c r="L830" t="s">
        <v>19</v>
      </c>
      <c r="M830" t="s">
        <v>23</v>
      </c>
      <c r="N830">
        <v>36</v>
      </c>
      <c r="O830">
        <v>75.624828861273201</v>
      </c>
      <c r="P830">
        <v>23.909171160376101</v>
      </c>
      <c r="Q830" t="s">
        <v>29</v>
      </c>
      <c r="R830">
        <v>828</v>
      </c>
      <c r="S830">
        <v>61.065288405149602</v>
      </c>
    </row>
    <row r="831" spans="1:19" x14ac:dyDescent="0.25">
      <c r="A831">
        <v>9567</v>
      </c>
      <c r="B831">
        <v>134.93251085177999</v>
      </c>
      <c r="C831">
        <v>1.1938816327461199</v>
      </c>
      <c r="D831">
        <v>71.023958037621696</v>
      </c>
      <c r="E831">
        <v>33.495598694565302</v>
      </c>
      <c r="F831">
        <v>15.0899121565378</v>
      </c>
      <c r="G831">
        <v>1.71525567625187</v>
      </c>
      <c r="H831">
        <v>0.87935012438946902</v>
      </c>
      <c r="I831">
        <v>1.25668022354783</v>
      </c>
      <c r="J831">
        <v>24.2005767418811</v>
      </c>
      <c r="K831">
        <v>58.269160394973198</v>
      </c>
      <c r="L831" t="s">
        <v>19</v>
      </c>
      <c r="M831" t="s">
        <v>23</v>
      </c>
      <c r="N831">
        <v>27</v>
      </c>
      <c r="O831">
        <v>55.381115142454597</v>
      </c>
      <c r="P831">
        <v>4.1297033876490499</v>
      </c>
      <c r="Q831" t="s">
        <v>21</v>
      </c>
      <c r="R831">
        <v>829</v>
      </c>
      <c r="S831">
        <v>67.460577793764799</v>
      </c>
    </row>
    <row r="832" spans="1:19" x14ac:dyDescent="0.25">
      <c r="A832">
        <v>4530</v>
      </c>
      <c r="B832">
        <v>131.59630754950101</v>
      </c>
      <c r="C832">
        <v>0.95742473672110096</v>
      </c>
      <c r="D832">
        <v>59.964316143769302</v>
      </c>
      <c r="E832">
        <v>32.743118762726503</v>
      </c>
      <c r="F832">
        <v>19.581914302222799</v>
      </c>
      <c r="G832">
        <v>1.6424337048864399</v>
      </c>
      <c r="H832">
        <v>0.66674575651762402</v>
      </c>
      <c r="I832">
        <v>9.1837373176544403</v>
      </c>
      <c r="J832">
        <v>110.687283181905</v>
      </c>
      <c r="K832">
        <v>79.118771891982803</v>
      </c>
      <c r="L832" t="s">
        <v>19</v>
      </c>
      <c r="M832" t="s">
        <v>30</v>
      </c>
      <c r="N832">
        <v>29</v>
      </c>
      <c r="O832">
        <v>68.419650137627201</v>
      </c>
      <c r="P832">
        <v>19.070840962960698</v>
      </c>
      <c r="Q832" t="s">
        <v>25</v>
      </c>
      <c r="R832">
        <v>830</v>
      </c>
      <c r="S832">
        <v>84.723356998713697</v>
      </c>
    </row>
    <row r="833" spans="1:19" x14ac:dyDescent="0.25">
      <c r="A833">
        <v>6256</v>
      </c>
      <c r="B833">
        <v>125.935439013454</v>
      </c>
      <c r="C833">
        <v>1.08729473501052</v>
      </c>
      <c r="D833">
        <v>42.550689042317899</v>
      </c>
      <c r="E833">
        <v>33.455286477126101</v>
      </c>
      <c r="F833">
        <v>26.208903873920001</v>
      </c>
      <c r="G833">
        <v>0.93890867842704095</v>
      </c>
      <c r="H833">
        <v>0.56806705263030399</v>
      </c>
      <c r="I833">
        <v>1.0740081825000201</v>
      </c>
      <c r="J833">
        <v>68.447280903319196</v>
      </c>
      <c r="K833">
        <v>88.068189414130202</v>
      </c>
      <c r="L833" t="s">
        <v>27</v>
      </c>
      <c r="M833" t="s">
        <v>32</v>
      </c>
      <c r="N833">
        <v>23</v>
      </c>
      <c r="O833">
        <v>69.147481096042895</v>
      </c>
      <c r="P833">
        <v>21.227845918778499</v>
      </c>
      <c r="Q833" t="s">
        <v>21</v>
      </c>
      <c r="R833">
        <v>831</v>
      </c>
      <c r="S833">
        <v>61.208740407387602</v>
      </c>
    </row>
    <row r="834" spans="1:19" x14ac:dyDescent="0.25">
      <c r="A834">
        <v>3635</v>
      </c>
      <c r="B834">
        <v>148.92774894913401</v>
      </c>
      <c r="C834">
        <v>2.9745472126543602</v>
      </c>
      <c r="D834">
        <v>76.459490072353304</v>
      </c>
      <c r="E834">
        <v>33.8285672233458</v>
      </c>
      <c r="F834">
        <v>16.743899851087399</v>
      </c>
      <c r="G834">
        <v>0.614152085343455</v>
      </c>
      <c r="H834">
        <v>0.68470141462918899</v>
      </c>
      <c r="I834">
        <v>7.6247392990337604</v>
      </c>
      <c r="J834">
        <v>66.0326984777832</v>
      </c>
      <c r="K834">
        <v>47.961938442739701</v>
      </c>
      <c r="L834" t="s">
        <v>22</v>
      </c>
      <c r="M834" t="s">
        <v>30</v>
      </c>
      <c r="N834">
        <v>30</v>
      </c>
      <c r="O834">
        <v>72.582529775271297</v>
      </c>
      <c r="P834">
        <v>10.0913659371629</v>
      </c>
      <c r="Q834" t="s">
        <v>24</v>
      </c>
      <c r="R834">
        <v>832</v>
      </c>
      <c r="S834">
        <v>89.212899032872699</v>
      </c>
    </row>
    <row r="835" spans="1:19" x14ac:dyDescent="0.25">
      <c r="A835">
        <v>9162</v>
      </c>
      <c r="B835">
        <v>154.10610417141001</v>
      </c>
      <c r="C835">
        <v>2.12233979036839</v>
      </c>
      <c r="D835">
        <v>68.7799205628923</v>
      </c>
      <c r="E835">
        <v>33.318740391806998</v>
      </c>
      <c r="F835">
        <v>10</v>
      </c>
      <c r="G835">
        <v>0.93094783860758701</v>
      </c>
      <c r="H835">
        <v>0.61007691047489698</v>
      </c>
      <c r="I835">
        <v>2.3693309822756401</v>
      </c>
      <c r="J835">
        <v>76.646660597963404</v>
      </c>
      <c r="K835">
        <v>19.533519223895201</v>
      </c>
      <c r="L835" t="s">
        <v>22</v>
      </c>
      <c r="M835" t="s">
        <v>33</v>
      </c>
      <c r="N835">
        <v>21</v>
      </c>
      <c r="O835">
        <v>66.5556781374883</v>
      </c>
      <c r="P835">
        <v>22.264127487726501</v>
      </c>
      <c r="Q835" t="s">
        <v>29</v>
      </c>
      <c r="R835">
        <v>833</v>
      </c>
      <c r="S835">
        <v>78.092257693712</v>
      </c>
    </row>
    <row r="836" spans="1:19" x14ac:dyDescent="0.25">
      <c r="A836">
        <v>3560</v>
      </c>
      <c r="B836">
        <v>136.768137725836</v>
      </c>
      <c r="C836">
        <v>0.82446281689598899</v>
      </c>
      <c r="D836">
        <v>80.004809388731402</v>
      </c>
      <c r="E836">
        <v>33.789315811380398</v>
      </c>
      <c r="F836">
        <v>20.864469961095299</v>
      </c>
      <c r="G836">
        <v>1.68719127639539</v>
      </c>
      <c r="H836">
        <v>0.71036558556840601</v>
      </c>
      <c r="I836">
        <v>9.2100665979964003</v>
      </c>
      <c r="J836">
        <v>34.938454677122699</v>
      </c>
      <c r="K836">
        <v>71.183668426940301</v>
      </c>
      <c r="L836" t="s">
        <v>27</v>
      </c>
      <c r="M836" t="s">
        <v>33</v>
      </c>
      <c r="N836">
        <v>30</v>
      </c>
      <c r="O836">
        <v>59.642444151243197</v>
      </c>
      <c r="P836">
        <v>-0.37744380971317698</v>
      </c>
      <c r="Q836" t="s">
        <v>21</v>
      </c>
      <c r="R836">
        <v>834</v>
      </c>
      <c r="S836">
        <v>85.838823131089697</v>
      </c>
    </row>
    <row r="837" spans="1:19" x14ac:dyDescent="0.25">
      <c r="A837">
        <v>6415</v>
      </c>
      <c r="B837">
        <v>164.55060162110499</v>
      </c>
      <c r="C837">
        <v>0.83877102162821404</v>
      </c>
      <c r="D837">
        <v>59.327993871216599</v>
      </c>
      <c r="E837">
        <v>32.916561256509198</v>
      </c>
      <c r="F837">
        <v>21.2912122298623</v>
      </c>
      <c r="G837">
        <v>0.60973856447490604</v>
      </c>
      <c r="H837">
        <v>0.46299307757949099</v>
      </c>
      <c r="I837">
        <v>9.03516345630897</v>
      </c>
      <c r="J837">
        <v>66.916604856739795</v>
      </c>
      <c r="K837">
        <v>57.387994216795299</v>
      </c>
      <c r="L837" t="s">
        <v>34</v>
      </c>
      <c r="M837" t="s">
        <v>26</v>
      </c>
      <c r="N837">
        <v>34</v>
      </c>
      <c r="O837">
        <v>69.476075570414906</v>
      </c>
      <c r="P837">
        <v>16.978197272049599</v>
      </c>
      <c r="Q837" t="s">
        <v>24</v>
      </c>
      <c r="R837">
        <v>835</v>
      </c>
      <c r="S837">
        <v>101.40179074234</v>
      </c>
    </row>
    <row r="838" spans="1:19" x14ac:dyDescent="0.25">
      <c r="A838">
        <v>4391</v>
      </c>
      <c r="B838">
        <v>112.166217717329</v>
      </c>
      <c r="C838">
        <v>1.7409330308592399</v>
      </c>
      <c r="D838">
        <v>94.416425976260896</v>
      </c>
      <c r="E838">
        <v>31.575607934033101</v>
      </c>
      <c r="F838">
        <v>22.677817082073499</v>
      </c>
      <c r="G838">
        <v>1.1439854225439401</v>
      </c>
      <c r="H838">
        <v>0.94834477654690297</v>
      </c>
      <c r="I838">
        <v>6.8851103173233099</v>
      </c>
      <c r="J838">
        <v>103.112721671774</v>
      </c>
      <c r="K838">
        <v>48.591850863334699</v>
      </c>
      <c r="L838" t="s">
        <v>34</v>
      </c>
      <c r="M838" t="s">
        <v>35</v>
      </c>
      <c r="N838">
        <v>18</v>
      </c>
      <c r="O838">
        <v>85.380044713396401</v>
      </c>
      <c r="P838">
        <v>29.299967786030301</v>
      </c>
      <c r="Q838" t="s">
        <v>31</v>
      </c>
      <c r="R838">
        <v>836</v>
      </c>
      <c r="S838">
        <v>77.583531963575695</v>
      </c>
    </row>
    <row r="839" spans="1:19" x14ac:dyDescent="0.25">
      <c r="A839">
        <v>6951</v>
      </c>
      <c r="B839">
        <v>131.12681081440499</v>
      </c>
      <c r="C839">
        <v>1.7736323986889799</v>
      </c>
      <c r="D839">
        <v>52.464524375763098</v>
      </c>
      <c r="E839">
        <v>34.269377016984897</v>
      </c>
      <c r="F839">
        <v>25.6425932175726</v>
      </c>
      <c r="G839">
        <v>1.6509741463293399</v>
      </c>
      <c r="H839">
        <v>0.63405573273319404</v>
      </c>
      <c r="I839">
        <v>7.0501073482054402</v>
      </c>
      <c r="J839">
        <v>21.548245913751501</v>
      </c>
      <c r="K839">
        <v>38.1951659094142</v>
      </c>
      <c r="L839" t="s">
        <v>34</v>
      </c>
      <c r="M839" t="s">
        <v>28</v>
      </c>
      <c r="N839">
        <v>22</v>
      </c>
      <c r="O839">
        <v>67.884726730656098</v>
      </c>
      <c r="P839">
        <v>16.909050402833302</v>
      </c>
      <c r="Q839" t="s">
        <v>21</v>
      </c>
      <c r="R839">
        <v>837</v>
      </c>
      <c r="S839">
        <v>77.265188977652102</v>
      </c>
    </row>
    <row r="840" spans="1:19" x14ac:dyDescent="0.25">
      <c r="A840">
        <v>6468</v>
      </c>
      <c r="B840">
        <v>120.663553587943</v>
      </c>
      <c r="C840">
        <v>1.7744419176586801</v>
      </c>
      <c r="D840">
        <v>104.240805680357</v>
      </c>
      <c r="E840">
        <v>32.293065440662602</v>
      </c>
      <c r="F840">
        <v>25.188029061156001</v>
      </c>
      <c r="G840">
        <v>0.83625945523108103</v>
      </c>
      <c r="H840">
        <v>0.59152685183905196</v>
      </c>
      <c r="I840">
        <v>1.0480522777271899</v>
      </c>
      <c r="J840">
        <v>47.291716032437101</v>
      </c>
      <c r="K840">
        <v>52.679889588265098</v>
      </c>
      <c r="L840" t="s">
        <v>27</v>
      </c>
      <c r="M840" t="s">
        <v>26</v>
      </c>
      <c r="N840">
        <v>34</v>
      </c>
      <c r="O840">
        <v>60.948987486016499</v>
      </c>
      <c r="P840">
        <v>12.247483489760199</v>
      </c>
      <c r="Q840" t="s">
        <v>29</v>
      </c>
      <c r="R840">
        <v>838</v>
      </c>
      <c r="S840">
        <v>62.852637284805802</v>
      </c>
    </row>
    <row r="841" spans="1:19" x14ac:dyDescent="0.25">
      <c r="A841">
        <v>9007</v>
      </c>
      <c r="B841">
        <v>97.6692676585388</v>
      </c>
      <c r="C841">
        <v>1.37252210322315</v>
      </c>
      <c r="D841">
        <v>35.047269803434702</v>
      </c>
      <c r="E841">
        <v>31.877284441484999</v>
      </c>
      <c r="F841">
        <v>23.293849026219601</v>
      </c>
      <c r="G841">
        <v>1.3559773466048499</v>
      </c>
      <c r="H841">
        <v>0.79061541657394496</v>
      </c>
      <c r="I841">
        <v>9.8638440950224098</v>
      </c>
      <c r="J841">
        <v>20.245458644384399</v>
      </c>
      <c r="K841">
        <v>40.400970334277297</v>
      </c>
      <c r="L841" t="s">
        <v>22</v>
      </c>
      <c r="M841" t="s">
        <v>26</v>
      </c>
      <c r="N841">
        <v>35</v>
      </c>
      <c r="O841">
        <v>64.262852445849106</v>
      </c>
      <c r="P841">
        <v>17.482831813718199</v>
      </c>
      <c r="Q841" t="s">
        <v>21</v>
      </c>
      <c r="R841">
        <v>839</v>
      </c>
      <c r="S841">
        <v>70.722862773486</v>
      </c>
    </row>
    <row r="842" spans="1:19" x14ac:dyDescent="0.25">
      <c r="A842">
        <v>7413</v>
      </c>
      <c r="B842">
        <v>133.34638628314599</v>
      </c>
      <c r="C842">
        <v>1.43727286999855</v>
      </c>
      <c r="D842">
        <v>78.695401291137799</v>
      </c>
      <c r="E842">
        <v>32.786498549034697</v>
      </c>
      <c r="F842">
        <v>27.977656940433501</v>
      </c>
      <c r="G842">
        <v>0.64213683328786597</v>
      </c>
      <c r="H842">
        <v>0.60014467357243195</v>
      </c>
      <c r="I842">
        <v>8.9004934321823299</v>
      </c>
      <c r="J842">
        <v>61.571130914984799</v>
      </c>
      <c r="K842">
        <v>71.775890081051998</v>
      </c>
      <c r="L842" t="s">
        <v>27</v>
      </c>
      <c r="M842" t="s">
        <v>37</v>
      </c>
      <c r="N842">
        <v>24</v>
      </c>
      <c r="O842">
        <v>69.201903758379103</v>
      </c>
      <c r="P842">
        <v>18.7924390183633</v>
      </c>
      <c r="Q842" t="s">
        <v>21</v>
      </c>
      <c r="R842">
        <v>840</v>
      </c>
      <c r="S842">
        <v>85.114118765876995</v>
      </c>
    </row>
    <row r="843" spans="1:19" x14ac:dyDescent="0.25">
      <c r="A843">
        <v>7941</v>
      </c>
      <c r="B843">
        <v>132.56504983233401</v>
      </c>
      <c r="C843">
        <v>1.6639397620796701</v>
      </c>
      <c r="D843">
        <v>79.508613650532396</v>
      </c>
      <c r="E843">
        <v>31.9046268968441</v>
      </c>
      <c r="F843">
        <v>14.4051510959334</v>
      </c>
      <c r="G843">
        <v>0.39670300166268702</v>
      </c>
      <c r="H843">
        <v>0.85830086776581604</v>
      </c>
      <c r="I843">
        <v>9.0559560315708207</v>
      </c>
      <c r="J843">
        <v>92.831551049373402</v>
      </c>
      <c r="K843">
        <v>55.792027236948002</v>
      </c>
      <c r="L843" t="s">
        <v>22</v>
      </c>
      <c r="M843" t="s">
        <v>28</v>
      </c>
      <c r="N843">
        <v>33</v>
      </c>
      <c r="O843">
        <v>65.851029722771401</v>
      </c>
      <c r="P843">
        <v>25.170828341004</v>
      </c>
      <c r="Q843" t="s">
        <v>24</v>
      </c>
      <c r="R843">
        <v>841</v>
      </c>
      <c r="S843">
        <v>84.370352629893304</v>
      </c>
    </row>
    <row r="844" spans="1:19" x14ac:dyDescent="0.25">
      <c r="A844">
        <v>5820</v>
      </c>
      <c r="B844">
        <v>165.268994864842</v>
      </c>
      <c r="C844">
        <v>1.54294650314666</v>
      </c>
      <c r="D844">
        <v>54.088858641182298</v>
      </c>
      <c r="E844">
        <v>32.499083541612599</v>
      </c>
      <c r="F844">
        <v>24.522909072386899</v>
      </c>
      <c r="G844">
        <v>1.6298916051671399</v>
      </c>
      <c r="H844">
        <v>0.64984889839823301</v>
      </c>
      <c r="I844">
        <v>6.9332008334578399</v>
      </c>
      <c r="J844">
        <v>99.877182911462796</v>
      </c>
      <c r="K844">
        <v>80.763583061558293</v>
      </c>
      <c r="L844" t="s">
        <v>19</v>
      </c>
      <c r="M844" t="s">
        <v>35</v>
      </c>
      <c r="N844">
        <v>25</v>
      </c>
      <c r="O844">
        <v>64.739348579223702</v>
      </c>
      <c r="P844">
        <v>19.039095940194098</v>
      </c>
      <c r="Q844" t="s">
        <v>25</v>
      </c>
      <c r="R844">
        <v>842</v>
      </c>
      <c r="S844">
        <v>95.2249786660567</v>
      </c>
    </row>
    <row r="845" spans="1:19" x14ac:dyDescent="0.25">
      <c r="A845">
        <v>3898</v>
      </c>
      <c r="B845">
        <v>147.616233691095</v>
      </c>
      <c r="C845">
        <v>0.390349813626232</v>
      </c>
      <c r="D845">
        <v>78.487878757220201</v>
      </c>
      <c r="E845">
        <v>33.412864705876103</v>
      </c>
      <c r="F845">
        <v>25.132691816684702</v>
      </c>
      <c r="G845">
        <v>0.37814352213567198</v>
      </c>
      <c r="H845">
        <v>0.79575712729598902</v>
      </c>
      <c r="I845">
        <v>4.1030823578908198</v>
      </c>
      <c r="J845">
        <v>114.5189761127</v>
      </c>
      <c r="K845">
        <v>55.7657935987081</v>
      </c>
      <c r="L845" t="s">
        <v>27</v>
      </c>
      <c r="M845" t="s">
        <v>23</v>
      </c>
      <c r="N845">
        <v>29</v>
      </c>
      <c r="O845">
        <v>78.6194569386452</v>
      </c>
      <c r="P845">
        <v>24.096238537490599</v>
      </c>
      <c r="Q845" t="s">
        <v>25</v>
      </c>
      <c r="R845">
        <v>843</v>
      </c>
      <c r="S845">
        <v>74.340487126151103</v>
      </c>
    </row>
    <row r="846" spans="1:19" x14ac:dyDescent="0.25">
      <c r="A846">
        <v>8546</v>
      </c>
      <c r="B846">
        <v>114.516263513415</v>
      </c>
      <c r="C846">
        <v>1.3851001847124</v>
      </c>
      <c r="D846">
        <v>95.590373395203102</v>
      </c>
      <c r="E846">
        <v>33.418010087095297</v>
      </c>
      <c r="F846">
        <v>15.802188569598799</v>
      </c>
      <c r="G846">
        <v>0.68848651114325199</v>
      </c>
      <c r="H846">
        <v>0.45909926904303699</v>
      </c>
      <c r="I846">
        <v>9.04283784181432</v>
      </c>
      <c r="J846">
        <v>80.850461297078596</v>
      </c>
      <c r="K846">
        <v>32.869681000494701</v>
      </c>
      <c r="L846" t="s">
        <v>22</v>
      </c>
      <c r="M846" t="s">
        <v>28</v>
      </c>
      <c r="N846">
        <v>31</v>
      </c>
      <c r="O846">
        <v>72.138253731905905</v>
      </c>
      <c r="P846">
        <v>18.736419393294501</v>
      </c>
      <c r="Q846" t="s">
        <v>21</v>
      </c>
      <c r="R846">
        <v>844</v>
      </c>
      <c r="S846">
        <v>74.0039364695796</v>
      </c>
    </row>
    <row r="847" spans="1:19" x14ac:dyDescent="0.25">
      <c r="A847">
        <v>1077</v>
      </c>
      <c r="B847">
        <v>172.08185132668299</v>
      </c>
      <c r="C847">
        <v>1.07429678286984</v>
      </c>
      <c r="D847">
        <v>25.663623212918701</v>
      </c>
      <c r="E847">
        <v>31.922603920289198</v>
      </c>
      <c r="F847">
        <v>14.485646956588001</v>
      </c>
      <c r="G847">
        <v>1.73919695959539</v>
      </c>
      <c r="H847">
        <v>0.86536555205531096</v>
      </c>
      <c r="I847">
        <v>3.6236523533607299</v>
      </c>
      <c r="J847">
        <v>45.462686665289503</v>
      </c>
      <c r="K847">
        <v>78.831891167410802</v>
      </c>
      <c r="L847" t="s">
        <v>19</v>
      </c>
      <c r="M847" t="s">
        <v>37</v>
      </c>
      <c r="N847">
        <v>36</v>
      </c>
      <c r="O847">
        <v>67.0518450893546</v>
      </c>
      <c r="P847">
        <v>12.0054511324941</v>
      </c>
      <c r="Q847" t="s">
        <v>29</v>
      </c>
      <c r="R847">
        <v>845</v>
      </c>
      <c r="S847">
        <v>85.211366746484103</v>
      </c>
    </row>
    <row r="848" spans="1:19" x14ac:dyDescent="0.25">
      <c r="A848">
        <v>8577</v>
      </c>
      <c r="B848">
        <v>159.42067391050699</v>
      </c>
      <c r="C848">
        <v>1.5876057094542499</v>
      </c>
      <c r="D848">
        <v>80.054896149816202</v>
      </c>
      <c r="E848">
        <v>32.414753552461498</v>
      </c>
      <c r="F848">
        <v>18.270289367621899</v>
      </c>
      <c r="G848">
        <v>0.823644716741601</v>
      </c>
      <c r="H848">
        <v>0.80464489272796003</v>
      </c>
      <c r="I848">
        <v>6.0644038900798201</v>
      </c>
      <c r="J848">
        <v>112.414794913669</v>
      </c>
      <c r="K848">
        <v>56.791428369753298</v>
      </c>
      <c r="L848" t="s">
        <v>19</v>
      </c>
      <c r="M848" t="s">
        <v>36</v>
      </c>
      <c r="N848">
        <v>28</v>
      </c>
      <c r="O848">
        <v>67.113131371030093</v>
      </c>
      <c r="P848">
        <v>6.7851525396647796</v>
      </c>
      <c r="Q848" t="s">
        <v>29</v>
      </c>
      <c r="R848">
        <v>846</v>
      </c>
      <c r="S848">
        <v>84.160142078699806</v>
      </c>
    </row>
    <row r="849" spans="1:19" x14ac:dyDescent="0.25">
      <c r="A849">
        <v>5227</v>
      </c>
      <c r="B849">
        <v>146.64195406937199</v>
      </c>
      <c r="C849">
        <v>2.9926295013017001</v>
      </c>
      <c r="D849">
        <v>20.1345835933984</v>
      </c>
      <c r="E849">
        <v>34.2891996057242</v>
      </c>
      <c r="F849">
        <v>18.692292787423501</v>
      </c>
      <c r="G849">
        <v>1.9514816291254899</v>
      </c>
      <c r="H849">
        <v>0.51644422815408098</v>
      </c>
      <c r="I849">
        <v>1.89757875109494</v>
      </c>
      <c r="J849">
        <v>97.531575388037595</v>
      </c>
      <c r="K849">
        <v>30.513077860767002</v>
      </c>
      <c r="L849" t="s">
        <v>27</v>
      </c>
      <c r="M849" t="s">
        <v>26</v>
      </c>
      <c r="N849">
        <v>29</v>
      </c>
      <c r="O849">
        <v>69.385430652276099</v>
      </c>
      <c r="P849">
        <v>20.9734657142915</v>
      </c>
      <c r="Q849" t="s">
        <v>24</v>
      </c>
      <c r="R849">
        <v>847</v>
      </c>
      <c r="S849">
        <v>69.271651036119195</v>
      </c>
    </row>
    <row r="850" spans="1:19" x14ac:dyDescent="0.25">
      <c r="A850">
        <v>1600</v>
      </c>
      <c r="B850">
        <v>130.47031802300299</v>
      </c>
      <c r="C850">
        <v>1.6837408327371499</v>
      </c>
      <c r="D850">
        <v>50.686703929535803</v>
      </c>
      <c r="E850">
        <v>33.595680141280702</v>
      </c>
      <c r="F850">
        <v>25.7670973175121</v>
      </c>
      <c r="G850">
        <v>1.96352180259294</v>
      </c>
      <c r="H850">
        <v>0.479907305360182</v>
      </c>
      <c r="I850">
        <v>9.2976006711947505</v>
      </c>
      <c r="J850">
        <v>77.442848300314395</v>
      </c>
      <c r="K850">
        <v>61.763085746716598</v>
      </c>
      <c r="L850" t="s">
        <v>22</v>
      </c>
      <c r="M850" t="s">
        <v>30</v>
      </c>
      <c r="N850">
        <v>30</v>
      </c>
      <c r="O850">
        <v>72.482514761043802</v>
      </c>
      <c r="P850">
        <v>-1.7698735749941701</v>
      </c>
      <c r="Q850" t="s">
        <v>21</v>
      </c>
      <c r="R850">
        <v>848</v>
      </c>
      <c r="S850">
        <v>77.878958828671799</v>
      </c>
    </row>
    <row r="851" spans="1:19" x14ac:dyDescent="0.25">
      <c r="A851">
        <v>2065</v>
      </c>
      <c r="B851">
        <v>115.81121526553</v>
      </c>
      <c r="C851">
        <v>1.3432351569137999</v>
      </c>
      <c r="D851">
        <v>102.58332729801801</v>
      </c>
      <c r="E851">
        <v>35.490078047218198</v>
      </c>
      <c r="F851">
        <v>18.927306081544501</v>
      </c>
      <c r="G851">
        <v>0.68289683681640201</v>
      </c>
      <c r="H851">
        <v>0.57396079179909298</v>
      </c>
      <c r="I851">
        <v>2.2669341199409199</v>
      </c>
      <c r="J851">
        <v>89.564021571893505</v>
      </c>
      <c r="K851">
        <v>41.828757370681998</v>
      </c>
      <c r="L851" t="s">
        <v>19</v>
      </c>
      <c r="M851" t="s">
        <v>26</v>
      </c>
      <c r="N851">
        <v>25</v>
      </c>
      <c r="O851">
        <v>78.258519651907903</v>
      </c>
      <c r="P851">
        <v>3.8783852390154498</v>
      </c>
      <c r="Q851" t="s">
        <v>21</v>
      </c>
      <c r="R851">
        <v>849</v>
      </c>
      <c r="S851">
        <v>57.448227187737999</v>
      </c>
    </row>
    <row r="852" spans="1:19" x14ac:dyDescent="0.25">
      <c r="A852">
        <v>3136</v>
      </c>
      <c r="B852">
        <v>127.555864478578</v>
      </c>
      <c r="C852">
        <v>1.96090075098862</v>
      </c>
      <c r="D852">
        <v>58.364359332158898</v>
      </c>
      <c r="E852">
        <v>34.416153808489803</v>
      </c>
      <c r="F852">
        <v>17.7182574085939</v>
      </c>
      <c r="G852">
        <v>0.27376080004980202</v>
      </c>
      <c r="H852">
        <v>0.936838822317547</v>
      </c>
      <c r="I852">
        <v>3.0240712515736599</v>
      </c>
      <c r="J852">
        <v>112.431635500742</v>
      </c>
      <c r="K852">
        <v>78.330420921904903</v>
      </c>
      <c r="L852" t="s">
        <v>27</v>
      </c>
      <c r="M852" t="s">
        <v>32</v>
      </c>
      <c r="N852">
        <v>18</v>
      </c>
      <c r="O852">
        <v>64.704701703725803</v>
      </c>
      <c r="P852">
        <v>6.8157235899524196</v>
      </c>
      <c r="Q852" t="s">
        <v>25</v>
      </c>
      <c r="R852">
        <v>850</v>
      </c>
      <c r="S852">
        <v>66.012180753333197</v>
      </c>
    </row>
    <row r="853" spans="1:19" x14ac:dyDescent="0.25">
      <c r="A853">
        <v>7943</v>
      </c>
      <c r="B853">
        <v>156.77497239408299</v>
      </c>
      <c r="C853">
        <v>1.7413439436046001</v>
      </c>
      <c r="D853">
        <v>46.522400711820502</v>
      </c>
      <c r="E853">
        <v>34.373151682271903</v>
      </c>
      <c r="F853">
        <v>18.9418313165272</v>
      </c>
      <c r="G853">
        <v>1.4691139115696801</v>
      </c>
      <c r="H853">
        <v>0.54125736601188201</v>
      </c>
      <c r="I853">
        <v>6.0232074231539299</v>
      </c>
      <c r="J853">
        <v>91.239402847292098</v>
      </c>
      <c r="K853">
        <v>48.997480398490701</v>
      </c>
      <c r="L853" t="s">
        <v>19</v>
      </c>
      <c r="M853" t="s">
        <v>37</v>
      </c>
      <c r="N853">
        <v>26</v>
      </c>
      <c r="O853">
        <v>60.044630673534002</v>
      </c>
      <c r="P853">
        <v>23.716977606704301</v>
      </c>
      <c r="Q853" t="s">
        <v>24</v>
      </c>
      <c r="R853">
        <v>851</v>
      </c>
      <c r="S853">
        <v>87.130948968903098</v>
      </c>
    </row>
    <row r="854" spans="1:19" x14ac:dyDescent="0.25">
      <c r="A854">
        <v>8804</v>
      </c>
      <c r="B854">
        <v>172.691726118692</v>
      </c>
      <c r="C854">
        <v>1.7100472452259201</v>
      </c>
      <c r="D854">
        <v>66.041245420306296</v>
      </c>
      <c r="E854">
        <v>31.334557739453</v>
      </c>
      <c r="F854">
        <v>27.593161670771</v>
      </c>
      <c r="G854">
        <v>1.01177570476701</v>
      </c>
      <c r="H854">
        <v>0.65086996492064797</v>
      </c>
      <c r="I854">
        <v>7.8768370019168303</v>
      </c>
      <c r="J854">
        <v>56.837450758473402</v>
      </c>
      <c r="K854">
        <v>69.483101858056202</v>
      </c>
      <c r="L854" t="s">
        <v>34</v>
      </c>
      <c r="M854" t="s">
        <v>26</v>
      </c>
      <c r="N854">
        <v>19</v>
      </c>
      <c r="O854">
        <v>63.551138498854897</v>
      </c>
      <c r="P854">
        <v>6.08165755999529</v>
      </c>
      <c r="Q854" t="s">
        <v>31</v>
      </c>
      <c r="R854">
        <v>852</v>
      </c>
      <c r="S854">
        <v>99.440147365043202</v>
      </c>
    </row>
    <row r="855" spans="1:19" x14ac:dyDescent="0.25">
      <c r="A855">
        <v>7565</v>
      </c>
      <c r="B855">
        <v>165.864870565443</v>
      </c>
      <c r="C855">
        <v>1.8034252966078299</v>
      </c>
      <c r="D855">
        <v>111.358126763271</v>
      </c>
      <c r="E855">
        <v>33.916632421960102</v>
      </c>
      <c r="F855">
        <v>22.065216871884701</v>
      </c>
      <c r="G855">
        <v>0.38135511912723702</v>
      </c>
      <c r="H855">
        <v>0.41651112414453501</v>
      </c>
      <c r="I855">
        <v>6.5741617534266901</v>
      </c>
      <c r="J855">
        <v>91.302820228909596</v>
      </c>
      <c r="K855">
        <v>22.165215572717699</v>
      </c>
      <c r="L855" t="s">
        <v>27</v>
      </c>
      <c r="M855" t="s">
        <v>26</v>
      </c>
      <c r="N855">
        <v>31</v>
      </c>
      <c r="O855">
        <v>60.9952623145833</v>
      </c>
      <c r="P855">
        <v>21.761101415170401</v>
      </c>
      <c r="Q855" t="s">
        <v>29</v>
      </c>
      <c r="R855">
        <v>853</v>
      </c>
      <c r="S855">
        <v>89.566700005811398</v>
      </c>
    </row>
    <row r="856" spans="1:19" x14ac:dyDescent="0.25">
      <c r="A856">
        <v>6984</v>
      </c>
      <c r="B856">
        <v>125.223011564274</v>
      </c>
      <c r="C856">
        <v>2.52827178241477</v>
      </c>
      <c r="D856">
        <v>33.366355055879403</v>
      </c>
      <c r="E856">
        <v>32.936271837963702</v>
      </c>
      <c r="F856">
        <v>21.103744873215401</v>
      </c>
      <c r="G856">
        <v>1.47354107416047</v>
      </c>
      <c r="H856">
        <v>0.618475141261427</v>
      </c>
      <c r="I856">
        <v>3.0892052152014</v>
      </c>
      <c r="J856">
        <v>24.027816273538701</v>
      </c>
      <c r="K856">
        <v>44.701825972675898</v>
      </c>
      <c r="L856" t="s">
        <v>19</v>
      </c>
      <c r="M856" t="s">
        <v>28</v>
      </c>
      <c r="N856">
        <v>30</v>
      </c>
      <c r="O856">
        <v>55.791940366801001</v>
      </c>
      <c r="P856">
        <v>9.7441811346846308</v>
      </c>
      <c r="Q856" t="s">
        <v>29</v>
      </c>
      <c r="R856">
        <v>854</v>
      </c>
      <c r="S856">
        <v>59.243419765104498</v>
      </c>
    </row>
    <row r="857" spans="1:19" x14ac:dyDescent="0.25">
      <c r="A857">
        <v>6142</v>
      </c>
      <c r="B857">
        <v>112.607651334219</v>
      </c>
      <c r="C857">
        <v>0.93455578233704195</v>
      </c>
      <c r="D857">
        <v>48.973801767213097</v>
      </c>
      <c r="E857">
        <v>32.338821835754104</v>
      </c>
      <c r="F857">
        <v>21.449972506494699</v>
      </c>
      <c r="G857">
        <v>0.25611483640145799</v>
      </c>
      <c r="H857">
        <v>0.71422600848820605</v>
      </c>
      <c r="I857">
        <v>1.0084873827474099</v>
      </c>
      <c r="J857">
        <v>58.6415561830581</v>
      </c>
      <c r="K857">
        <v>88.743107735429902</v>
      </c>
      <c r="L857" t="s">
        <v>27</v>
      </c>
      <c r="M857" t="s">
        <v>28</v>
      </c>
      <c r="N857">
        <v>33</v>
      </c>
      <c r="O857">
        <v>79.284795328078204</v>
      </c>
      <c r="P857">
        <v>16.828134611921701</v>
      </c>
      <c r="Q857" t="s">
        <v>21</v>
      </c>
      <c r="R857">
        <v>855</v>
      </c>
      <c r="S857">
        <v>56.786210026748698</v>
      </c>
    </row>
    <row r="858" spans="1:19" x14ac:dyDescent="0.25">
      <c r="A858">
        <v>5670</v>
      </c>
      <c r="B858">
        <v>137.81772493822399</v>
      </c>
      <c r="C858">
        <v>1.7368160384057201</v>
      </c>
      <c r="D858">
        <v>99.948633663592503</v>
      </c>
      <c r="E858">
        <v>33.201618408639</v>
      </c>
      <c r="F858">
        <v>28.4603016716326</v>
      </c>
      <c r="G858">
        <v>1.76635404288603</v>
      </c>
      <c r="H858">
        <v>0.92421853687938005</v>
      </c>
      <c r="I858">
        <v>7.8143552227669497</v>
      </c>
      <c r="J858">
        <v>60.632303184557898</v>
      </c>
      <c r="K858">
        <v>75.634521710786103</v>
      </c>
      <c r="L858" t="s">
        <v>27</v>
      </c>
      <c r="M858" t="s">
        <v>30</v>
      </c>
      <c r="N858">
        <v>19</v>
      </c>
      <c r="O858">
        <v>74.836689001060407</v>
      </c>
      <c r="P858">
        <v>17.499171807668901</v>
      </c>
      <c r="Q858" t="s">
        <v>24</v>
      </c>
      <c r="R858">
        <v>856</v>
      </c>
      <c r="S858">
        <v>81.690317991391197</v>
      </c>
    </row>
    <row r="859" spans="1:19" x14ac:dyDescent="0.25">
      <c r="A859">
        <v>3190</v>
      </c>
      <c r="B859">
        <v>99.631212688742906</v>
      </c>
      <c r="C859">
        <v>1.0368094350092301</v>
      </c>
      <c r="D859">
        <v>107.154046870754</v>
      </c>
      <c r="E859">
        <v>34.134253841533699</v>
      </c>
      <c r="F859">
        <v>18.254141366983699</v>
      </c>
      <c r="G859">
        <v>0.449574552403946</v>
      </c>
      <c r="H859">
        <v>0.68420482471703503</v>
      </c>
      <c r="I859">
        <v>9.8668659331998398</v>
      </c>
      <c r="J859">
        <v>36.683823442083401</v>
      </c>
      <c r="K859">
        <v>26.9955601775196</v>
      </c>
      <c r="L859" t="s">
        <v>22</v>
      </c>
      <c r="M859" t="s">
        <v>20</v>
      </c>
      <c r="N859">
        <v>21</v>
      </c>
      <c r="O859">
        <v>49.731864455449902</v>
      </c>
      <c r="P859">
        <v>16.708380521857499</v>
      </c>
      <c r="Q859" t="s">
        <v>31</v>
      </c>
      <c r="R859">
        <v>857</v>
      </c>
      <c r="S859">
        <v>68.654726635247499</v>
      </c>
    </row>
    <row r="860" spans="1:19" x14ac:dyDescent="0.25">
      <c r="A860">
        <v>3712</v>
      </c>
      <c r="B860">
        <v>141.463354283695</v>
      </c>
      <c r="C860">
        <v>1.77775632317112</v>
      </c>
      <c r="D860">
        <v>67.931375514194301</v>
      </c>
      <c r="E860">
        <v>33.600997909204999</v>
      </c>
      <c r="F860">
        <v>28.577541454700501</v>
      </c>
      <c r="G860">
        <v>0.42916138174410501</v>
      </c>
      <c r="H860">
        <v>0.85050902939772799</v>
      </c>
      <c r="I860">
        <v>8.2892180827548092</v>
      </c>
      <c r="J860">
        <v>22.308548055176999</v>
      </c>
      <c r="K860">
        <v>35.8323037107941</v>
      </c>
      <c r="L860" t="s">
        <v>22</v>
      </c>
      <c r="M860" t="s">
        <v>32</v>
      </c>
      <c r="N860">
        <v>29</v>
      </c>
      <c r="O860">
        <v>69.743574943680599</v>
      </c>
      <c r="P860">
        <v>12.8268025128092</v>
      </c>
      <c r="Q860" t="s">
        <v>29</v>
      </c>
      <c r="R860">
        <v>858</v>
      </c>
      <c r="S860">
        <v>81.828977772025993</v>
      </c>
    </row>
    <row r="861" spans="1:19" x14ac:dyDescent="0.25">
      <c r="A861">
        <v>3192</v>
      </c>
      <c r="B861">
        <v>132.047948274026</v>
      </c>
      <c r="C861">
        <v>1.0406567442569501</v>
      </c>
      <c r="D861">
        <v>45.218945949467098</v>
      </c>
      <c r="E861">
        <v>31.945831438389501</v>
      </c>
      <c r="F861">
        <v>23.052481494607498</v>
      </c>
      <c r="G861">
        <v>0.51621013634345203</v>
      </c>
      <c r="H861">
        <v>0.70092020341289496</v>
      </c>
      <c r="I861">
        <v>5.1418595634095299</v>
      </c>
      <c r="J861">
        <v>33.338123663774198</v>
      </c>
      <c r="K861">
        <v>39.736185664227001</v>
      </c>
      <c r="L861" t="s">
        <v>19</v>
      </c>
      <c r="M861" t="s">
        <v>30</v>
      </c>
      <c r="N861">
        <v>33</v>
      </c>
      <c r="O861">
        <v>64.986123044672595</v>
      </c>
      <c r="P861">
        <v>5.4690132516704697</v>
      </c>
      <c r="Q861" t="s">
        <v>24</v>
      </c>
      <c r="R861">
        <v>859</v>
      </c>
      <c r="S861">
        <v>74.429557484933696</v>
      </c>
    </row>
    <row r="862" spans="1:19" x14ac:dyDescent="0.25">
      <c r="A862">
        <v>2248</v>
      </c>
      <c r="B862">
        <v>125.679269962635</v>
      </c>
      <c r="C862">
        <v>1.29131659319745</v>
      </c>
      <c r="D862">
        <v>111.916870036183</v>
      </c>
      <c r="E862">
        <v>33.890950696311101</v>
      </c>
      <c r="F862">
        <v>21.197903090123202</v>
      </c>
      <c r="G862">
        <v>1.9284794452857099</v>
      </c>
      <c r="H862">
        <v>0.42243175738953498</v>
      </c>
      <c r="I862">
        <v>9.1339053525919596</v>
      </c>
      <c r="J862">
        <v>85.462149579705496</v>
      </c>
      <c r="K862">
        <v>63.777417037158401</v>
      </c>
      <c r="L862" t="s">
        <v>27</v>
      </c>
      <c r="M862" t="s">
        <v>36</v>
      </c>
      <c r="N862">
        <v>27</v>
      </c>
      <c r="O862">
        <v>64.032733362366898</v>
      </c>
      <c r="P862">
        <v>18.214661898518301</v>
      </c>
      <c r="Q862" t="s">
        <v>31</v>
      </c>
      <c r="R862">
        <v>860</v>
      </c>
      <c r="S862">
        <v>77.966223430228993</v>
      </c>
    </row>
    <row r="863" spans="1:19" x14ac:dyDescent="0.25">
      <c r="A863">
        <v>5033</v>
      </c>
      <c r="B863">
        <v>103.105938654664</v>
      </c>
      <c r="C863">
        <v>1.35245504288104</v>
      </c>
      <c r="D863">
        <v>101.888847834983</v>
      </c>
      <c r="E863">
        <v>32.234894949508799</v>
      </c>
      <c r="F863">
        <v>34.504502489671403</v>
      </c>
      <c r="G863">
        <v>1.4477048484569199</v>
      </c>
      <c r="H863">
        <v>0.57325455135437497</v>
      </c>
      <c r="I863">
        <v>4.6886290580651497</v>
      </c>
      <c r="J863">
        <v>100.228881636368</v>
      </c>
      <c r="K863">
        <v>71.774606961724103</v>
      </c>
      <c r="L863" t="s">
        <v>27</v>
      </c>
      <c r="M863" t="s">
        <v>32</v>
      </c>
      <c r="N863">
        <v>20</v>
      </c>
      <c r="O863">
        <v>48.107828219030402</v>
      </c>
      <c r="P863">
        <v>22.461233130262499</v>
      </c>
      <c r="Q863" t="s">
        <v>21</v>
      </c>
      <c r="R863">
        <v>861</v>
      </c>
      <c r="S863">
        <v>57.163020779169301</v>
      </c>
    </row>
    <row r="864" spans="1:19" x14ac:dyDescent="0.25">
      <c r="A864">
        <v>2997</v>
      </c>
      <c r="B864">
        <v>145.272002131394</v>
      </c>
      <c r="C864">
        <v>1.9879083596723499</v>
      </c>
      <c r="D864">
        <v>83.578939755244605</v>
      </c>
      <c r="E864">
        <v>33.260019742757102</v>
      </c>
      <c r="F864">
        <v>16.721802551006999</v>
      </c>
      <c r="G864">
        <v>1.6424687638345401</v>
      </c>
      <c r="H864">
        <v>0.71655222930710605</v>
      </c>
      <c r="I864">
        <v>5.7244067581911997</v>
      </c>
      <c r="J864">
        <v>118.820349272697</v>
      </c>
      <c r="K864">
        <v>71.214495660593201</v>
      </c>
      <c r="L864" t="s">
        <v>34</v>
      </c>
      <c r="M864" t="s">
        <v>28</v>
      </c>
      <c r="N864">
        <v>21</v>
      </c>
      <c r="O864">
        <v>67.798052639456301</v>
      </c>
      <c r="P864">
        <v>23.4336602418574</v>
      </c>
      <c r="Q864" t="s">
        <v>25</v>
      </c>
      <c r="R864">
        <v>862</v>
      </c>
      <c r="S864">
        <v>86.397290720153407</v>
      </c>
    </row>
    <row r="865" spans="1:19" x14ac:dyDescent="0.25">
      <c r="A865">
        <v>4687</v>
      </c>
      <c r="B865">
        <v>124.34598320676101</v>
      </c>
      <c r="C865">
        <v>1.9592272219711999</v>
      </c>
      <c r="D865">
        <v>53.751953021251502</v>
      </c>
      <c r="E865">
        <v>32.635979919027399</v>
      </c>
      <c r="F865">
        <v>20.231571202164901</v>
      </c>
      <c r="G865">
        <v>0.91574297431895502</v>
      </c>
      <c r="H865">
        <v>0.92282668126211798</v>
      </c>
      <c r="I865">
        <v>5.2941679065611398</v>
      </c>
      <c r="J865">
        <v>54.636350310849402</v>
      </c>
      <c r="K865">
        <v>53.240554222980201</v>
      </c>
      <c r="L865" t="s">
        <v>27</v>
      </c>
      <c r="M865" t="s">
        <v>26</v>
      </c>
      <c r="N865">
        <v>23</v>
      </c>
      <c r="O865">
        <v>68.615444729683404</v>
      </c>
      <c r="P865">
        <v>18.654310403620499</v>
      </c>
      <c r="Q865" t="s">
        <v>29</v>
      </c>
      <c r="R865">
        <v>863</v>
      </c>
      <c r="S865">
        <v>72.503869359129098</v>
      </c>
    </row>
    <row r="866" spans="1:19" x14ac:dyDescent="0.25">
      <c r="A866">
        <v>5018</v>
      </c>
      <c r="B866">
        <v>111.601663285794</v>
      </c>
      <c r="C866">
        <v>0.87714131177680699</v>
      </c>
      <c r="D866">
        <v>69.019413183239195</v>
      </c>
      <c r="E866">
        <v>32.737360497917201</v>
      </c>
      <c r="F866">
        <v>15.837843804179901</v>
      </c>
      <c r="G866">
        <v>0.80536290950891998</v>
      </c>
      <c r="H866">
        <v>0.87252169786317801</v>
      </c>
      <c r="I866">
        <v>5.02861485398972</v>
      </c>
      <c r="J866">
        <v>79.937922226110103</v>
      </c>
      <c r="K866">
        <v>75.811540337861302</v>
      </c>
      <c r="L866" t="s">
        <v>22</v>
      </c>
      <c r="M866" t="s">
        <v>23</v>
      </c>
      <c r="N866">
        <v>22</v>
      </c>
      <c r="O866">
        <v>58.5848356266983</v>
      </c>
      <c r="P866">
        <v>20.0608256379628</v>
      </c>
      <c r="Q866" t="s">
        <v>29</v>
      </c>
      <c r="R866">
        <v>864</v>
      </c>
      <c r="S866">
        <v>63.833667690286902</v>
      </c>
    </row>
    <row r="867" spans="1:19" x14ac:dyDescent="0.25">
      <c r="A867">
        <v>2970</v>
      </c>
      <c r="B867">
        <v>77.554755734367006</v>
      </c>
      <c r="C867">
        <v>1.5274670554999199</v>
      </c>
      <c r="D867">
        <v>66.792798379103303</v>
      </c>
      <c r="E867">
        <v>33.919491570048599</v>
      </c>
      <c r="F867">
        <v>26.762309852680801</v>
      </c>
      <c r="G867">
        <v>0.62207121220970496</v>
      </c>
      <c r="H867">
        <v>0.52559558779836602</v>
      </c>
      <c r="I867">
        <v>7.9767169236451503</v>
      </c>
      <c r="J867">
        <v>113.714496681512</v>
      </c>
      <c r="K867">
        <v>47.780856206810597</v>
      </c>
      <c r="L867" t="s">
        <v>27</v>
      </c>
      <c r="M867" t="s">
        <v>26</v>
      </c>
      <c r="N867">
        <v>35</v>
      </c>
      <c r="O867">
        <v>80.981969231923301</v>
      </c>
      <c r="P867">
        <v>11.8311339063709</v>
      </c>
      <c r="Q867" t="s">
        <v>31</v>
      </c>
      <c r="R867">
        <v>865</v>
      </c>
      <c r="S867">
        <v>47.002667329581499</v>
      </c>
    </row>
    <row r="868" spans="1:19" x14ac:dyDescent="0.25">
      <c r="A868">
        <v>9389</v>
      </c>
      <c r="B868">
        <v>134.449701898987</v>
      </c>
      <c r="C868">
        <v>1.14521007262541</v>
      </c>
      <c r="D868">
        <v>76.617026092311505</v>
      </c>
      <c r="E868">
        <v>31.7517675362209</v>
      </c>
      <c r="F868">
        <v>30.445944668258299</v>
      </c>
      <c r="G868">
        <v>1.06516645096233</v>
      </c>
      <c r="H868">
        <v>0.52106040651053998</v>
      </c>
      <c r="I868">
        <v>5.7409201654254201</v>
      </c>
      <c r="J868">
        <v>36.704178133815198</v>
      </c>
      <c r="K868">
        <v>24.2910423971671</v>
      </c>
      <c r="L868" t="s">
        <v>22</v>
      </c>
      <c r="M868" t="s">
        <v>35</v>
      </c>
      <c r="N868">
        <v>20</v>
      </c>
      <c r="O868">
        <v>74.330793046346898</v>
      </c>
      <c r="P868">
        <v>21.595757561273</v>
      </c>
      <c r="Q868" t="s">
        <v>25</v>
      </c>
      <c r="R868">
        <v>866</v>
      </c>
      <c r="S868">
        <v>75.361170273968597</v>
      </c>
    </row>
    <row r="869" spans="1:19" x14ac:dyDescent="0.25">
      <c r="A869">
        <v>6765</v>
      </c>
      <c r="B869">
        <v>170.44503193339401</v>
      </c>
      <c r="C869">
        <v>0.87074754466233195</v>
      </c>
      <c r="D869">
        <v>99.020028762626694</v>
      </c>
      <c r="E869">
        <v>35.334234089132302</v>
      </c>
      <c r="F869">
        <v>30.349613907023102</v>
      </c>
      <c r="G869">
        <v>1.1932917203615001</v>
      </c>
      <c r="H869">
        <v>0.51064513191264504</v>
      </c>
      <c r="I869">
        <v>3.85045409822694</v>
      </c>
      <c r="J869">
        <v>91.764558634274195</v>
      </c>
      <c r="K869">
        <v>57.333138124035997</v>
      </c>
      <c r="L869" t="s">
        <v>34</v>
      </c>
      <c r="M869" t="s">
        <v>30</v>
      </c>
      <c r="N869">
        <v>27</v>
      </c>
      <c r="O869">
        <v>59.469309840628199</v>
      </c>
      <c r="P869">
        <v>21.301349217148001</v>
      </c>
      <c r="Q869" t="s">
        <v>24</v>
      </c>
      <c r="R869">
        <v>867</v>
      </c>
      <c r="S869">
        <v>87.9237994948964</v>
      </c>
    </row>
    <row r="870" spans="1:19" x14ac:dyDescent="0.25">
      <c r="A870">
        <v>2202</v>
      </c>
      <c r="B870">
        <v>168.225184290957</v>
      </c>
      <c r="C870">
        <v>1.39149147478781</v>
      </c>
      <c r="D870">
        <v>87.588340822747995</v>
      </c>
      <c r="E870">
        <v>30.814696716846601</v>
      </c>
      <c r="F870">
        <v>28.11974376573</v>
      </c>
      <c r="G870">
        <v>1.33719471857495</v>
      </c>
      <c r="H870">
        <v>0.90737439296637601</v>
      </c>
      <c r="I870">
        <v>3.3234235089262998</v>
      </c>
      <c r="J870">
        <v>95.497873314916305</v>
      </c>
      <c r="K870">
        <v>86.422603845083003</v>
      </c>
      <c r="L870" t="s">
        <v>19</v>
      </c>
      <c r="M870" t="s">
        <v>32</v>
      </c>
      <c r="N870">
        <v>28</v>
      </c>
      <c r="O870">
        <v>76.184402987761104</v>
      </c>
      <c r="P870">
        <v>15.6175780837335</v>
      </c>
      <c r="Q870" t="s">
        <v>21</v>
      </c>
      <c r="R870">
        <v>868</v>
      </c>
      <c r="S870">
        <v>89.695467468969298</v>
      </c>
    </row>
    <row r="871" spans="1:19" x14ac:dyDescent="0.25">
      <c r="A871">
        <v>9135</v>
      </c>
      <c r="B871">
        <v>125.858074868274</v>
      </c>
      <c r="C871">
        <v>1.3457586057720901</v>
      </c>
      <c r="D871">
        <v>48.452478460304803</v>
      </c>
      <c r="E871">
        <v>32.282798780094097</v>
      </c>
      <c r="F871">
        <v>21.0118976610201</v>
      </c>
      <c r="G871">
        <v>0.66281330719764997</v>
      </c>
      <c r="H871">
        <v>0.86896638420594596</v>
      </c>
      <c r="I871">
        <v>1.3397258527069</v>
      </c>
      <c r="J871">
        <v>28.8975535869338</v>
      </c>
      <c r="K871">
        <v>74.474523854438303</v>
      </c>
      <c r="L871" t="s">
        <v>22</v>
      </c>
      <c r="M871" t="s">
        <v>23</v>
      </c>
      <c r="N871">
        <v>36</v>
      </c>
      <c r="O871">
        <v>64.275568090503697</v>
      </c>
      <c r="P871">
        <v>18.3846755874753</v>
      </c>
      <c r="Q871" t="s">
        <v>24</v>
      </c>
      <c r="R871">
        <v>869</v>
      </c>
      <c r="S871">
        <v>56.943486620561501</v>
      </c>
    </row>
    <row r="872" spans="1:19" x14ac:dyDescent="0.25">
      <c r="A872">
        <v>6567</v>
      </c>
      <c r="B872">
        <v>122.955758792764</v>
      </c>
      <c r="C872">
        <v>2.7133582431727601</v>
      </c>
      <c r="D872">
        <v>97.529929000390695</v>
      </c>
      <c r="E872">
        <v>33.444254267929999</v>
      </c>
      <c r="F872">
        <v>20.1737951125507</v>
      </c>
      <c r="G872">
        <v>1.9075773456253799</v>
      </c>
      <c r="H872">
        <v>0.82618588773912105</v>
      </c>
      <c r="I872">
        <v>6.2487564569474099</v>
      </c>
      <c r="J872">
        <v>106.124938518306</v>
      </c>
      <c r="K872">
        <v>58.4025485769181</v>
      </c>
      <c r="L872" t="s">
        <v>19</v>
      </c>
      <c r="M872" t="s">
        <v>35</v>
      </c>
      <c r="N872">
        <v>31</v>
      </c>
      <c r="O872">
        <v>76.440866565719304</v>
      </c>
      <c r="P872">
        <v>17.785635873548198</v>
      </c>
      <c r="Q872" t="s">
        <v>31</v>
      </c>
      <c r="R872">
        <v>870</v>
      </c>
      <c r="S872">
        <v>76.706409846359605</v>
      </c>
    </row>
    <row r="873" spans="1:19" x14ac:dyDescent="0.25">
      <c r="A873">
        <v>8667</v>
      </c>
      <c r="B873">
        <v>144.37548512149999</v>
      </c>
      <c r="C873">
        <v>1.7164799126803401</v>
      </c>
      <c r="D873">
        <v>76.262642800263095</v>
      </c>
      <c r="E873">
        <v>33.7011769997223</v>
      </c>
      <c r="F873">
        <v>13.644151137529599</v>
      </c>
      <c r="G873">
        <v>0.50556529677284401</v>
      </c>
      <c r="H873">
        <v>0.61600431282332502</v>
      </c>
      <c r="I873">
        <v>3.0696527386093</v>
      </c>
      <c r="J873">
        <v>101.31050471108399</v>
      </c>
      <c r="K873">
        <v>63.510424526182199</v>
      </c>
      <c r="L873" t="s">
        <v>19</v>
      </c>
      <c r="M873" t="s">
        <v>36</v>
      </c>
      <c r="N873">
        <v>38</v>
      </c>
      <c r="O873">
        <v>56.456819645309899</v>
      </c>
      <c r="P873">
        <v>21.652338478632199</v>
      </c>
      <c r="Q873" t="s">
        <v>29</v>
      </c>
      <c r="R873">
        <v>871</v>
      </c>
      <c r="S873">
        <v>76.146228293188699</v>
      </c>
    </row>
    <row r="874" spans="1:19" x14ac:dyDescent="0.25">
      <c r="A874">
        <v>6742</v>
      </c>
      <c r="B874">
        <v>115.032291216234</v>
      </c>
      <c r="C874">
        <v>0.81119124962288103</v>
      </c>
      <c r="D874">
        <v>83.741315917178298</v>
      </c>
      <c r="E874">
        <v>32.879429135313899</v>
      </c>
      <c r="F874">
        <v>32.1793676759089</v>
      </c>
      <c r="G874">
        <v>1.93817571457954</v>
      </c>
      <c r="H874">
        <v>0.67740938736432099</v>
      </c>
      <c r="I874">
        <v>2.33320529814744</v>
      </c>
      <c r="J874">
        <v>23.340300657743398</v>
      </c>
      <c r="K874">
        <v>84.792152027667896</v>
      </c>
      <c r="L874" t="s">
        <v>19</v>
      </c>
      <c r="M874" t="s">
        <v>26</v>
      </c>
      <c r="N874">
        <v>28</v>
      </c>
      <c r="O874">
        <v>69.360493780046497</v>
      </c>
      <c r="P874">
        <v>5.6493784313425</v>
      </c>
      <c r="Q874" t="s">
        <v>29</v>
      </c>
      <c r="R874">
        <v>872</v>
      </c>
      <c r="S874">
        <v>54.196116915222603</v>
      </c>
    </row>
    <row r="875" spans="1:19" x14ac:dyDescent="0.25">
      <c r="A875">
        <v>6788</v>
      </c>
      <c r="B875">
        <v>141.03583799638901</v>
      </c>
      <c r="C875">
        <v>1.21761299791452</v>
      </c>
      <c r="D875">
        <v>99.330817185572002</v>
      </c>
      <c r="E875">
        <v>32.931131156398102</v>
      </c>
      <c r="F875">
        <v>24.3448903907423</v>
      </c>
      <c r="G875">
        <v>0.226741020513506</v>
      </c>
      <c r="H875">
        <v>0.65538245963733399</v>
      </c>
      <c r="I875">
        <v>6.8844696744490896</v>
      </c>
      <c r="J875">
        <v>29.108441488005099</v>
      </c>
      <c r="K875">
        <v>47.125709582622001</v>
      </c>
      <c r="L875" t="s">
        <v>19</v>
      </c>
      <c r="M875" t="s">
        <v>20</v>
      </c>
      <c r="N875">
        <v>38</v>
      </c>
      <c r="O875">
        <v>58.269839697347699</v>
      </c>
      <c r="P875">
        <v>5.4903308961847701</v>
      </c>
      <c r="Q875" t="s">
        <v>24</v>
      </c>
      <c r="R875">
        <v>873</v>
      </c>
      <c r="S875">
        <v>82.401531496934098</v>
      </c>
    </row>
    <row r="876" spans="1:19" x14ac:dyDescent="0.25">
      <c r="A876">
        <v>6408</v>
      </c>
      <c r="B876">
        <v>150.32160556769301</v>
      </c>
      <c r="C876">
        <v>2.0106916477146899</v>
      </c>
      <c r="D876">
        <v>47.768395009728899</v>
      </c>
      <c r="E876">
        <v>33.492660102393103</v>
      </c>
      <c r="F876">
        <v>19.540215475652499</v>
      </c>
      <c r="G876">
        <v>1.06602624527032</v>
      </c>
      <c r="H876">
        <v>0.53936895915765404</v>
      </c>
      <c r="I876">
        <v>7.1308833203939397</v>
      </c>
      <c r="J876">
        <v>24.9126893891852</v>
      </c>
      <c r="K876">
        <v>39.854560420697801</v>
      </c>
      <c r="L876" t="s">
        <v>22</v>
      </c>
      <c r="M876" t="s">
        <v>37</v>
      </c>
      <c r="N876">
        <v>21</v>
      </c>
      <c r="O876">
        <v>61.301020301313201</v>
      </c>
      <c r="P876">
        <v>5.9055355397664302</v>
      </c>
      <c r="Q876" t="s">
        <v>21</v>
      </c>
      <c r="R876">
        <v>874</v>
      </c>
      <c r="S876">
        <v>83.912918218333203</v>
      </c>
    </row>
    <row r="877" spans="1:19" x14ac:dyDescent="0.25">
      <c r="A877">
        <v>9669</v>
      </c>
      <c r="B877">
        <v>159.53866447768601</v>
      </c>
      <c r="C877">
        <v>2.5442213864349599</v>
      </c>
      <c r="D877">
        <v>69.283488425870701</v>
      </c>
      <c r="E877">
        <v>32.722716627050701</v>
      </c>
      <c r="F877">
        <v>28.6402844449348</v>
      </c>
      <c r="G877">
        <v>0.80006210860981297</v>
      </c>
      <c r="H877">
        <v>0.67776542538182105</v>
      </c>
      <c r="I877">
        <v>7.7693940303189901</v>
      </c>
      <c r="J877">
        <v>53.474353179936202</v>
      </c>
      <c r="K877">
        <v>88.293117375033603</v>
      </c>
      <c r="L877" t="s">
        <v>34</v>
      </c>
      <c r="M877" t="s">
        <v>35</v>
      </c>
      <c r="N877">
        <v>39</v>
      </c>
      <c r="O877">
        <v>52.546683357182502</v>
      </c>
      <c r="P877">
        <v>14.441870138751</v>
      </c>
      <c r="Q877" t="s">
        <v>31</v>
      </c>
      <c r="R877">
        <v>875</v>
      </c>
      <c r="S877">
        <v>86.395724172959106</v>
      </c>
    </row>
    <row r="878" spans="1:19" x14ac:dyDescent="0.25">
      <c r="A878">
        <v>1922</v>
      </c>
      <c r="B878">
        <v>132.9969184704</v>
      </c>
      <c r="C878">
        <v>0.70700834388101996</v>
      </c>
      <c r="D878">
        <v>59.370908972815698</v>
      </c>
      <c r="E878">
        <v>34.671817509521802</v>
      </c>
      <c r="F878">
        <v>17.136177416199899</v>
      </c>
      <c r="G878">
        <v>1.0084221450744499</v>
      </c>
      <c r="H878">
        <v>0.41677310131901402</v>
      </c>
      <c r="I878">
        <v>5.5321920670473199</v>
      </c>
      <c r="J878">
        <v>70.928899067992603</v>
      </c>
      <c r="K878">
        <v>79.758235013274998</v>
      </c>
      <c r="L878" t="s">
        <v>27</v>
      </c>
      <c r="M878" t="s">
        <v>26</v>
      </c>
      <c r="N878">
        <v>23</v>
      </c>
      <c r="O878">
        <v>58.124353734992802</v>
      </c>
      <c r="P878">
        <v>21.642459802420799</v>
      </c>
      <c r="Q878" t="s">
        <v>21</v>
      </c>
      <c r="R878">
        <v>876</v>
      </c>
      <c r="S878">
        <v>73.495374890452993</v>
      </c>
    </row>
    <row r="879" spans="1:19" x14ac:dyDescent="0.25">
      <c r="A879">
        <v>1419</v>
      </c>
      <c r="B879">
        <v>130.92652499645999</v>
      </c>
      <c r="C879">
        <v>0.56003780743047704</v>
      </c>
      <c r="D879">
        <v>38.642811492690797</v>
      </c>
      <c r="E879">
        <v>34.007218937077901</v>
      </c>
      <c r="F879">
        <v>24.0331101711133</v>
      </c>
      <c r="G879">
        <v>1.2271962421654199</v>
      </c>
      <c r="H879">
        <v>0.47249570542360197</v>
      </c>
      <c r="I879">
        <v>9.0464914468349793</v>
      </c>
      <c r="J879">
        <v>73.234772795462803</v>
      </c>
      <c r="K879">
        <v>39.228268846395103</v>
      </c>
      <c r="L879" t="s">
        <v>22</v>
      </c>
      <c r="M879" t="s">
        <v>26</v>
      </c>
      <c r="N879">
        <v>34</v>
      </c>
      <c r="O879">
        <v>58.0776295131786</v>
      </c>
      <c r="P879">
        <v>3.2087418509341603E-2</v>
      </c>
      <c r="Q879" t="s">
        <v>31</v>
      </c>
      <c r="R879">
        <v>877</v>
      </c>
      <c r="S879">
        <v>79.755800352445704</v>
      </c>
    </row>
    <row r="880" spans="1:19" x14ac:dyDescent="0.25">
      <c r="A880">
        <v>3204</v>
      </c>
      <c r="B880">
        <v>117.44034826486801</v>
      </c>
      <c r="C880">
        <v>2.4354825876858901</v>
      </c>
      <c r="D880">
        <v>76.934199552098306</v>
      </c>
      <c r="E880">
        <v>34.0473892212067</v>
      </c>
      <c r="F880">
        <v>21.136854328545802</v>
      </c>
      <c r="G880">
        <v>0.98406048442287597</v>
      </c>
      <c r="H880">
        <v>0.88762427789291998</v>
      </c>
      <c r="I880">
        <v>9.4270847805840496</v>
      </c>
      <c r="J880">
        <v>46.7666759769442</v>
      </c>
      <c r="K880">
        <v>49.783544802069201</v>
      </c>
      <c r="L880" t="s">
        <v>34</v>
      </c>
      <c r="M880" t="s">
        <v>32</v>
      </c>
      <c r="N880">
        <v>39</v>
      </c>
      <c r="O880">
        <v>57.077194147517403</v>
      </c>
      <c r="P880">
        <v>18.752052759098198</v>
      </c>
      <c r="Q880" t="s">
        <v>21</v>
      </c>
      <c r="R880">
        <v>878</v>
      </c>
      <c r="S880">
        <v>76.754445935601694</v>
      </c>
    </row>
    <row r="881" spans="1:19" x14ac:dyDescent="0.25">
      <c r="A881">
        <v>2120</v>
      </c>
      <c r="B881">
        <v>118.462392919202</v>
      </c>
      <c r="C881">
        <v>1.69480708868545</v>
      </c>
      <c r="D881">
        <v>120.23113103168799</v>
      </c>
      <c r="E881">
        <v>31.8406119319555</v>
      </c>
      <c r="F881">
        <v>25.1933856994015</v>
      </c>
      <c r="G881">
        <v>0.94672433054287097</v>
      </c>
      <c r="H881">
        <v>0.81342387186728204</v>
      </c>
      <c r="I881">
        <v>8.2663384581324006</v>
      </c>
      <c r="J881">
        <v>111.159688656027</v>
      </c>
      <c r="K881">
        <v>46.130859675584901</v>
      </c>
      <c r="L881" t="s">
        <v>27</v>
      </c>
      <c r="M881" t="s">
        <v>32</v>
      </c>
      <c r="N881">
        <v>36</v>
      </c>
      <c r="O881">
        <v>69.508917249709</v>
      </c>
      <c r="P881">
        <v>27.550002465202599</v>
      </c>
      <c r="Q881" t="s">
        <v>24</v>
      </c>
      <c r="R881">
        <v>879</v>
      </c>
      <c r="S881">
        <v>77.2388982795961</v>
      </c>
    </row>
    <row r="882" spans="1:19" x14ac:dyDescent="0.25">
      <c r="A882">
        <v>1950</v>
      </c>
      <c r="B882">
        <v>130.470422161969</v>
      </c>
      <c r="C882">
        <v>1.0658536340618101</v>
      </c>
      <c r="D882">
        <v>33.198445109884901</v>
      </c>
      <c r="E882">
        <v>32.904733890713104</v>
      </c>
      <c r="F882">
        <v>21.682132304069299</v>
      </c>
      <c r="G882">
        <v>1.5189021477439499</v>
      </c>
      <c r="H882">
        <v>0.63257762498249703</v>
      </c>
      <c r="I882">
        <v>6.7203413380736796</v>
      </c>
      <c r="J882">
        <v>56.826278987191301</v>
      </c>
      <c r="K882">
        <v>26.1821759003575</v>
      </c>
      <c r="L882" t="s">
        <v>19</v>
      </c>
      <c r="M882" t="s">
        <v>20</v>
      </c>
      <c r="N882">
        <v>30</v>
      </c>
      <c r="O882">
        <v>53.870482019774897</v>
      </c>
      <c r="P882">
        <v>20.185204699985601</v>
      </c>
      <c r="Q882" t="s">
        <v>25</v>
      </c>
      <c r="R882">
        <v>880</v>
      </c>
      <c r="S882">
        <v>79.530713397388297</v>
      </c>
    </row>
    <row r="883" spans="1:19" x14ac:dyDescent="0.25">
      <c r="A883">
        <v>3336</v>
      </c>
      <c r="B883">
        <v>142.34731013632299</v>
      </c>
      <c r="C883">
        <v>1.7673145430612101</v>
      </c>
      <c r="D883">
        <v>69.354387779010594</v>
      </c>
      <c r="E883">
        <v>32.6394408615351</v>
      </c>
      <c r="F883">
        <v>14.7453605444438</v>
      </c>
      <c r="G883">
        <v>1.4345772951556299</v>
      </c>
      <c r="H883">
        <v>0.68443269925613204</v>
      </c>
      <c r="I883">
        <v>3.7334885823206898</v>
      </c>
      <c r="J883">
        <v>24.555015596535199</v>
      </c>
      <c r="K883">
        <v>86.836449285994405</v>
      </c>
      <c r="L883" t="s">
        <v>27</v>
      </c>
      <c r="M883" t="s">
        <v>35</v>
      </c>
      <c r="N883">
        <v>39</v>
      </c>
      <c r="O883">
        <v>70.390482857140398</v>
      </c>
      <c r="P883">
        <v>1.84886611349908</v>
      </c>
      <c r="Q883" t="s">
        <v>31</v>
      </c>
      <c r="R883">
        <v>881</v>
      </c>
      <c r="S883">
        <v>69.726319742845206</v>
      </c>
    </row>
    <row r="884" spans="1:19" x14ac:dyDescent="0.25">
      <c r="A884">
        <v>6373</v>
      </c>
      <c r="B884">
        <v>153.27169252466399</v>
      </c>
      <c r="C884">
        <v>0.18212613049156101</v>
      </c>
      <c r="D884">
        <v>82.810858701495405</v>
      </c>
      <c r="E884">
        <v>31.793278349172599</v>
      </c>
      <c r="F884">
        <v>22.377881863350101</v>
      </c>
      <c r="G884">
        <v>1.6998883076645199</v>
      </c>
      <c r="H884">
        <v>0.60349938727798702</v>
      </c>
      <c r="I884">
        <v>9.8465042945819903</v>
      </c>
      <c r="J884">
        <v>50.022711154138598</v>
      </c>
      <c r="K884">
        <v>45.323432341481897</v>
      </c>
      <c r="L884" t="s">
        <v>27</v>
      </c>
      <c r="M884" t="s">
        <v>28</v>
      </c>
      <c r="N884">
        <v>27</v>
      </c>
      <c r="O884">
        <v>76.047128254153094</v>
      </c>
      <c r="P884">
        <v>22.168530639983501</v>
      </c>
      <c r="Q884" t="s">
        <v>24</v>
      </c>
      <c r="R884">
        <v>882</v>
      </c>
      <c r="S884">
        <v>93.286719488737106</v>
      </c>
    </row>
    <row r="885" spans="1:19" x14ac:dyDescent="0.25">
      <c r="A885">
        <v>3243</v>
      </c>
      <c r="B885">
        <v>118.936420986393</v>
      </c>
      <c r="C885">
        <v>1.50168775329858</v>
      </c>
      <c r="D885">
        <v>72.461564033123594</v>
      </c>
      <c r="E885">
        <v>33.432197020734897</v>
      </c>
      <c r="F885">
        <v>27.244320709376801</v>
      </c>
      <c r="G885">
        <v>0.64992616623109201</v>
      </c>
      <c r="H885">
        <v>0.80742892693836898</v>
      </c>
      <c r="I885">
        <v>3.4672255047274398</v>
      </c>
      <c r="J885">
        <v>73.110942254415505</v>
      </c>
      <c r="K885">
        <v>80.649681197843094</v>
      </c>
      <c r="L885" t="s">
        <v>34</v>
      </c>
      <c r="M885" t="s">
        <v>32</v>
      </c>
      <c r="N885">
        <v>28</v>
      </c>
      <c r="O885">
        <v>60.887557479556001</v>
      </c>
      <c r="P885">
        <v>19.938250183541602</v>
      </c>
      <c r="Q885" t="s">
        <v>29</v>
      </c>
      <c r="R885">
        <v>883</v>
      </c>
      <c r="S885">
        <v>62.162509025812298</v>
      </c>
    </row>
    <row r="886" spans="1:19" x14ac:dyDescent="0.25">
      <c r="A886">
        <v>3645</v>
      </c>
      <c r="B886">
        <v>164.85377137918999</v>
      </c>
      <c r="C886">
        <v>1.66391058642154</v>
      </c>
      <c r="D886">
        <v>67.737438949685099</v>
      </c>
      <c r="E886">
        <v>32.3548250906642</v>
      </c>
      <c r="F886">
        <v>21.853917970729999</v>
      </c>
      <c r="G886">
        <v>1.2971513175573099</v>
      </c>
      <c r="H886">
        <v>0.83130294857764298</v>
      </c>
      <c r="I886">
        <v>2.82391229791387</v>
      </c>
      <c r="J886">
        <v>60.822182258823197</v>
      </c>
      <c r="K886">
        <v>29.2017170760498</v>
      </c>
      <c r="L886" t="s">
        <v>27</v>
      </c>
      <c r="M886" t="s">
        <v>37</v>
      </c>
      <c r="N886">
        <v>23</v>
      </c>
      <c r="O886">
        <v>67.320420149643098</v>
      </c>
      <c r="P886">
        <v>15.258905990141599</v>
      </c>
      <c r="Q886" t="s">
        <v>29</v>
      </c>
      <c r="R886">
        <v>884</v>
      </c>
      <c r="S886">
        <v>78.980255817405293</v>
      </c>
    </row>
    <row r="887" spans="1:19" x14ac:dyDescent="0.25">
      <c r="A887">
        <v>5612</v>
      </c>
      <c r="B887">
        <v>129.57752797914799</v>
      </c>
      <c r="C887">
        <v>1.9621350697689099</v>
      </c>
      <c r="D887">
        <v>44.015672731083498</v>
      </c>
      <c r="E887">
        <v>33.786484595820198</v>
      </c>
      <c r="F887">
        <v>25.8755756079454</v>
      </c>
      <c r="G887">
        <v>1.25335061370713</v>
      </c>
      <c r="H887">
        <v>0.81980685461173697</v>
      </c>
      <c r="I887">
        <v>4.9793870240792399</v>
      </c>
      <c r="J887">
        <v>47.384251909925901</v>
      </c>
      <c r="K887">
        <v>56.090310797791403</v>
      </c>
      <c r="L887" t="s">
        <v>19</v>
      </c>
      <c r="M887" t="s">
        <v>26</v>
      </c>
      <c r="N887">
        <v>19</v>
      </c>
      <c r="O887">
        <v>65.314848125700905</v>
      </c>
      <c r="P887">
        <v>19.454217758957299</v>
      </c>
      <c r="Q887" t="s">
        <v>21</v>
      </c>
      <c r="R887">
        <v>885</v>
      </c>
      <c r="S887">
        <v>72.032168108310103</v>
      </c>
    </row>
    <row r="888" spans="1:19" x14ac:dyDescent="0.25">
      <c r="A888">
        <v>2865</v>
      </c>
      <c r="B888">
        <v>134.57265411303101</v>
      </c>
      <c r="C888">
        <v>0.99305202385373104</v>
      </c>
      <c r="D888">
        <v>74.6557348588032</v>
      </c>
      <c r="E888">
        <v>31.715770124526799</v>
      </c>
      <c r="F888">
        <v>16.7723525716297</v>
      </c>
      <c r="G888">
        <v>0.865528059570839</v>
      </c>
      <c r="H888">
        <v>0.79743644865894703</v>
      </c>
      <c r="I888">
        <v>1.5115651364114899</v>
      </c>
      <c r="J888">
        <v>33.132324976431697</v>
      </c>
      <c r="K888">
        <v>16.797103884320201</v>
      </c>
      <c r="L888" t="s">
        <v>22</v>
      </c>
      <c r="M888" t="s">
        <v>26</v>
      </c>
      <c r="N888">
        <v>18</v>
      </c>
      <c r="O888">
        <v>64.707886039121902</v>
      </c>
      <c r="P888">
        <v>6.8330777726016096</v>
      </c>
      <c r="Q888" t="s">
        <v>29</v>
      </c>
      <c r="R888">
        <v>886</v>
      </c>
      <c r="S888">
        <v>66.296021142411604</v>
      </c>
    </row>
    <row r="889" spans="1:19" x14ac:dyDescent="0.25">
      <c r="A889">
        <v>7028</v>
      </c>
      <c r="B889">
        <v>120.055766417043</v>
      </c>
      <c r="C889">
        <v>1.54284358070167</v>
      </c>
      <c r="D889">
        <v>54.864720459681401</v>
      </c>
      <c r="E889">
        <v>35.0628487354101</v>
      </c>
      <c r="F889">
        <v>21.8686960336507</v>
      </c>
      <c r="G889">
        <v>1.07490357542482</v>
      </c>
      <c r="H889">
        <v>0.51247738628103701</v>
      </c>
      <c r="I889">
        <v>9.8064501820461096</v>
      </c>
      <c r="J889">
        <v>101.916450009622</v>
      </c>
      <c r="K889">
        <v>72.316536288173097</v>
      </c>
      <c r="L889" t="s">
        <v>22</v>
      </c>
      <c r="M889" t="s">
        <v>36</v>
      </c>
      <c r="N889">
        <v>28</v>
      </c>
      <c r="O889">
        <v>48</v>
      </c>
      <c r="P889">
        <v>18.4079095846351</v>
      </c>
      <c r="Q889" t="s">
        <v>25</v>
      </c>
      <c r="R889">
        <v>887</v>
      </c>
      <c r="S889">
        <v>79.743118826171894</v>
      </c>
    </row>
    <row r="890" spans="1:19" x14ac:dyDescent="0.25">
      <c r="A890">
        <v>8326</v>
      </c>
      <c r="B890">
        <v>86.515194794541102</v>
      </c>
      <c r="C890">
        <v>1.0372876869701999</v>
      </c>
      <c r="D890">
        <v>26.2015659004289</v>
      </c>
      <c r="E890">
        <v>31.924400809689502</v>
      </c>
      <c r="F890">
        <v>18.877447724557101</v>
      </c>
      <c r="G890">
        <v>0.76480785795031103</v>
      </c>
      <c r="H890">
        <v>0.58588348858226302</v>
      </c>
      <c r="I890">
        <v>6.2959020077478201</v>
      </c>
      <c r="J890">
        <v>119.614524212419</v>
      </c>
      <c r="K890">
        <v>58.568542368470801</v>
      </c>
      <c r="L890" t="s">
        <v>34</v>
      </c>
      <c r="M890" t="s">
        <v>36</v>
      </c>
      <c r="N890">
        <v>33</v>
      </c>
      <c r="O890">
        <v>58.985528211139702</v>
      </c>
      <c r="P890">
        <v>21.828738963574899</v>
      </c>
      <c r="Q890" t="s">
        <v>31</v>
      </c>
      <c r="R890">
        <v>888</v>
      </c>
      <c r="S890">
        <v>54.527821706548103</v>
      </c>
    </row>
    <row r="891" spans="1:19" x14ac:dyDescent="0.25">
      <c r="A891">
        <v>7371</v>
      </c>
      <c r="B891">
        <v>152.680907927221</v>
      </c>
      <c r="C891">
        <v>1.6276918778371501</v>
      </c>
      <c r="D891">
        <v>93.891844410274601</v>
      </c>
      <c r="E891">
        <v>33.263162804640501</v>
      </c>
      <c r="F891">
        <v>25.734904200523498</v>
      </c>
      <c r="G891">
        <v>0.45531991571057301</v>
      </c>
      <c r="H891">
        <v>0.65841498924102104</v>
      </c>
      <c r="I891">
        <v>6.0125688249775697</v>
      </c>
      <c r="J891">
        <v>52.954213352388201</v>
      </c>
      <c r="K891">
        <v>61.919218760231402</v>
      </c>
      <c r="L891" t="s">
        <v>19</v>
      </c>
      <c r="M891" t="s">
        <v>20</v>
      </c>
      <c r="N891">
        <v>20</v>
      </c>
      <c r="O891">
        <v>79.691408948617706</v>
      </c>
      <c r="P891">
        <v>12.456590657844901</v>
      </c>
      <c r="Q891" t="s">
        <v>21</v>
      </c>
      <c r="R891">
        <v>889</v>
      </c>
      <c r="S891">
        <v>80.893551420294202</v>
      </c>
    </row>
    <row r="892" spans="1:19" x14ac:dyDescent="0.25">
      <c r="A892">
        <v>7359</v>
      </c>
      <c r="B892">
        <v>149.73687794184801</v>
      </c>
      <c r="C892">
        <v>1.0523268388184801</v>
      </c>
      <c r="D892">
        <v>89.167716396840802</v>
      </c>
      <c r="E892">
        <v>33.9502311724656</v>
      </c>
      <c r="F892">
        <v>22.1574578113099</v>
      </c>
      <c r="G892">
        <v>0.58484217919291903</v>
      </c>
      <c r="H892">
        <v>0.58193614528520998</v>
      </c>
      <c r="I892">
        <v>6.9021665190974701</v>
      </c>
      <c r="J892">
        <v>58.162104417660302</v>
      </c>
      <c r="K892">
        <v>18.879066191599001</v>
      </c>
      <c r="L892" t="s">
        <v>19</v>
      </c>
      <c r="M892" t="s">
        <v>35</v>
      </c>
      <c r="N892">
        <v>22</v>
      </c>
      <c r="O892">
        <v>70.590749787293007</v>
      </c>
      <c r="P892">
        <v>14.233396843402099</v>
      </c>
      <c r="Q892" t="s">
        <v>31</v>
      </c>
      <c r="R892">
        <v>890</v>
      </c>
      <c r="S892">
        <v>82.656178186991397</v>
      </c>
    </row>
    <row r="893" spans="1:19" x14ac:dyDescent="0.25">
      <c r="A893">
        <v>8863</v>
      </c>
      <c r="B893">
        <v>129.373448857635</v>
      </c>
      <c r="C893">
        <v>1.29594958041988</v>
      </c>
      <c r="D893">
        <v>71.033219537021594</v>
      </c>
      <c r="E893">
        <v>32.315231483759803</v>
      </c>
      <c r="F893">
        <v>25.450368381682999</v>
      </c>
      <c r="G893">
        <v>0.38992456352216198</v>
      </c>
      <c r="H893">
        <v>0.81521711008707998</v>
      </c>
      <c r="I893">
        <v>5.4732128299948597</v>
      </c>
      <c r="J893">
        <v>81.803752467695702</v>
      </c>
      <c r="K893">
        <v>30.827874765646101</v>
      </c>
      <c r="L893" t="s">
        <v>27</v>
      </c>
      <c r="M893" t="s">
        <v>33</v>
      </c>
      <c r="N893">
        <v>32</v>
      </c>
      <c r="O893">
        <v>66.068998620569303</v>
      </c>
      <c r="P893">
        <v>13.459001482561501</v>
      </c>
      <c r="Q893" t="s">
        <v>31</v>
      </c>
      <c r="R893">
        <v>891</v>
      </c>
      <c r="S893">
        <v>66.632489187449394</v>
      </c>
    </row>
    <row r="894" spans="1:19" x14ac:dyDescent="0.25">
      <c r="A894">
        <v>4228</v>
      </c>
      <c r="B894">
        <v>136.339814344497</v>
      </c>
      <c r="C894">
        <v>1.00209230260488</v>
      </c>
      <c r="D894">
        <v>74.581493764114001</v>
      </c>
      <c r="E894">
        <v>34.022962372119501</v>
      </c>
      <c r="F894">
        <v>27.438552130789301</v>
      </c>
      <c r="G894">
        <v>1.4295252353422201</v>
      </c>
      <c r="H894">
        <v>0.58114443833747498</v>
      </c>
      <c r="I894">
        <v>1.28857165385087</v>
      </c>
      <c r="J894">
        <v>91.844147473554102</v>
      </c>
      <c r="K894">
        <v>20.574815426518501</v>
      </c>
      <c r="L894" t="s">
        <v>34</v>
      </c>
      <c r="M894" t="s">
        <v>23</v>
      </c>
      <c r="N894">
        <v>32</v>
      </c>
      <c r="O894">
        <v>51.834125772479403</v>
      </c>
      <c r="P894">
        <v>14.197737474301499</v>
      </c>
      <c r="Q894" t="s">
        <v>24</v>
      </c>
      <c r="R894">
        <v>892</v>
      </c>
      <c r="S894">
        <v>62.624220285785697</v>
      </c>
    </row>
    <row r="895" spans="1:19" x14ac:dyDescent="0.25">
      <c r="A895">
        <v>4719</v>
      </c>
      <c r="B895">
        <v>145.318784354082</v>
      </c>
      <c r="C895">
        <v>1.82556812091182</v>
      </c>
      <c r="D895">
        <v>91.486360254311194</v>
      </c>
      <c r="E895">
        <v>31.524979682639501</v>
      </c>
      <c r="F895">
        <v>25.458092875606901</v>
      </c>
      <c r="G895">
        <v>1.38930930759647</v>
      </c>
      <c r="H895">
        <v>0.47602764773193501</v>
      </c>
      <c r="I895">
        <v>6.5108015995635702</v>
      </c>
      <c r="J895">
        <v>59.202953480359099</v>
      </c>
      <c r="K895">
        <v>36.6685736852858</v>
      </c>
      <c r="L895" t="s">
        <v>19</v>
      </c>
      <c r="M895" t="s">
        <v>32</v>
      </c>
      <c r="N895">
        <v>21</v>
      </c>
      <c r="O895">
        <v>72.745347812551103</v>
      </c>
      <c r="P895">
        <v>11.358842952359</v>
      </c>
      <c r="Q895" t="s">
        <v>29</v>
      </c>
      <c r="R895">
        <v>893</v>
      </c>
      <c r="S895">
        <v>78.320079179205393</v>
      </c>
    </row>
    <row r="896" spans="1:19" x14ac:dyDescent="0.25">
      <c r="A896">
        <v>3371</v>
      </c>
      <c r="B896">
        <v>103.74908286226901</v>
      </c>
      <c r="C896">
        <v>1.92922555832833</v>
      </c>
      <c r="D896">
        <v>74.486793135561598</v>
      </c>
      <c r="E896">
        <v>34.742541239018998</v>
      </c>
      <c r="F896">
        <v>23.365592171468201</v>
      </c>
      <c r="G896">
        <v>1.9110914688437699</v>
      </c>
      <c r="H896">
        <v>0.61947224862656702</v>
      </c>
      <c r="I896">
        <v>7.4455648926078704</v>
      </c>
      <c r="J896">
        <v>110.492951698181</v>
      </c>
      <c r="K896">
        <v>62.057925576161303</v>
      </c>
      <c r="L896" t="s">
        <v>19</v>
      </c>
      <c r="M896" t="s">
        <v>35</v>
      </c>
      <c r="N896">
        <v>21</v>
      </c>
      <c r="O896">
        <v>60.706774901514599</v>
      </c>
      <c r="P896">
        <v>11.8349325255683</v>
      </c>
      <c r="Q896" t="s">
        <v>31</v>
      </c>
      <c r="R896">
        <v>894</v>
      </c>
      <c r="S896">
        <v>67.602204563990497</v>
      </c>
    </row>
    <row r="897" spans="1:19" x14ac:dyDescent="0.25">
      <c r="A897">
        <v>3891</v>
      </c>
      <c r="B897">
        <v>124.418946453074</v>
      </c>
      <c r="C897">
        <v>1.38268971502129</v>
      </c>
      <c r="D897">
        <v>88.080351095226206</v>
      </c>
      <c r="E897">
        <v>33.016979117958897</v>
      </c>
      <c r="F897">
        <v>17.008938707442901</v>
      </c>
      <c r="G897">
        <v>1.5134211445650301</v>
      </c>
      <c r="H897">
        <v>0.93895293803030899</v>
      </c>
      <c r="I897">
        <v>4.7507415456164699</v>
      </c>
      <c r="J897">
        <v>76.000398922891804</v>
      </c>
      <c r="K897">
        <v>57.463948823803101</v>
      </c>
      <c r="L897" t="s">
        <v>19</v>
      </c>
      <c r="M897" t="s">
        <v>26</v>
      </c>
      <c r="N897">
        <v>25</v>
      </c>
      <c r="O897">
        <v>58.100252623202799</v>
      </c>
      <c r="P897">
        <v>22.128724472844901</v>
      </c>
      <c r="Q897" t="s">
        <v>25</v>
      </c>
      <c r="R897">
        <v>895</v>
      </c>
      <c r="S897">
        <v>72.043622045357907</v>
      </c>
    </row>
    <row r="898" spans="1:19" x14ac:dyDescent="0.25">
      <c r="A898">
        <v>4756</v>
      </c>
      <c r="B898">
        <v>150.885293592436</v>
      </c>
      <c r="C898">
        <v>1.5191189974800099</v>
      </c>
      <c r="D898">
        <v>64.050355982523001</v>
      </c>
      <c r="E898">
        <v>32.284306310437302</v>
      </c>
      <c r="F898">
        <v>21.9860694466654</v>
      </c>
      <c r="G898">
        <v>0.29368250976103599</v>
      </c>
      <c r="H898">
        <v>0.524234777113466</v>
      </c>
      <c r="I898">
        <v>7.8156601486407302</v>
      </c>
      <c r="J898">
        <v>65.039007640593098</v>
      </c>
      <c r="K898">
        <v>60.9112366210042</v>
      </c>
      <c r="L898" t="s">
        <v>22</v>
      </c>
      <c r="M898" t="s">
        <v>30</v>
      </c>
      <c r="N898">
        <v>24</v>
      </c>
      <c r="O898">
        <v>58.902210876781403</v>
      </c>
      <c r="P898">
        <v>4.0584507296523098</v>
      </c>
      <c r="Q898" t="s">
        <v>25</v>
      </c>
      <c r="R898">
        <v>896</v>
      </c>
      <c r="S898">
        <v>92.424029114831598</v>
      </c>
    </row>
    <row r="899" spans="1:19" x14ac:dyDescent="0.25">
      <c r="A899">
        <v>5225</v>
      </c>
      <c r="B899">
        <v>109.914211536615</v>
      </c>
      <c r="C899">
        <v>0.77570429268322705</v>
      </c>
      <c r="D899">
        <v>96.239674771478903</v>
      </c>
      <c r="E899">
        <v>32.640981873087</v>
      </c>
      <c r="F899">
        <v>19.3345479899208</v>
      </c>
      <c r="G899">
        <v>1.7916413130721101</v>
      </c>
      <c r="H899">
        <v>0.73668726241877502</v>
      </c>
      <c r="I899">
        <v>3.0430116940457799</v>
      </c>
      <c r="J899">
        <v>84.667275315990494</v>
      </c>
      <c r="K899">
        <v>56.193845353341999</v>
      </c>
      <c r="L899" t="s">
        <v>22</v>
      </c>
      <c r="M899" t="s">
        <v>36</v>
      </c>
      <c r="N899">
        <v>34</v>
      </c>
      <c r="O899">
        <v>72.085179264565298</v>
      </c>
      <c r="P899">
        <v>19.4639278771118</v>
      </c>
      <c r="Q899" t="s">
        <v>29</v>
      </c>
      <c r="R899">
        <v>897</v>
      </c>
      <c r="S899">
        <v>59.4453840500152</v>
      </c>
    </row>
    <row r="900" spans="1:19" x14ac:dyDescent="0.25">
      <c r="A900">
        <v>1094</v>
      </c>
      <c r="B900">
        <v>140.871158643332</v>
      </c>
      <c r="C900">
        <v>1.3501616759966</v>
      </c>
      <c r="D900">
        <v>76.415714518653601</v>
      </c>
      <c r="E900">
        <v>33.9707031232712</v>
      </c>
      <c r="F900">
        <v>20.279680216478798</v>
      </c>
      <c r="G900">
        <v>1.7528152933023</v>
      </c>
      <c r="H900">
        <v>0.63813517741183801</v>
      </c>
      <c r="I900">
        <v>2.99148931959565</v>
      </c>
      <c r="J900">
        <v>115.28038482491699</v>
      </c>
      <c r="K900">
        <v>35.4771596756894</v>
      </c>
      <c r="L900" t="s">
        <v>22</v>
      </c>
      <c r="M900" t="s">
        <v>23</v>
      </c>
      <c r="N900">
        <v>32</v>
      </c>
      <c r="O900">
        <v>67.4323066041907</v>
      </c>
      <c r="P900">
        <v>22.113164989524002</v>
      </c>
      <c r="Q900" t="s">
        <v>29</v>
      </c>
      <c r="R900">
        <v>898</v>
      </c>
      <c r="S900">
        <v>71.580268118003502</v>
      </c>
    </row>
    <row r="901" spans="1:19" x14ac:dyDescent="0.25">
      <c r="A901">
        <v>3674</v>
      </c>
      <c r="B901">
        <v>107.86836390753101</v>
      </c>
      <c r="C901">
        <v>1.4748976914791201</v>
      </c>
      <c r="D901">
        <v>73.881038872117401</v>
      </c>
      <c r="E901">
        <v>32.298653649779403</v>
      </c>
      <c r="F901">
        <v>20.127329246248699</v>
      </c>
      <c r="G901">
        <v>0.99797657739085699</v>
      </c>
      <c r="H901">
        <v>0.43906351220712903</v>
      </c>
      <c r="I901">
        <v>2.4527528891881598</v>
      </c>
      <c r="J901">
        <v>99.455229442170506</v>
      </c>
      <c r="K901">
        <v>33.338062300831801</v>
      </c>
      <c r="L901" t="s">
        <v>27</v>
      </c>
      <c r="M901" t="s">
        <v>32</v>
      </c>
      <c r="N901">
        <v>22</v>
      </c>
      <c r="O901">
        <v>74.916777733783704</v>
      </c>
      <c r="P901">
        <v>7.1783954721102301</v>
      </c>
      <c r="Q901" t="s">
        <v>21</v>
      </c>
      <c r="R901">
        <v>899</v>
      </c>
      <c r="S901">
        <v>55.276612421991501</v>
      </c>
    </row>
    <row r="902" spans="1:19" x14ac:dyDescent="0.25">
      <c r="A902">
        <v>7898</v>
      </c>
      <c r="B902">
        <v>144.32859964867001</v>
      </c>
      <c r="C902">
        <v>2.8103965455149802</v>
      </c>
      <c r="D902">
        <v>44.598778225759297</v>
      </c>
      <c r="E902">
        <v>32.100770772692599</v>
      </c>
      <c r="F902">
        <v>17.1003721260887</v>
      </c>
      <c r="G902">
        <v>1.25455349095025</v>
      </c>
      <c r="H902">
        <v>0.66833213329893204</v>
      </c>
      <c r="I902">
        <v>4.3479528381024499</v>
      </c>
      <c r="J902">
        <v>24.001313053512401</v>
      </c>
      <c r="K902">
        <v>25.279476265243499</v>
      </c>
      <c r="L902" t="s">
        <v>27</v>
      </c>
      <c r="M902" t="s">
        <v>28</v>
      </c>
      <c r="N902">
        <v>30</v>
      </c>
      <c r="O902">
        <v>77.005769905036303</v>
      </c>
      <c r="P902">
        <v>17.387513011061099</v>
      </c>
      <c r="Q902" t="s">
        <v>21</v>
      </c>
      <c r="R902">
        <v>900</v>
      </c>
      <c r="S902">
        <v>76.935306329297006</v>
      </c>
    </row>
    <row r="903" spans="1:19" x14ac:dyDescent="0.25">
      <c r="A903">
        <v>1793</v>
      </c>
      <c r="B903">
        <v>134.28717035405001</v>
      </c>
      <c r="C903">
        <v>0.94401648711291797</v>
      </c>
      <c r="D903">
        <v>75.739117086034099</v>
      </c>
      <c r="E903">
        <v>32.734156082899503</v>
      </c>
      <c r="F903">
        <v>12.21330705433</v>
      </c>
      <c r="G903">
        <v>1.9569409984505299</v>
      </c>
      <c r="H903">
        <v>0.78619038075657099</v>
      </c>
      <c r="I903">
        <v>8.6231083185017496</v>
      </c>
      <c r="J903">
        <v>53.230991073995902</v>
      </c>
      <c r="K903">
        <v>78.680315617761906</v>
      </c>
      <c r="L903" t="s">
        <v>27</v>
      </c>
      <c r="M903" t="s">
        <v>28</v>
      </c>
      <c r="N903">
        <v>21</v>
      </c>
      <c r="O903">
        <v>62.084257787547202</v>
      </c>
      <c r="P903">
        <v>10.6676812603438</v>
      </c>
      <c r="Q903" t="s">
        <v>21</v>
      </c>
      <c r="R903">
        <v>901</v>
      </c>
      <c r="S903">
        <v>79.068233774412604</v>
      </c>
    </row>
    <row r="904" spans="1:19" x14ac:dyDescent="0.25">
      <c r="A904">
        <v>3116</v>
      </c>
      <c r="B904">
        <v>102.697363681889</v>
      </c>
      <c r="C904">
        <v>2.2320886193762099</v>
      </c>
      <c r="D904">
        <v>53.360901650110897</v>
      </c>
      <c r="E904">
        <v>31.587645464676001</v>
      </c>
      <c r="F904">
        <v>18.6592847583611</v>
      </c>
      <c r="G904">
        <v>1.1581478549266899</v>
      </c>
      <c r="H904">
        <v>0.68227098670529995</v>
      </c>
      <c r="I904">
        <v>8.4512085593415698</v>
      </c>
      <c r="J904">
        <v>67.054468495122194</v>
      </c>
      <c r="K904">
        <v>61.235951890593299</v>
      </c>
      <c r="L904" t="s">
        <v>19</v>
      </c>
      <c r="M904" t="s">
        <v>36</v>
      </c>
      <c r="N904">
        <v>39</v>
      </c>
      <c r="O904">
        <v>67.658438171093294</v>
      </c>
      <c r="P904">
        <v>27.090623435552999</v>
      </c>
      <c r="Q904" t="s">
        <v>29</v>
      </c>
      <c r="R904">
        <v>902</v>
      </c>
      <c r="S904">
        <v>69.686741029210495</v>
      </c>
    </row>
    <row r="905" spans="1:19" x14ac:dyDescent="0.25">
      <c r="A905">
        <v>6779</v>
      </c>
      <c r="B905">
        <v>158.294787089143</v>
      </c>
      <c r="C905">
        <v>1.9984293867328999</v>
      </c>
      <c r="D905">
        <v>57.234345469430103</v>
      </c>
      <c r="E905">
        <v>35.184652689530097</v>
      </c>
      <c r="F905">
        <v>22.966897259620701</v>
      </c>
      <c r="G905">
        <v>1.8295792910769599</v>
      </c>
      <c r="H905">
        <v>0.87965833506061897</v>
      </c>
      <c r="I905">
        <v>4.4454178716715296</v>
      </c>
      <c r="J905">
        <v>51.451757220910501</v>
      </c>
      <c r="K905">
        <v>28.988325937804401</v>
      </c>
      <c r="L905" t="s">
        <v>22</v>
      </c>
      <c r="M905" t="s">
        <v>35</v>
      </c>
      <c r="N905">
        <v>34</v>
      </c>
      <c r="O905">
        <v>65.575869926625202</v>
      </c>
      <c r="P905">
        <v>16.354957167638499</v>
      </c>
      <c r="Q905" t="s">
        <v>31</v>
      </c>
      <c r="R905">
        <v>903</v>
      </c>
      <c r="S905">
        <v>84.154762854880104</v>
      </c>
    </row>
    <row r="906" spans="1:19" x14ac:dyDescent="0.25">
      <c r="A906">
        <v>7166</v>
      </c>
      <c r="B906">
        <v>120.308168464039</v>
      </c>
      <c r="C906">
        <v>1.64031820224506</v>
      </c>
      <c r="D906">
        <v>53.692487433677499</v>
      </c>
      <c r="E906">
        <v>32.3203264905423</v>
      </c>
      <c r="F906">
        <v>15.2591147728625</v>
      </c>
      <c r="G906">
        <v>0.34946976405833502</v>
      </c>
      <c r="H906">
        <v>0.55891535916167001</v>
      </c>
      <c r="I906">
        <v>6.3020686238221204</v>
      </c>
      <c r="J906">
        <v>90.018756083045602</v>
      </c>
      <c r="K906">
        <v>28.2907034865929</v>
      </c>
      <c r="L906" t="s">
        <v>19</v>
      </c>
      <c r="M906" t="s">
        <v>32</v>
      </c>
      <c r="N906">
        <v>39</v>
      </c>
      <c r="O906">
        <v>57.105617090029</v>
      </c>
      <c r="P906">
        <v>29.784945058374699</v>
      </c>
      <c r="Q906" t="s">
        <v>24</v>
      </c>
      <c r="R906">
        <v>904</v>
      </c>
      <c r="S906">
        <v>71.821771642085494</v>
      </c>
    </row>
    <row r="907" spans="1:19" x14ac:dyDescent="0.25">
      <c r="A907">
        <v>1814</v>
      </c>
      <c r="B907">
        <v>118.79495125971199</v>
      </c>
      <c r="C907">
        <v>2.37931024209756</v>
      </c>
      <c r="D907">
        <v>48.675301362015503</v>
      </c>
      <c r="E907">
        <v>33.9979401434164</v>
      </c>
      <c r="F907">
        <v>22.078411182358099</v>
      </c>
      <c r="G907">
        <v>0.54389336367562902</v>
      </c>
      <c r="H907">
        <v>0.44743704421718</v>
      </c>
      <c r="I907">
        <v>7.4873468482742398</v>
      </c>
      <c r="J907">
        <v>102.626914986258</v>
      </c>
      <c r="K907">
        <v>80.477670114460196</v>
      </c>
      <c r="L907" t="s">
        <v>19</v>
      </c>
      <c r="M907" t="s">
        <v>23</v>
      </c>
      <c r="N907">
        <v>34</v>
      </c>
      <c r="O907">
        <v>58.256646891743998</v>
      </c>
      <c r="P907">
        <v>28.578219169465601</v>
      </c>
      <c r="Q907" t="s">
        <v>21</v>
      </c>
      <c r="R907">
        <v>905</v>
      </c>
      <c r="S907">
        <v>73.190203223151798</v>
      </c>
    </row>
    <row r="908" spans="1:19" x14ac:dyDescent="0.25">
      <c r="A908">
        <v>1345</v>
      </c>
      <c r="B908">
        <v>139.01138394461799</v>
      </c>
      <c r="C908">
        <v>1.6860527363034301</v>
      </c>
      <c r="D908">
        <v>112.49542806033899</v>
      </c>
      <c r="E908">
        <v>33.251364100377302</v>
      </c>
      <c r="F908">
        <v>31.501342121554799</v>
      </c>
      <c r="G908">
        <v>0.99335889819437195</v>
      </c>
      <c r="H908">
        <v>0.91511108641190297</v>
      </c>
      <c r="I908">
        <v>3.1708609716521998</v>
      </c>
      <c r="J908">
        <v>93.134509518527096</v>
      </c>
      <c r="K908">
        <v>70.704814782248903</v>
      </c>
      <c r="L908" t="s">
        <v>34</v>
      </c>
      <c r="M908" t="s">
        <v>26</v>
      </c>
      <c r="N908">
        <v>31</v>
      </c>
      <c r="O908">
        <v>66.686624803624397</v>
      </c>
      <c r="P908">
        <v>20.458633330250901</v>
      </c>
      <c r="Q908" t="s">
        <v>24</v>
      </c>
      <c r="R908">
        <v>906</v>
      </c>
      <c r="S908">
        <v>74.387573136174794</v>
      </c>
    </row>
    <row r="909" spans="1:19" x14ac:dyDescent="0.25">
      <c r="A909">
        <v>9554</v>
      </c>
      <c r="B909">
        <v>157.97274698857399</v>
      </c>
      <c r="C909">
        <v>1.6945795978339599</v>
      </c>
      <c r="D909">
        <v>96.626781239767993</v>
      </c>
      <c r="E909">
        <v>31.818559139421598</v>
      </c>
      <c r="F909">
        <v>27.1152827762611</v>
      </c>
      <c r="G909">
        <v>1.25256225500714</v>
      </c>
      <c r="H909">
        <v>0.60800799224052005</v>
      </c>
      <c r="I909">
        <v>2.5132697730527198</v>
      </c>
      <c r="J909">
        <v>118.933328682827</v>
      </c>
      <c r="K909">
        <v>64.454930992902803</v>
      </c>
      <c r="L909" t="s">
        <v>19</v>
      </c>
      <c r="M909" t="s">
        <v>35</v>
      </c>
      <c r="N909">
        <v>31</v>
      </c>
      <c r="O909">
        <v>67.543474791914605</v>
      </c>
      <c r="P909">
        <v>35.141661051859302</v>
      </c>
      <c r="Q909" t="s">
        <v>25</v>
      </c>
      <c r="R909">
        <v>907</v>
      </c>
      <c r="S909">
        <v>79.681077981794303</v>
      </c>
    </row>
    <row r="910" spans="1:19" x14ac:dyDescent="0.25">
      <c r="A910">
        <v>3443</v>
      </c>
      <c r="B910">
        <v>114.683563620432</v>
      </c>
      <c r="C910">
        <v>1.4734396734912201</v>
      </c>
      <c r="D910">
        <v>108.407350042885</v>
      </c>
      <c r="E910">
        <v>32.992854348944697</v>
      </c>
      <c r="F910">
        <v>30.2177075456026</v>
      </c>
      <c r="G910">
        <v>1.66921013335304</v>
      </c>
      <c r="H910">
        <v>0.717023053299498</v>
      </c>
      <c r="I910">
        <v>9.7488639389107892</v>
      </c>
      <c r="J910">
        <v>47.254764789302897</v>
      </c>
      <c r="K910">
        <v>45.514808065447397</v>
      </c>
      <c r="L910" t="s">
        <v>27</v>
      </c>
      <c r="M910" t="s">
        <v>36</v>
      </c>
      <c r="N910">
        <v>34</v>
      </c>
      <c r="O910">
        <v>67.560934582429297</v>
      </c>
      <c r="P910">
        <v>5.4041658054838804</v>
      </c>
      <c r="Q910" t="s">
        <v>29</v>
      </c>
      <c r="R910">
        <v>908</v>
      </c>
      <c r="S910">
        <v>72.936159911259907</v>
      </c>
    </row>
    <row r="911" spans="1:19" x14ac:dyDescent="0.25">
      <c r="A911">
        <v>8783</v>
      </c>
      <c r="B911">
        <v>136.23359699695899</v>
      </c>
      <c r="C911">
        <v>2.1117844412093101</v>
      </c>
      <c r="D911">
        <v>45.542099608888698</v>
      </c>
      <c r="E911">
        <v>33.940803335172802</v>
      </c>
      <c r="F911">
        <v>23.955639384663598</v>
      </c>
      <c r="G911">
        <v>1.97887180725773</v>
      </c>
      <c r="H911">
        <v>0.83560171937160699</v>
      </c>
      <c r="I911">
        <v>6.5580158188865596</v>
      </c>
      <c r="J911">
        <v>107.498949502442</v>
      </c>
      <c r="K911">
        <v>34.648167320888803</v>
      </c>
      <c r="L911" t="s">
        <v>22</v>
      </c>
      <c r="M911" t="s">
        <v>20</v>
      </c>
      <c r="N911">
        <v>25</v>
      </c>
      <c r="O911">
        <v>67.573478562112498</v>
      </c>
      <c r="P911">
        <v>29.5633379166329</v>
      </c>
      <c r="Q911" t="s">
        <v>25</v>
      </c>
      <c r="R911">
        <v>909</v>
      </c>
      <c r="S911">
        <v>81.339137525445096</v>
      </c>
    </row>
    <row r="912" spans="1:19" x14ac:dyDescent="0.25">
      <c r="A912">
        <v>1984</v>
      </c>
      <c r="B912">
        <v>143.57633000661099</v>
      </c>
      <c r="C912">
        <v>2.04823461690544</v>
      </c>
      <c r="D912">
        <v>71.425074998217795</v>
      </c>
      <c r="E912">
        <v>32.774086397896397</v>
      </c>
      <c r="F912">
        <v>27.837549114932202</v>
      </c>
      <c r="G912">
        <v>0.899932693653409</v>
      </c>
      <c r="H912">
        <v>0.57837251513156895</v>
      </c>
      <c r="I912">
        <v>9.8327414965029707</v>
      </c>
      <c r="J912">
        <v>96.6622665174486</v>
      </c>
      <c r="K912">
        <v>88.458807233461698</v>
      </c>
      <c r="L912" t="s">
        <v>22</v>
      </c>
      <c r="M912" t="s">
        <v>33</v>
      </c>
      <c r="N912">
        <v>19</v>
      </c>
      <c r="O912">
        <v>61.472045658499503</v>
      </c>
      <c r="P912">
        <v>15.855404727509301</v>
      </c>
      <c r="Q912" t="s">
        <v>21</v>
      </c>
      <c r="R912">
        <v>910</v>
      </c>
      <c r="S912">
        <v>91.792937889838896</v>
      </c>
    </row>
    <row r="913" spans="1:19" x14ac:dyDescent="0.25">
      <c r="A913">
        <v>8790</v>
      </c>
      <c r="B913">
        <v>148.86211214526199</v>
      </c>
      <c r="C913">
        <v>1.1871613562518899</v>
      </c>
      <c r="D913">
        <v>44.129847495918</v>
      </c>
      <c r="E913">
        <v>34.431735535021197</v>
      </c>
      <c r="F913">
        <v>18.380176347660999</v>
      </c>
      <c r="G913">
        <v>0.285348145052152</v>
      </c>
      <c r="H913">
        <v>0.79389049599768602</v>
      </c>
      <c r="I913">
        <v>4.0398038841900599</v>
      </c>
      <c r="J913">
        <v>56.217875755814603</v>
      </c>
      <c r="K913">
        <v>74.792968126709994</v>
      </c>
      <c r="L913" t="s">
        <v>19</v>
      </c>
      <c r="M913" t="s">
        <v>35</v>
      </c>
      <c r="N913">
        <v>30</v>
      </c>
      <c r="O913">
        <v>84.971504576364097</v>
      </c>
      <c r="P913">
        <v>16.986495511953699</v>
      </c>
      <c r="Q913" t="s">
        <v>31</v>
      </c>
      <c r="R913">
        <v>911</v>
      </c>
      <c r="S913">
        <v>81.030460275290295</v>
      </c>
    </row>
    <row r="914" spans="1:19" x14ac:dyDescent="0.25">
      <c r="A914">
        <v>1827</v>
      </c>
      <c r="B914">
        <v>138.52883110554399</v>
      </c>
      <c r="C914">
        <v>0.84037640270061598</v>
      </c>
      <c r="D914">
        <v>56.086102456058697</v>
      </c>
      <c r="E914">
        <v>34.225818471338201</v>
      </c>
      <c r="F914">
        <v>18.778298664889999</v>
      </c>
      <c r="G914">
        <v>1.64210870593158</v>
      </c>
      <c r="H914">
        <v>0.47448036739980498</v>
      </c>
      <c r="I914">
        <v>7.3272852997671798</v>
      </c>
      <c r="J914">
        <v>93.412454365696803</v>
      </c>
      <c r="K914">
        <v>37.6334417352207</v>
      </c>
      <c r="L914" t="s">
        <v>27</v>
      </c>
      <c r="M914" t="s">
        <v>37</v>
      </c>
      <c r="N914">
        <v>39</v>
      </c>
      <c r="O914">
        <v>69.854426440953702</v>
      </c>
      <c r="P914">
        <v>14.3101629813827</v>
      </c>
      <c r="Q914" t="s">
        <v>21</v>
      </c>
      <c r="R914">
        <v>912</v>
      </c>
      <c r="S914">
        <v>79.6485751790417</v>
      </c>
    </row>
    <row r="915" spans="1:19" x14ac:dyDescent="0.25">
      <c r="A915">
        <v>4531</v>
      </c>
      <c r="B915">
        <v>127.659443218333</v>
      </c>
      <c r="C915">
        <v>1.39850968130217</v>
      </c>
      <c r="D915">
        <v>51.6374603316685</v>
      </c>
      <c r="E915">
        <v>34.1026978255899</v>
      </c>
      <c r="F915">
        <v>10</v>
      </c>
      <c r="G915">
        <v>1.28788529434905</v>
      </c>
      <c r="H915">
        <v>0.56021156096302704</v>
      </c>
      <c r="I915">
        <v>3.0034327288711302</v>
      </c>
      <c r="J915">
        <v>30.407595641824599</v>
      </c>
      <c r="K915">
        <v>78.567359720887097</v>
      </c>
      <c r="L915" t="s">
        <v>27</v>
      </c>
      <c r="M915" t="s">
        <v>32</v>
      </c>
      <c r="N915">
        <v>33</v>
      </c>
      <c r="O915">
        <v>63.395782651707698</v>
      </c>
      <c r="P915">
        <v>6.3995876678804704</v>
      </c>
      <c r="Q915" t="s">
        <v>24</v>
      </c>
      <c r="R915">
        <v>913</v>
      </c>
      <c r="S915">
        <v>61.448762280417803</v>
      </c>
    </row>
    <row r="916" spans="1:19" x14ac:dyDescent="0.25">
      <c r="A916">
        <v>8147</v>
      </c>
      <c r="B916">
        <v>118.448195587025</v>
      </c>
      <c r="C916">
        <v>1.09998071780117</v>
      </c>
      <c r="D916">
        <v>94.791680128831203</v>
      </c>
      <c r="E916">
        <v>32.448411873272399</v>
      </c>
      <c r="F916">
        <v>27.9307273702114</v>
      </c>
      <c r="G916">
        <v>0.557377145962763</v>
      </c>
      <c r="H916">
        <v>0.47959084987508499</v>
      </c>
      <c r="I916">
        <v>3.3508015414652101</v>
      </c>
      <c r="J916">
        <v>98.933348234055202</v>
      </c>
      <c r="K916">
        <v>71.919896146101095</v>
      </c>
      <c r="L916" t="s">
        <v>27</v>
      </c>
      <c r="M916" t="s">
        <v>28</v>
      </c>
      <c r="N916">
        <v>33</v>
      </c>
      <c r="O916">
        <v>71.218531491292595</v>
      </c>
      <c r="P916">
        <v>22.556772112118601</v>
      </c>
      <c r="Q916" t="s">
        <v>21</v>
      </c>
      <c r="R916">
        <v>914</v>
      </c>
      <c r="S916">
        <v>62.841786382691701</v>
      </c>
    </row>
    <row r="917" spans="1:19" x14ac:dyDescent="0.25">
      <c r="A917">
        <v>5451</v>
      </c>
      <c r="B917">
        <v>136.722877660927</v>
      </c>
      <c r="C917">
        <v>1.4682377126923201</v>
      </c>
      <c r="D917">
        <v>62.075406437964801</v>
      </c>
      <c r="E917">
        <v>31.704189062662198</v>
      </c>
      <c r="F917">
        <v>29.701619899099398</v>
      </c>
      <c r="G917">
        <v>1.0906912219185501</v>
      </c>
      <c r="H917">
        <v>0.84617680712074606</v>
      </c>
      <c r="I917">
        <v>5.6071190914266102</v>
      </c>
      <c r="J917">
        <v>73.233060258710196</v>
      </c>
      <c r="K917">
        <v>37.281041240849802</v>
      </c>
      <c r="L917" t="s">
        <v>22</v>
      </c>
      <c r="M917" t="s">
        <v>37</v>
      </c>
      <c r="N917">
        <v>23</v>
      </c>
      <c r="O917">
        <v>61.190204465780504</v>
      </c>
      <c r="P917">
        <v>8.0742688471660298</v>
      </c>
      <c r="Q917" t="s">
        <v>31</v>
      </c>
      <c r="R917">
        <v>915</v>
      </c>
      <c r="S917">
        <v>75.4908567464295</v>
      </c>
    </row>
    <row r="918" spans="1:19" x14ac:dyDescent="0.25">
      <c r="A918">
        <v>4876</v>
      </c>
      <c r="B918">
        <v>113.557219760287</v>
      </c>
      <c r="C918">
        <v>2.1187190673420599</v>
      </c>
      <c r="D918">
        <v>91.367586673880297</v>
      </c>
      <c r="E918">
        <v>32.263694873564603</v>
      </c>
      <c r="F918">
        <v>19.234113773263601</v>
      </c>
      <c r="G918">
        <v>1.5361584419606999</v>
      </c>
      <c r="H918">
        <v>0.52245707937473196</v>
      </c>
      <c r="I918">
        <v>3.8765631295726402</v>
      </c>
      <c r="J918">
        <v>49.229017270925297</v>
      </c>
      <c r="K918">
        <v>46.991464068122902</v>
      </c>
      <c r="L918" t="s">
        <v>27</v>
      </c>
      <c r="M918" t="s">
        <v>35</v>
      </c>
      <c r="N918">
        <v>39</v>
      </c>
      <c r="O918">
        <v>68.213888776155102</v>
      </c>
      <c r="P918">
        <v>13.2720122498291</v>
      </c>
      <c r="Q918" t="s">
        <v>31</v>
      </c>
      <c r="R918">
        <v>916</v>
      </c>
      <c r="S918">
        <v>58.514774889657097</v>
      </c>
    </row>
    <row r="919" spans="1:19" x14ac:dyDescent="0.25">
      <c r="A919">
        <v>6959</v>
      </c>
      <c r="B919">
        <v>76.5729903301078</v>
      </c>
      <c r="C919">
        <v>1.2713491724566</v>
      </c>
      <c r="D919">
        <v>82.082417791770297</v>
      </c>
      <c r="E919">
        <v>33.235489128799998</v>
      </c>
      <c r="F919">
        <v>20.730241468013801</v>
      </c>
      <c r="G919">
        <v>1.58674121672355</v>
      </c>
      <c r="H919">
        <v>0.79457195547286497</v>
      </c>
      <c r="I919">
        <v>2.5085940745652602</v>
      </c>
      <c r="J919">
        <v>85.577730178417994</v>
      </c>
      <c r="K919">
        <v>28.946508404326998</v>
      </c>
      <c r="L919" t="s">
        <v>27</v>
      </c>
      <c r="M919" t="s">
        <v>35</v>
      </c>
      <c r="N919">
        <v>21</v>
      </c>
      <c r="O919">
        <v>71.205566223825699</v>
      </c>
      <c r="P919">
        <v>13.626140723237899</v>
      </c>
      <c r="Q919" t="s">
        <v>29</v>
      </c>
      <c r="R919">
        <v>917</v>
      </c>
      <c r="S919">
        <v>41.069006077046502</v>
      </c>
    </row>
    <row r="920" spans="1:19" x14ac:dyDescent="0.25">
      <c r="A920">
        <v>1126</v>
      </c>
      <c r="B920">
        <v>143.73119608315301</v>
      </c>
      <c r="C920">
        <v>1.47858830934421</v>
      </c>
      <c r="D920">
        <v>116.072775042095</v>
      </c>
      <c r="E920">
        <v>33.654944056238797</v>
      </c>
      <c r="F920">
        <v>18.230689431545098</v>
      </c>
      <c r="G920">
        <v>1.0993131415977699</v>
      </c>
      <c r="H920">
        <v>0.91881411848510797</v>
      </c>
      <c r="I920">
        <v>3.3659263179039298</v>
      </c>
      <c r="J920">
        <v>84.161999871440898</v>
      </c>
      <c r="K920">
        <v>23.3289333283582</v>
      </c>
      <c r="L920" t="s">
        <v>19</v>
      </c>
      <c r="M920" t="s">
        <v>37</v>
      </c>
      <c r="N920">
        <v>20</v>
      </c>
      <c r="O920">
        <v>72.407493198389801</v>
      </c>
      <c r="P920">
        <v>25.964612409703101</v>
      </c>
      <c r="Q920" t="s">
        <v>29</v>
      </c>
      <c r="R920">
        <v>918</v>
      </c>
      <c r="S920">
        <v>79.264703255761802</v>
      </c>
    </row>
    <row r="921" spans="1:19" x14ac:dyDescent="0.25">
      <c r="A921">
        <v>4177</v>
      </c>
      <c r="B921">
        <v>153.07869682172301</v>
      </c>
      <c r="C921">
        <v>1.5290113674041901</v>
      </c>
      <c r="D921">
        <v>40.411115537205497</v>
      </c>
      <c r="E921">
        <v>30.3941143142874</v>
      </c>
      <c r="F921">
        <v>23.913267757387398</v>
      </c>
      <c r="G921">
        <v>0.74938615423194599</v>
      </c>
      <c r="H921">
        <v>0.69027471498788195</v>
      </c>
      <c r="I921">
        <v>1.3217355501927801</v>
      </c>
      <c r="J921">
        <v>40.948622271959898</v>
      </c>
      <c r="K921">
        <v>69.207152462977206</v>
      </c>
      <c r="L921" t="s">
        <v>34</v>
      </c>
      <c r="M921" t="s">
        <v>20</v>
      </c>
      <c r="N921">
        <v>23</v>
      </c>
      <c r="O921">
        <v>57.941473401400003</v>
      </c>
      <c r="P921">
        <v>17.4105873114496</v>
      </c>
      <c r="Q921" t="s">
        <v>31</v>
      </c>
      <c r="R921">
        <v>919</v>
      </c>
      <c r="S921">
        <v>74.783643404663394</v>
      </c>
    </row>
    <row r="922" spans="1:19" x14ac:dyDescent="0.25">
      <c r="A922">
        <v>9795</v>
      </c>
      <c r="B922">
        <v>87.741351289163205</v>
      </c>
      <c r="C922">
        <v>1.92421544110264</v>
      </c>
      <c r="D922">
        <v>95.184664795735898</v>
      </c>
      <c r="E922">
        <v>32.990264158065898</v>
      </c>
      <c r="F922">
        <v>27.624662726516199</v>
      </c>
      <c r="G922">
        <v>1.95273664766928</v>
      </c>
      <c r="H922">
        <v>0.69701605574337799</v>
      </c>
      <c r="I922">
        <v>7.3398125932973697</v>
      </c>
      <c r="J922">
        <v>23.0397414811526</v>
      </c>
      <c r="K922">
        <v>35.063389301539999</v>
      </c>
      <c r="L922" t="s">
        <v>27</v>
      </c>
      <c r="M922" t="s">
        <v>37</v>
      </c>
      <c r="N922">
        <v>21</v>
      </c>
      <c r="O922">
        <v>92.232743931796307</v>
      </c>
      <c r="P922">
        <v>-1.54993049612829</v>
      </c>
      <c r="Q922" t="s">
        <v>31</v>
      </c>
      <c r="R922">
        <v>920</v>
      </c>
      <c r="S922">
        <v>54.400699318578397</v>
      </c>
    </row>
    <row r="923" spans="1:19" x14ac:dyDescent="0.25">
      <c r="A923">
        <v>7024</v>
      </c>
      <c r="B923">
        <v>114.805385905801</v>
      </c>
      <c r="C923">
        <v>0.376555333007697</v>
      </c>
      <c r="D923">
        <v>92.928817408014496</v>
      </c>
      <c r="E923">
        <v>33.189707070387797</v>
      </c>
      <c r="F923">
        <v>13.286140130594699</v>
      </c>
      <c r="G923">
        <v>1.39405269972168</v>
      </c>
      <c r="H923">
        <v>0.65356846245379596</v>
      </c>
      <c r="I923">
        <v>5.4290499137727499</v>
      </c>
      <c r="J923">
        <v>63.362258690167302</v>
      </c>
      <c r="K923">
        <v>76.504452430968996</v>
      </c>
      <c r="L923" t="s">
        <v>19</v>
      </c>
      <c r="M923" t="s">
        <v>26</v>
      </c>
      <c r="N923">
        <v>35</v>
      </c>
      <c r="O923">
        <v>77.454415240788194</v>
      </c>
      <c r="P923">
        <v>10.807701805629399</v>
      </c>
      <c r="Q923" t="s">
        <v>24</v>
      </c>
      <c r="R923">
        <v>921</v>
      </c>
      <c r="S923">
        <v>65.102741012874105</v>
      </c>
    </row>
    <row r="924" spans="1:19" x14ac:dyDescent="0.25">
      <c r="A924">
        <v>6109</v>
      </c>
      <c r="B924">
        <v>147.383085220103</v>
      </c>
      <c r="C924">
        <v>1.1966498526173499</v>
      </c>
      <c r="D924">
        <v>50.532423239459298</v>
      </c>
      <c r="E924">
        <v>32.666946892421301</v>
      </c>
      <c r="F924">
        <v>24.047192653211201</v>
      </c>
      <c r="G924">
        <v>0.93482753482333703</v>
      </c>
      <c r="H924">
        <v>0.57923957886650301</v>
      </c>
      <c r="I924">
        <v>1.84818759764073</v>
      </c>
      <c r="J924">
        <v>76.951186934442106</v>
      </c>
      <c r="K924">
        <v>89.670653363581906</v>
      </c>
      <c r="L924" t="s">
        <v>19</v>
      </c>
      <c r="M924" t="s">
        <v>23</v>
      </c>
      <c r="N924">
        <v>23</v>
      </c>
      <c r="O924">
        <v>84.260039832169198</v>
      </c>
      <c r="P924">
        <v>5.5028187888750404</v>
      </c>
      <c r="Q924" t="s">
        <v>21</v>
      </c>
      <c r="R924">
        <v>922</v>
      </c>
      <c r="S924">
        <v>71.658974622996695</v>
      </c>
    </row>
    <row r="925" spans="1:19" x14ac:dyDescent="0.25">
      <c r="A925">
        <v>5146</v>
      </c>
      <c r="B925">
        <v>176.14990939423399</v>
      </c>
      <c r="C925">
        <v>1.6056418461397299</v>
      </c>
      <c r="D925">
        <v>90.142666729463201</v>
      </c>
      <c r="E925">
        <v>34.549528606819003</v>
      </c>
      <c r="F925">
        <v>20.616641141404202</v>
      </c>
      <c r="G925">
        <v>0.704833803568374</v>
      </c>
      <c r="H925">
        <v>0.66161026700870396</v>
      </c>
      <c r="I925">
        <v>2.5452459381564201</v>
      </c>
      <c r="J925">
        <v>107.66052783705901</v>
      </c>
      <c r="K925">
        <v>20.7464860447236</v>
      </c>
      <c r="L925" t="s">
        <v>27</v>
      </c>
      <c r="M925" t="s">
        <v>37</v>
      </c>
      <c r="N925">
        <v>22</v>
      </c>
      <c r="O925">
        <v>65.951071995205595</v>
      </c>
      <c r="P925">
        <v>22.019856659023201</v>
      </c>
      <c r="Q925" t="s">
        <v>29</v>
      </c>
      <c r="R925">
        <v>923</v>
      </c>
      <c r="S925">
        <v>86.871022999327394</v>
      </c>
    </row>
    <row r="926" spans="1:19" x14ac:dyDescent="0.25">
      <c r="A926">
        <v>8196</v>
      </c>
      <c r="B926">
        <v>135.41587415350801</v>
      </c>
      <c r="C926">
        <v>2.10003947821343</v>
      </c>
      <c r="D926">
        <v>76.7228992605245</v>
      </c>
      <c r="E926">
        <v>33.506136089100998</v>
      </c>
      <c r="F926">
        <v>22.566971959833399</v>
      </c>
      <c r="G926">
        <v>1.51598536940641</v>
      </c>
      <c r="H926">
        <v>0.73154414274671697</v>
      </c>
      <c r="I926">
        <v>1.92281084301379</v>
      </c>
      <c r="J926">
        <v>112.82167956475899</v>
      </c>
      <c r="K926">
        <v>50.477634381277497</v>
      </c>
      <c r="L926" t="s">
        <v>34</v>
      </c>
      <c r="M926" t="s">
        <v>37</v>
      </c>
      <c r="N926">
        <v>26</v>
      </c>
      <c r="O926">
        <v>69.974336777907794</v>
      </c>
      <c r="P926">
        <v>8.5368615784718802</v>
      </c>
      <c r="Q926" t="s">
        <v>24</v>
      </c>
      <c r="R926">
        <v>924</v>
      </c>
      <c r="S926">
        <v>69.138901962089506</v>
      </c>
    </row>
    <row r="927" spans="1:19" x14ac:dyDescent="0.25">
      <c r="A927">
        <v>4368</v>
      </c>
      <c r="B927">
        <v>120.439941175417</v>
      </c>
      <c r="C927">
        <v>1.2540487762468899</v>
      </c>
      <c r="D927">
        <v>65.450474800931801</v>
      </c>
      <c r="E927">
        <v>34.572230289697004</v>
      </c>
      <c r="F927">
        <v>24.294970008371401</v>
      </c>
      <c r="G927">
        <v>0.63593020206878104</v>
      </c>
      <c r="H927">
        <v>0.94229536469386199</v>
      </c>
      <c r="I927">
        <v>6.5133352744828796</v>
      </c>
      <c r="J927">
        <v>72.880521815676602</v>
      </c>
      <c r="K927">
        <v>75.154691948310202</v>
      </c>
      <c r="L927" t="s">
        <v>22</v>
      </c>
      <c r="M927" t="s">
        <v>32</v>
      </c>
      <c r="N927">
        <v>28</v>
      </c>
      <c r="O927">
        <v>68.291675176148601</v>
      </c>
      <c r="P927">
        <v>13.153315704118301</v>
      </c>
      <c r="Q927" t="s">
        <v>21</v>
      </c>
      <c r="R927">
        <v>925</v>
      </c>
      <c r="S927">
        <v>64.996717848722497</v>
      </c>
    </row>
    <row r="928" spans="1:19" x14ac:dyDescent="0.25">
      <c r="A928">
        <v>4797</v>
      </c>
      <c r="B928">
        <v>131.34207117790299</v>
      </c>
      <c r="C928">
        <v>0.56172364697906296</v>
      </c>
      <c r="D928">
        <v>53.521290260560001</v>
      </c>
      <c r="E928">
        <v>32.740847375579698</v>
      </c>
      <c r="F928">
        <v>21.0589878061358</v>
      </c>
      <c r="G928">
        <v>0.50907798015263805</v>
      </c>
      <c r="H928">
        <v>0.91577050762502299</v>
      </c>
      <c r="I928">
        <v>1.84789327251244</v>
      </c>
      <c r="J928">
        <v>95.3803483768544</v>
      </c>
      <c r="K928">
        <v>74.171317240592501</v>
      </c>
      <c r="L928" t="s">
        <v>34</v>
      </c>
      <c r="M928" t="s">
        <v>23</v>
      </c>
      <c r="N928">
        <v>23</v>
      </c>
      <c r="O928">
        <v>63.623525779301801</v>
      </c>
      <c r="P928">
        <v>32.002693675782801</v>
      </c>
      <c r="Q928" t="s">
        <v>29</v>
      </c>
      <c r="R928">
        <v>926</v>
      </c>
      <c r="S928">
        <v>68.593420804083195</v>
      </c>
    </row>
    <row r="929" spans="1:19" x14ac:dyDescent="0.25">
      <c r="A929">
        <v>2792</v>
      </c>
      <c r="B929">
        <v>162.497528382963</v>
      </c>
      <c r="C929">
        <v>1.8098557229830601</v>
      </c>
      <c r="D929">
        <v>55.617810971016198</v>
      </c>
      <c r="E929">
        <v>34.124972991008299</v>
      </c>
      <c r="F929">
        <v>21.482065732971002</v>
      </c>
      <c r="G929">
        <v>1.1537010001317201</v>
      </c>
      <c r="H929">
        <v>0.87418412706121695</v>
      </c>
      <c r="I929">
        <v>7.7885409973169404</v>
      </c>
      <c r="J929">
        <v>63.930327232799598</v>
      </c>
      <c r="K929">
        <v>71.999786874822604</v>
      </c>
      <c r="L929" t="s">
        <v>27</v>
      </c>
      <c r="M929" t="s">
        <v>33</v>
      </c>
      <c r="N929">
        <v>33</v>
      </c>
      <c r="O929">
        <v>74.060871352211294</v>
      </c>
      <c r="P929">
        <v>23.094208314632901</v>
      </c>
      <c r="Q929" t="s">
        <v>24</v>
      </c>
      <c r="R929">
        <v>927</v>
      </c>
      <c r="S929">
        <v>91.853497665216807</v>
      </c>
    </row>
    <row r="930" spans="1:19" x14ac:dyDescent="0.25">
      <c r="A930">
        <v>6732</v>
      </c>
      <c r="B930">
        <v>122.080716417509</v>
      </c>
      <c r="C930">
        <v>1.1823188055871801</v>
      </c>
      <c r="D930">
        <v>110.996241915718</v>
      </c>
      <c r="E930">
        <v>34.962079673433003</v>
      </c>
      <c r="F930">
        <v>20.930624162226799</v>
      </c>
      <c r="G930">
        <v>0.72197730675945504</v>
      </c>
      <c r="H930">
        <v>0.88902179463767195</v>
      </c>
      <c r="I930">
        <v>1.1845982738835199</v>
      </c>
      <c r="J930">
        <v>94.608215657289307</v>
      </c>
      <c r="K930">
        <v>41.174620147643303</v>
      </c>
      <c r="L930" t="s">
        <v>34</v>
      </c>
      <c r="M930" t="s">
        <v>37</v>
      </c>
      <c r="N930">
        <v>36</v>
      </c>
      <c r="O930">
        <v>60.930789435189403</v>
      </c>
      <c r="P930">
        <v>8.6833044156925894</v>
      </c>
      <c r="Q930" t="s">
        <v>25</v>
      </c>
      <c r="R930">
        <v>928</v>
      </c>
      <c r="S930">
        <v>62.076244286142099</v>
      </c>
    </row>
    <row r="931" spans="1:19" x14ac:dyDescent="0.25">
      <c r="A931">
        <v>4476</v>
      </c>
      <c r="B931">
        <v>119.016159866994</v>
      </c>
      <c r="C931">
        <v>0.90516667045481902</v>
      </c>
      <c r="D931">
        <v>70.013656379149594</v>
      </c>
      <c r="E931">
        <v>34.574032139127098</v>
      </c>
      <c r="F931">
        <v>26.851581008941402</v>
      </c>
      <c r="G931">
        <v>1.3320292608625</v>
      </c>
      <c r="H931">
        <v>0.65731705081062297</v>
      </c>
      <c r="I931">
        <v>3.2443820919630202</v>
      </c>
      <c r="J931">
        <v>40.480152493916599</v>
      </c>
      <c r="K931">
        <v>49.0389941763789</v>
      </c>
      <c r="L931" t="s">
        <v>19</v>
      </c>
      <c r="M931" t="s">
        <v>37</v>
      </c>
      <c r="N931">
        <v>28</v>
      </c>
      <c r="O931">
        <v>73.586007495244203</v>
      </c>
      <c r="P931">
        <v>24.6003873041821</v>
      </c>
      <c r="Q931" t="s">
        <v>25</v>
      </c>
      <c r="R931">
        <v>929</v>
      </c>
      <c r="S931">
        <v>60.094582362352803</v>
      </c>
    </row>
    <row r="932" spans="1:19" x14ac:dyDescent="0.25">
      <c r="A932">
        <v>4417</v>
      </c>
      <c r="B932">
        <v>125.345129556359</v>
      </c>
      <c r="C932">
        <v>1.1878273051433801</v>
      </c>
      <c r="D932">
        <v>85.642600030629097</v>
      </c>
      <c r="E932">
        <v>31.689430087885501</v>
      </c>
      <c r="F932">
        <v>24.093799800637399</v>
      </c>
      <c r="G932">
        <v>0.41228961477361997</v>
      </c>
      <c r="H932">
        <v>0.76159437994760504</v>
      </c>
      <c r="I932">
        <v>9.0160000830271603</v>
      </c>
      <c r="J932">
        <v>57.106473480353102</v>
      </c>
      <c r="K932">
        <v>59.622626800610199</v>
      </c>
      <c r="L932" t="s">
        <v>19</v>
      </c>
      <c r="M932" t="s">
        <v>26</v>
      </c>
      <c r="N932">
        <v>38</v>
      </c>
      <c r="O932">
        <v>64.015269563019203</v>
      </c>
      <c r="P932">
        <v>12.257347558311899</v>
      </c>
      <c r="Q932" t="s">
        <v>29</v>
      </c>
      <c r="R932">
        <v>930</v>
      </c>
      <c r="S932">
        <v>80.883466659198504</v>
      </c>
    </row>
    <row r="933" spans="1:19" x14ac:dyDescent="0.25">
      <c r="A933">
        <v>2645</v>
      </c>
      <c r="B933">
        <v>115.933427834825</v>
      </c>
      <c r="C933">
        <v>1.4077373211720701</v>
      </c>
      <c r="D933">
        <v>54.182012366648898</v>
      </c>
      <c r="E933">
        <v>32.695588706949103</v>
      </c>
      <c r="F933">
        <v>23.102917688686802</v>
      </c>
      <c r="G933">
        <v>1.3788939882211699</v>
      </c>
      <c r="H933">
        <v>0.89228669761491697</v>
      </c>
      <c r="I933">
        <v>7.4667818631002101</v>
      </c>
      <c r="J933">
        <v>83.422799881361399</v>
      </c>
      <c r="K933">
        <v>88.045543767994204</v>
      </c>
      <c r="L933" t="s">
        <v>34</v>
      </c>
      <c r="M933" t="s">
        <v>28</v>
      </c>
      <c r="N933">
        <v>32</v>
      </c>
      <c r="O933">
        <v>71.1922222004806</v>
      </c>
      <c r="P933">
        <v>24.5803997966078</v>
      </c>
      <c r="Q933" t="s">
        <v>24</v>
      </c>
      <c r="R933">
        <v>931</v>
      </c>
      <c r="S933">
        <v>69.601127996730298</v>
      </c>
    </row>
    <row r="934" spans="1:19" x14ac:dyDescent="0.25">
      <c r="A934">
        <v>4030</v>
      </c>
      <c r="B934">
        <v>137.45340631989501</v>
      </c>
      <c r="C934">
        <v>1.1976276677308899</v>
      </c>
      <c r="D934">
        <v>54.402941075567199</v>
      </c>
      <c r="E934">
        <v>32.585802353460203</v>
      </c>
      <c r="F934">
        <v>15.6452413945385</v>
      </c>
      <c r="G934">
        <v>0.70993375039586404</v>
      </c>
      <c r="H934">
        <v>0.616122920745244</v>
      </c>
      <c r="I934">
        <v>1.65671499633118</v>
      </c>
      <c r="J934">
        <v>21.815796560707799</v>
      </c>
      <c r="K934">
        <v>39.566045320386898</v>
      </c>
      <c r="L934" t="s">
        <v>22</v>
      </c>
      <c r="M934" t="s">
        <v>26</v>
      </c>
      <c r="N934">
        <v>26</v>
      </c>
      <c r="O934">
        <v>79.693056861049897</v>
      </c>
      <c r="P934">
        <v>14.7013441864075</v>
      </c>
      <c r="Q934" t="s">
        <v>21</v>
      </c>
      <c r="R934">
        <v>932</v>
      </c>
      <c r="S934">
        <v>68.588213173427206</v>
      </c>
    </row>
    <row r="935" spans="1:19" x14ac:dyDescent="0.25">
      <c r="A935">
        <v>3872</v>
      </c>
      <c r="B935">
        <v>167.49356916939101</v>
      </c>
      <c r="C935">
        <v>0.39721697145046497</v>
      </c>
      <c r="D935">
        <v>91.639696184998797</v>
      </c>
      <c r="E935">
        <v>33.587105442091499</v>
      </c>
      <c r="F935">
        <v>20.107101283934199</v>
      </c>
      <c r="G935">
        <v>0.20043728198212199</v>
      </c>
      <c r="H935">
        <v>0.92896936309000699</v>
      </c>
      <c r="I935">
        <v>8.3901349403666092</v>
      </c>
      <c r="J935">
        <v>92.246131033895395</v>
      </c>
      <c r="K935">
        <v>84.235791578764307</v>
      </c>
      <c r="L935" t="s">
        <v>34</v>
      </c>
      <c r="M935" t="s">
        <v>37</v>
      </c>
      <c r="N935">
        <v>36</v>
      </c>
      <c r="O935">
        <v>66.9358914920209</v>
      </c>
      <c r="P935">
        <v>10.319780118521599</v>
      </c>
      <c r="Q935" t="s">
        <v>21</v>
      </c>
      <c r="R935">
        <v>933</v>
      </c>
      <c r="S935">
        <v>93.792942089743804</v>
      </c>
    </row>
    <row r="936" spans="1:19" x14ac:dyDescent="0.25">
      <c r="A936">
        <v>4072</v>
      </c>
      <c r="B936">
        <v>141.46158546231999</v>
      </c>
      <c r="C936">
        <v>1.94853309844356</v>
      </c>
      <c r="D936">
        <v>43.008475768969298</v>
      </c>
      <c r="E936">
        <v>33.823624266017397</v>
      </c>
      <c r="F936">
        <v>26.493345801695799</v>
      </c>
      <c r="G936">
        <v>0.428484903813517</v>
      </c>
      <c r="H936">
        <v>0.62868233413804997</v>
      </c>
      <c r="I936">
        <v>5.4373160938618401</v>
      </c>
      <c r="J936">
        <v>103.55355012681601</v>
      </c>
      <c r="K936">
        <v>35.201768863536998</v>
      </c>
      <c r="L936" t="s">
        <v>27</v>
      </c>
      <c r="M936" t="s">
        <v>32</v>
      </c>
      <c r="N936">
        <v>36</v>
      </c>
      <c r="O936">
        <v>74.241790276057799</v>
      </c>
      <c r="P936">
        <v>9.5722516800370805</v>
      </c>
      <c r="Q936" t="s">
        <v>24</v>
      </c>
      <c r="R936">
        <v>934</v>
      </c>
      <c r="S936">
        <v>80.734668191956601</v>
      </c>
    </row>
    <row r="937" spans="1:19" x14ac:dyDescent="0.25">
      <c r="A937">
        <v>2854</v>
      </c>
      <c r="B937">
        <v>129.952929957474</v>
      </c>
      <c r="C937">
        <v>2.1374375206393599</v>
      </c>
      <c r="D937">
        <v>61.6957246418945</v>
      </c>
      <c r="E937">
        <v>31.993328791169098</v>
      </c>
      <c r="F937">
        <v>22.188482865619601</v>
      </c>
      <c r="G937">
        <v>1.8805076801031599</v>
      </c>
      <c r="H937">
        <v>0.73059546596626801</v>
      </c>
      <c r="I937">
        <v>8.6210472445194597</v>
      </c>
      <c r="J937">
        <v>59.914166109395097</v>
      </c>
      <c r="K937">
        <v>89.180584910527799</v>
      </c>
      <c r="L937" t="s">
        <v>22</v>
      </c>
      <c r="M937" t="s">
        <v>26</v>
      </c>
      <c r="N937">
        <v>26</v>
      </c>
      <c r="O937">
        <v>63.928767328060999</v>
      </c>
      <c r="P937">
        <v>20.301024492764402</v>
      </c>
      <c r="Q937" t="s">
        <v>25</v>
      </c>
      <c r="R937">
        <v>935</v>
      </c>
      <c r="S937">
        <v>79.949236027209395</v>
      </c>
    </row>
    <row r="938" spans="1:19" x14ac:dyDescent="0.25">
      <c r="A938">
        <v>5021</v>
      </c>
      <c r="B938">
        <v>129.16377462168899</v>
      </c>
      <c r="C938">
        <v>1.82576099566975</v>
      </c>
      <c r="D938">
        <v>70.680548221444596</v>
      </c>
      <c r="E938">
        <v>33.081406216700302</v>
      </c>
      <c r="F938">
        <v>25.297657347945599</v>
      </c>
      <c r="G938">
        <v>1.7612383504076401</v>
      </c>
      <c r="H938">
        <v>0.79039259229980396</v>
      </c>
      <c r="I938">
        <v>6.4066579700535398</v>
      </c>
      <c r="J938">
        <v>64.794241717716403</v>
      </c>
      <c r="K938">
        <v>65.269776512069299</v>
      </c>
      <c r="L938" t="s">
        <v>34</v>
      </c>
      <c r="M938" t="s">
        <v>32</v>
      </c>
      <c r="N938">
        <v>21</v>
      </c>
      <c r="O938">
        <v>58.549328154143403</v>
      </c>
      <c r="P938">
        <v>25.304170130505899</v>
      </c>
      <c r="Q938" t="s">
        <v>24</v>
      </c>
      <c r="R938">
        <v>936</v>
      </c>
      <c r="S938">
        <v>73.633394934102199</v>
      </c>
    </row>
    <row r="939" spans="1:19" x14ac:dyDescent="0.25">
      <c r="A939">
        <v>5662</v>
      </c>
      <c r="B939">
        <v>103.736183826066</v>
      </c>
      <c r="C939">
        <v>0.93115716478759103</v>
      </c>
      <c r="D939">
        <v>72.227452036800997</v>
      </c>
      <c r="E939">
        <v>30.576087201412602</v>
      </c>
      <c r="F939">
        <v>30.832559001638099</v>
      </c>
      <c r="G939">
        <v>0.62049625766522598</v>
      </c>
      <c r="H939">
        <v>0.92282560719176598</v>
      </c>
      <c r="I939">
        <v>7.1364972882957201</v>
      </c>
      <c r="J939">
        <v>105.12822122165301</v>
      </c>
      <c r="K939">
        <v>49.763361026891303</v>
      </c>
      <c r="L939" t="s">
        <v>34</v>
      </c>
      <c r="M939" t="s">
        <v>23</v>
      </c>
      <c r="N939">
        <v>27</v>
      </c>
      <c r="O939">
        <v>81.293833042448099</v>
      </c>
      <c r="P939">
        <v>20.9792035435154</v>
      </c>
      <c r="Q939" t="s">
        <v>25</v>
      </c>
      <c r="R939">
        <v>937</v>
      </c>
      <c r="S939">
        <v>69.375727565061496</v>
      </c>
    </row>
    <row r="940" spans="1:19" x14ac:dyDescent="0.25">
      <c r="A940">
        <v>7514</v>
      </c>
      <c r="B940">
        <v>152.66219554294301</v>
      </c>
      <c r="C940">
        <v>1.3992542330262401</v>
      </c>
      <c r="D940">
        <v>66.418134299676794</v>
      </c>
      <c r="E940">
        <v>34.730334006962202</v>
      </c>
      <c r="F940">
        <v>27.193030346044001</v>
      </c>
      <c r="G940">
        <v>1.60106942818188</v>
      </c>
      <c r="H940">
        <v>0.53453895072874602</v>
      </c>
      <c r="I940">
        <v>9.9415140435613694</v>
      </c>
      <c r="J940">
        <v>97.565463532603303</v>
      </c>
      <c r="K940">
        <v>61.004282104770297</v>
      </c>
      <c r="L940" t="s">
        <v>22</v>
      </c>
      <c r="M940" t="s">
        <v>32</v>
      </c>
      <c r="N940">
        <v>26</v>
      </c>
      <c r="O940">
        <v>73.981673208376606</v>
      </c>
      <c r="P940">
        <v>14.5388746405633</v>
      </c>
      <c r="Q940" t="s">
        <v>25</v>
      </c>
      <c r="R940">
        <v>938</v>
      </c>
      <c r="S940">
        <v>91.893315422063793</v>
      </c>
    </row>
    <row r="941" spans="1:19" x14ac:dyDescent="0.25">
      <c r="A941">
        <v>6031</v>
      </c>
      <c r="B941">
        <v>133.44325605974299</v>
      </c>
      <c r="C941">
        <v>1.49673934238527</v>
      </c>
      <c r="D941">
        <v>77.916395621918397</v>
      </c>
      <c r="E941">
        <v>32.3851509111879</v>
      </c>
      <c r="F941">
        <v>22.465791688498701</v>
      </c>
      <c r="G941">
        <v>1.29542886771315</v>
      </c>
      <c r="H941">
        <v>0.81037203803125302</v>
      </c>
      <c r="I941">
        <v>3.0910199133161602</v>
      </c>
      <c r="J941">
        <v>48.814948903337502</v>
      </c>
      <c r="K941">
        <v>35.4398376780155</v>
      </c>
      <c r="L941" t="s">
        <v>34</v>
      </c>
      <c r="M941" t="s">
        <v>20</v>
      </c>
      <c r="N941">
        <v>36</v>
      </c>
      <c r="O941">
        <v>66.924635393720806</v>
      </c>
      <c r="P941">
        <v>3.62124985437422</v>
      </c>
      <c r="Q941" t="s">
        <v>21</v>
      </c>
      <c r="R941">
        <v>939</v>
      </c>
      <c r="S941">
        <v>69.298626937383702</v>
      </c>
    </row>
    <row r="942" spans="1:19" x14ac:dyDescent="0.25">
      <c r="A942">
        <v>3708</v>
      </c>
      <c r="B942">
        <v>131.39040172818699</v>
      </c>
      <c r="C942">
        <v>1.7993971947809499</v>
      </c>
      <c r="D942">
        <v>83.857115116356198</v>
      </c>
      <c r="E942">
        <v>33.067036727813303</v>
      </c>
      <c r="F942">
        <v>19.445054149021299</v>
      </c>
      <c r="G942">
        <v>1.9476284806097599</v>
      </c>
      <c r="H942">
        <v>0.68644857237924495</v>
      </c>
      <c r="I942">
        <v>6.6155101728524901</v>
      </c>
      <c r="J942">
        <v>52.397610656153802</v>
      </c>
      <c r="K942">
        <v>35.563039313359901</v>
      </c>
      <c r="L942" t="s">
        <v>27</v>
      </c>
      <c r="M942" t="s">
        <v>30</v>
      </c>
      <c r="N942">
        <v>32</v>
      </c>
      <c r="O942">
        <v>73.571269263189905</v>
      </c>
      <c r="P942">
        <v>12.8851936201696</v>
      </c>
      <c r="Q942" t="s">
        <v>29</v>
      </c>
      <c r="R942">
        <v>940</v>
      </c>
      <c r="S942">
        <v>78.582978658622807</v>
      </c>
    </row>
    <row r="943" spans="1:19" x14ac:dyDescent="0.25">
      <c r="A943">
        <v>8112</v>
      </c>
      <c r="B943">
        <v>198.86215135689699</v>
      </c>
      <c r="C943">
        <v>1.83417024435904</v>
      </c>
      <c r="D943">
        <v>84.6927509091866</v>
      </c>
      <c r="E943">
        <v>32.628420343214302</v>
      </c>
      <c r="F943">
        <v>10</v>
      </c>
      <c r="G943">
        <v>0.872490187161306</v>
      </c>
      <c r="H943">
        <v>0.547706427341352</v>
      </c>
      <c r="I943">
        <v>5.1428925105165799</v>
      </c>
      <c r="J943">
        <v>87.8878232390596</v>
      </c>
      <c r="K943">
        <v>23.516590788262</v>
      </c>
      <c r="L943" t="s">
        <v>19</v>
      </c>
      <c r="M943" t="s">
        <v>23</v>
      </c>
      <c r="N943">
        <v>36</v>
      </c>
      <c r="O943">
        <v>59.8688401788215</v>
      </c>
      <c r="P943">
        <v>7.9837329740772702</v>
      </c>
      <c r="Q943" t="s">
        <v>31</v>
      </c>
      <c r="R943">
        <v>941</v>
      </c>
      <c r="S943">
        <v>99.672152235647303</v>
      </c>
    </row>
    <row r="944" spans="1:19" x14ac:dyDescent="0.25">
      <c r="A944">
        <v>9393</v>
      </c>
      <c r="B944">
        <v>140.97505816731299</v>
      </c>
      <c r="C944">
        <v>1.13291310061075</v>
      </c>
      <c r="D944">
        <v>50.283923826643402</v>
      </c>
      <c r="E944">
        <v>34.375233090016003</v>
      </c>
      <c r="F944">
        <v>21.158075387635702</v>
      </c>
      <c r="G944">
        <v>1.4266291025308999</v>
      </c>
      <c r="H944">
        <v>0.82713376188801402</v>
      </c>
      <c r="I944">
        <v>1.3550675763042199</v>
      </c>
      <c r="J944">
        <v>76.319809244816099</v>
      </c>
      <c r="K944">
        <v>23.553772327904898</v>
      </c>
      <c r="L944" t="s">
        <v>27</v>
      </c>
      <c r="M944" t="s">
        <v>30</v>
      </c>
      <c r="N944">
        <v>19</v>
      </c>
      <c r="O944">
        <v>71.537916348088601</v>
      </c>
      <c r="P944">
        <v>28.9485547460413</v>
      </c>
      <c r="Q944" t="s">
        <v>24</v>
      </c>
      <c r="R944">
        <v>942</v>
      </c>
      <c r="S944">
        <v>71.499464197819904</v>
      </c>
    </row>
    <row r="945" spans="1:19" x14ac:dyDescent="0.25">
      <c r="A945">
        <v>4507</v>
      </c>
      <c r="B945">
        <v>119.964178998096</v>
      </c>
      <c r="C945">
        <v>1.5409977782067801</v>
      </c>
      <c r="D945">
        <v>64.316898041423997</v>
      </c>
      <c r="E945">
        <v>30</v>
      </c>
      <c r="F945">
        <v>20.369937520915698</v>
      </c>
      <c r="G945">
        <v>0.31436430036305302</v>
      </c>
      <c r="H945">
        <v>0.70372225409561495</v>
      </c>
      <c r="I945">
        <v>1.13023577352578</v>
      </c>
      <c r="J945">
        <v>36.222957109649698</v>
      </c>
      <c r="K945">
        <v>41.075380610168303</v>
      </c>
      <c r="L945" t="s">
        <v>34</v>
      </c>
      <c r="M945" t="s">
        <v>37</v>
      </c>
      <c r="N945">
        <v>27</v>
      </c>
      <c r="O945">
        <v>69.736039985803004</v>
      </c>
      <c r="P945">
        <v>14.8121291403112</v>
      </c>
      <c r="Q945" t="s">
        <v>25</v>
      </c>
      <c r="R945">
        <v>943</v>
      </c>
      <c r="S945">
        <v>60.381708528802797</v>
      </c>
    </row>
    <row r="946" spans="1:19" x14ac:dyDescent="0.25">
      <c r="A946">
        <v>7456</v>
      </c>
      <c r="B946">
        <v>126.472848075889</v>
      </c>
      <c r="C946">
        <v>1.7286402023076199</v>
      </c>
      <c r="D946">
        <v>93.895257237538701</v>
      </c>
      <c r="E946">
        <v>32.9800675892089</v>
      </c>
      <c r="F946">
        <v>23.951830971976801</v>
      </c>
      <c r="G946">
        <v>0.91324522426953003</v>
      </c>
      <c r="H946">
        <v>0.76353560135732101</v>
      </c>
      <c r="I946">
        <v>2.0730572003607199</v>
      </c>
      <c r="J946">
        <v>50.992990922916597</v>
      </c>
      <c r="K946">
        <v>72.214160842227798</v>
      </c>
      <c r="L946" t="s">
        <v>19</v>
      </c>
      <c r="M946" t="s">
        <v>37</v>
      </c>
      <c r="N946">
        <v>36</v>
      </c>
      <c r="O946">
        <v>73.204353187523196</v>
      </c>
      <c r="P946">
        <v>20.403040878874702</v>
      </c>
      <c r="Q946" t="s">
        <v>24</v>
      </c>
      <c r="R946">
        <v>944</v>
      </c>
      <c r="S946">
        <v>59.798030962488397</v>
      </c>
    </row>
    <row r="947" spans="1:19" x14ac:dyDescent="0.25">
      <c r="A947">
        <v>5212</v>
      </c>
      <c r="B947">
        <v>157.968914183935</v>
      </c>
      <c r="C947">
        <v>2.2279111610733802</v>
      </c>
      <c r="D947">
        <v>87.892943751477404</v>
      </c>
      <c r="E947">
        <v>32.873017491002699</v>
      </c>
      <c r="F947">
        <v>21.230473865126498</v>
      </c>
      <c r="G947">
        <v>1.93487179013872</v>
      </c>
      <c r="H947">
        <v>0.57759558771784503</v>
      </c>
      <c r="I947">
        <v>6.8418256648469296</v>
      </c>
      <c r="J947">
        <v>109.998327687865</v>
      </c>
      <c r="K947">
        <v>60.597837569862101</v>
      </c>
      <c r="L947" t="s">
        <v>22</v>
      </c>
      <c r="M947" t="s">
        <v>20</v>
      </c>
      <c r="N947">
        <v>34</v>
      </c>
      <c r="O947">
        <v>81.133846956309696</v>
      </c>
      <c r="P947">
        <v>15.2507489647247</v>
      </c>
      <c r="Q947" t="s">
        <v>29</v>
      </c>
      <c r="R947">
        <v>945</v>
      </c>
      <c r="S947">
        <v>89.605668959563701</v>
      </c>
    </row>
    <row r="948" spans="1:19" x14ac:dyDescent="0.25">
      <c r="A948">
        <v>8970</v>
      </c>
      <c r="B948">
        <v>137.265408210755</v>
      </c>
      <c r="C948">
        <v>1.8522532699123599</v>
      </c>
      <c r="D948">
        <v>42.542810970378703</v>
      </c>
      <c r="E948">
        <v>32.455636334889903</v>
      </c>
      <c r="F948">
        <v>20.398074702816</v>
      </c>
      <c r="G948">
        <v>1.1701655740102099</v>
      </c>
      <c r="H948">
        <v>0.66470067350518203</v>
      </c>
      <c r="I948">
        <v>6.1044677912205296</v>
      </c>
      <c r="J948">
        <v>88.817443672226304</v>
      </c>
      <c r="K948">
        <v>22.693842024826498</v>
      </c>
      <c r="L948" t="s">
        <v>27</v>
      </c>
      <c r="M948" t="s">
        <v>35</v>
      </c>
      <c r="N948">
        <v>37</v>
      </c>
      <c r="O948">
        <v>79.585968122959201</v>
      </c>
      <c r="P948">
        <v>21.437483977262399</v>
      </c>
      <c r="Q948" t="s">
        <v>29</v>
      </c>
      <c r="R948">
        <v>946</v>
      </c>
      <c r="S948">
        <v>77.265707721035099</v>
      </c>
    </row>
    <row r="949" spans="1:19" x14ac:dyDescent="0.25">
      <c r="A949">
        <v>9766</v>
      </c>
      <c r="B949">
        <v>106.234440433652</v>
      </c>
      <c r="C949">
        <v>1.89452834368775</v>
      </c>
      <c r="D949">
        <v>77.029598007044001</v>
      </c>
      <c r="E949">
        <v>35.071471854762699</v>
      </c>
      <c r="F949">
        <v>13.1030053474638</v>
      </c>
      <c r="G949">
        <v>0.71818310600271995</v>
      </c>
      <c r="H949">
        <v>0.73954483804343596</v>
      </c>
      <c r="I949">
        <v>5.9808660504735398</v>
      </c>
      <c r="J949">
        <v>118.597431768551</v>
      </c>
      <c r="K949">
        <v>78.917739373193299</v>
      </c>
      <c r="L949" t="s">
        <v>22</v>
      </c>
      <c r="M949" t="s">
        <v>30</v>
      </c>
      <c r="N949">
        <v>38</v>
      </c>
      <c r="O949">
        <v>56.8892861889166</v>
      </c>
      <c r="P949">
        <v>23.745392183506901</v>
      </c>
      <c r="Q949" t="s">
        <v>31</v>
      </c>
      <c r="R949">
        <v>947</v>
      </c>
      <c r="S949">
        <v>69.241759550106806</v>
      </c>
    </row>
    <row r="950" spans="1:19" x14ac:dyDescent="0.25">
      <c r="A950">
        <v>1536</v>
      </c>
      <c r="B950">
        <v>153.384578691504</v>
      </c>
      <c r="C950">
        <v>1.5419133139646799</v>
      </c>
      <c r="D950">
        <v>30.435495012503701</v>
      </c>
      <c r="E950">
        <v>31.935204649372999</v>
      </c>
      <c r="F950">
        <v>17.300160854249601</v>
      </c>
      <c r="G950">
        <v>0.416487733631492</v>
      </c>
      <c r="H950">
        <v>0.62270094784841401</v>
      </c>
      <c r="I950">
        <v>1.28671086275434</v>
      </c>
      <c r="J950">
        <v>96.701252998076896</v>
      </c>
      <c r="K950">
        <v>60.102572024254897</v>
      </c>
      <c r="L950" t="s">
        <v>19</v>
      </c>
      <c r="M950" t="s">
        <v>26</v>
      </c>
      <c r="N950">
        <v>19</v>
      </c>
      <c r="O950">
        <v>52.0380273355387</v>
      </c>
      <c r="P950">
        <v>36.6276377834916</v>
      </c>
      <c r="Q950" t="s">
        <v>31</v>
      </c>
      <c r="R950">
        <v>948</v>
      </c>
      <c r="S950">
        <v>79.310073384002706</v>
      </c>
    </row>
    <row r="951" spans="1:19" x14ac:dyDescent="0.25">
      <c r="A951">
        <v>2625</v>
      </c>
      <c r="B951">
        <v>121.63711828922</v>
      </c>
      <c r="C951">
        <v>2.2052295726017501</v>
      </c>
      <c r="D951">
        <v>70.938698041207303</v>
      </c>
      <c r="E951">
        <v>33.926155412682697</v>
      </c>
      <c r="F951">
        <v>24.383255204002701</v>
      </c>
      <c r="G951">
        <v>1.46635101232675</v>
      </c>
      <c r="H951">
        <v>0.50910489691623495</v>
      </c>
      <c r="I951">
        <v>5.2237269672400597</v>
      </c>
      <c r="J951">
        <v>114.197443214359</v>
      </c>
      <c r="K951">
        <v>87.064168258858402</v>
      </c>
      <c r="L951" t="s">
        <v>34</v>
      </c>
      <c r="M951" t="s">
        <v>20</v>
      </c>
      <c r="N951">
        <v>36</v>
      </c>
      <c r="O951">
        <v>69.965679499577803</v>
      </c>
      <c r="P951">
        <v>14.3525961070533</v>
      </c>
      <c r="Q951" t="s">
        <v>25</v>
      </c>
      <c r="R951">
        <v>949</v>
      </c>
      <c r="S951">
        <v>69.930013170444695</v>
      </c>
    </row>
    <row r="952" spans="1:19" x14ac:dyDescent="0.25">
      <c r="A952">
        <v>8973</v>
      </c>
      <c r="B952">
        <v>172.46595552434999</v>
      </c>
      <c r="C952">
        <v>1.7048813979797399</v>
      </c>
      <c r="D952">
        <v>107.955340334919</v>
      </c>
      <c r="E952">
        <v>33.427503346447303</v>
      </c>
      <c r="F952">
        <v>30.5795381556634</v>
      </c>
      <c r="G952">
        <v>1.3607408781735</v>
      </c>
      <c r="H952">
        <v>0.92890227077341703</v>
      </c>
      <c r="I952">
        <v>9.3216053605827494</v>
      </c>
      <c r="J952">
        <v>41.618857387047498</v>
      </c>
      <c r="K952">
        <v>65.263910055840498</v>
      </c>
      <c r="L952" t="s">
        <v>19</v>
      </c>
      <c r="M952" t="s">
        <v>23</v>
      </c>
      <c r="N952">
        <v>34</v>
      </c>
      <c r="O952">
        <v>69.354704368449603</v>
      </c>
      <c r="P952">
        <v>26.3448450776736</v>
      </c>
      <c r="Q952" t="s">
        <v>31</v>
      </c>
      <c r="R952">
        <v>950</v>
      </c>
      <c r="S952">
        <v>95.666072913334105</v>
      </c>
    </row>
    <row r="953" spans="1:19" x14ac:dyDescent="0.25">
      <c r="A953">
        <v>9577</v>
      </c>
      <c r="B953">
        <v>156.60096131429199</v>
      </c>
      <c r="C953">
        <v>1.06945604491321</v>
      </c>
      <c r="D953">
        <v>51.042145654620199</v>
      </c>
      <c r="E953">
        <v>34.513823103042597</v>
      </c>
      <c r="F953">
        <v>21.5123730812718</v>
      </c>
      <c r="G953">
        <v>0.87308968448679403</v>
      </c>
      <c r="H953">
        <v>0.68130714702343897</v>
      </c>
      <c r="I953">
        <v>4.5783268237958197</v>
      </c>
      <c r="J953">
        <v>97.148487481692499</v>
      </c>
      <c r="K953">
        <v>28.138114777813499</v>
      </c>
      <c r="L953" t="s">
        <v>19</v>
      </c>
      <c r="M953" t="s">
        <v>33</v>
      </c>
      <c r="N953">
        <v>35</v>
      </c>
      <c r="O953">
        <v>58.910725738627399</v>
      </c>
      <c r="P953">
        <v>20.223336362357099</v>
      </c>
      <c r="Q953" t="s">
        <v>25</v>
      </c>
      <c r="R953">
        <v>951</v>
      </c>
      <c r="S953">
        <v>84.625346790941293</v>
      </c>
    </row>
    <row r="954" spans="1:19" x14ac:dyDescent="0.25">
      <c r="A954">
        <v>9070</v>
      </c>
      <c r="B954">
        <v>126.053562086824</v>
      </c>
      <c r="C954">
        <v>2.2016849850625899</v>
      </c>
      <c r="D954">
        <v>53.313539090168298</v>
      </c>
      <c r="E954">
        <v>32.199373098266904</v>
      </c>
      <c r="F954">
        <v>23.639055367870601</v>
      </c>
      <c r="G954">
        <v>1.9116944333585</v>
      </c>
      <c r="H954">
        <v>0.80365620365823498</v>
      </c>
      <c r="I954">
        <v>6.6243022280961004</v>
      </c>
      <c r="J954">
        <v>22.0217520147797</v>
      </c>
      <c r="K954">
        <v>50.533752173086597</v>
      </c>
      <c r="L954" t="s">
        <v>22</v>
      </c>
      <c r="M954" t="s">
        <v>26</v>
      </c>
      <c r="N954">
        <v>34</v>
      </c>
      <c r="O954">
        <v>60.313839874610402</v>
      </c>
      <c r="P954">
        <v>13.3750106951632</v>
      </c>
      <c r="Q954" t="s">
        <v>21</v>
      </c>
      <c r="R954">
        <v>952</v>
      </c>
      <c r="S954">
        <v>71.280152605577499</v>
      </c>
    </row>
    <row r="955" spans="1:19" x14ac:dyDescent="0.25">
      <c r="A955">
        <v>9666</v>
      </c>
      <c r="B955">
        <v>160.62032723470199</v>
      </c>
      <c r="C955">
        <v>1.84895163626951</v>
      </c>
      <c r="D955">
        <v>85.280595631457103</v>
      </c>
      <c r="E955">
        <v>32.120437321051398</v>
      </c>
      <c r="F955">
        <v>26.762390784764001</v>
      </c>
      <c r="G955">
        <v>0.23996506337813001</v>
      </c>
      <c r="H955">
        <v>0.62607595645583203</v>
      </c>
      <c r="I955">
        <v>8.0183680806082904</v>
      </c>
      <c r="J955">
        <v>87.076002171153306</v>
      </c>
      <c r="K955">
        <v>63.637319816040304</v>
      </c>
      <c r="L955" t="s">
        <v>27</v>
      </c>
      <c r="M955" t="s">
        <v>32</v>
      </c>
      <c r="N955">
        <v>19</v>
      </c>
      <c r="O955">
        <v>61.837172994147203</v>
      </c>
      <c r="P955">
        <v>13.9460478501437</v>
      </c>
      <c r="Q955" t="s">
        <v>25</v>
      </c>
      <c r="R955">
        <v>953</v>
      </c>
      <c r="S955">
        <v>94.768353682061502</v>
      </c>
    </row>
    <row r="956" spans="1:19" x14ac:dyDescent="0.25">
      <c r="A956">
        <v>9609</v>
      </c>
      <c r="B956">
        <v>136.357110210548</v>
      </c>
      <c r="C956">
        <v>1.2784779894357501</v>
      </c>
      <c r="D956">
        <v>39.143969695807002</v>
      </c>
      <c r="E956">
        <v>34.3152838889728</v>
      </c>
      <c r="F956">
        <v>17.945530318998699</v>
      </c>
      <c r="G956">
        <v>0.74670293293728596</v>
      </c>
      <c r="H956">
        <v>0.59532247021414397</v>
      </c>
      <c r="I956">
        <v>8.0553275122769801</v>
      </c>
      <c r="J956">
        <v>66.928227812024105</v>
      </c>
      <c r="K956">
        <v>17.119852578748301</v>
      </c>
      <c r="L956" t="s">
        <v>19</v>
      </c>
      <c r="M956" t="s">
        <v>37</v>
      </c>
      <c r="N956">
        <v>36</v>
      </c>
      <c r="O956">
        <v>78.680229322189206</v>
      </c>
      <c r="P956">
        <v>21.767219439916101</v>
      </c>
      <c r="Q956" t="s">
        <v>31</v>
      </c>
      <c r="R956">
        <v>954</v>
      </c>
      <c r="S956">
        <v>81.598277778653298</v>
      </c>
    </row>
    <row r="957" spans="1:19" x14ac:dyDescent="0.25">
      <c r="A957">
        <v>7490</v>
      </c>
      <c r="B957">
        <v>152.05547350244399</v>
      </c>
      <c r="C957">
        <v>1.2602535163003701</v>
      </c>
      <c r="D957">
        <v>57.344899402299198</v>
      </c>
      <c r="E957">
        <v>33.510385569996103</v>
      </c>
      <c r="F957">
        <v>23.8340702164272</v>
      </c>
      <c r="G957">
        <v>1.85792507533924</v>
      </c>
      <c r="H957">
        <v>0.623940364156918</v>
      </c>
      <c r="I957">
        <v>5.6735207415574402</v>
      </c>
      <c r="J957">
        <v>54.6760071920068</v>
      </c>
      <c r="K957">
        <v>16.118269811610499</v>
      </c>
      <c r="L957" t="s">
        <v>34</v>
      </c>
      <c r="M957" t="s">
        <v>23</v>
      </c>
      <c r="N957">
        <v>18</v>
      </c>
      <c r="O957">
        <v>64.220029112523406</v>
      </c>
      <c r="P957">
        <v>15.627182136373801</v>
      </c>
      <c r="Q957" t="s">
        <v>24</v>
      </c>
      <c r="R957">
        <v>955</v>
      </c>
      <c r="S957">
        <v>81.602788798720695</v>
      </c>
    </row>
    <row r="958" spans="1:19" x14ac:dyDescent="0.25">
      <c r="A958">
        <v>4600</v>
      </c>
      <c r="B958">
        <v>144.694656345889</v>
      </c>
      <c r="C958">
        <v>1.6482877725703799</v>
      </c>
      <c r="D958">
        <v>81.928822751634996</v>
      </c>
      <c r="E958">
        <v>31.146075183987801</v>
      </c>
      <c r="F958">
        <v>18.297549468339199</v>
      </c>
      <c r="G958">
        <v>0.77768378897499202</v>
      </c>
      <c r="H958">
        <v>0.62505815408210696</v>
      </c>
      <c r="I958">
        <v>8.7215675086210194</v>
      </c>
      <c r="J958">
        <v>106.24043522930801</v>
      </c>
      <c r="K958">
        <v>24.705225044892501</v>
      </c>
      <c r="L958" t="s">
        <v>19</v>
      </c>
      <c r="M958" t="s">
        <v>20</v>
      </c>
      <c r="N958">
        <v>28</v>
      </c>
      <c r="O958">
        <v>55.968960741157403</v>
      </c>
      <c r="P958">
        <v>18.8394829889071</v>
      </c>
      <c r="Q958" t="s">
        <v>31</v>
      </c>
      <c r="R958">
        <v>956</v>
      </c>
      <c r="S958">
        <v>85.745414433268294</v>
      </c>
    </row>
    <row r="959" spans="1:19" x14ac:dyDescent="0.25">
      <c r="A959">
        <v>7783</v>
      </c>
      <c r="B959">
        <v>118.07286690018201</v>
      </c>
      <c r="C959">
        <v>1.7315923976337899</v>
      </c>
      <c r="D959">
        <v>57.314283046211898</v>
      </c>
      <c r="E959">
        <v>32.352833982644</v>
      </c>
      <c r="F959">
        <v>26.324122192455</v>
      </c>
      <c r="G959">
        <v>0.65405510093930597</v>
      </c>
      <c r="H959">
        <v>0.69929906376807405</v>
      </c>
      <c r="I959">
        <v>4.5224028402737204</v>
      </c>
      <c r="J959">
        <v>105.42676926575299</v>
      </c>
      <c r="K959">
        <v>33.874832628410303</v>
      </c>
      <c r="L959" t="s">
        <v>22</v>
      </c>
      <c r="M959" t="s">
        <v>30</v>
      </c>
      <c r="N959">
        <v>27</v>
      </c>
      <c r="O959">
        <v>67.484546826225198</v>
      </c>
      <c r="P959">
        <v>23.317164715175</v>
      </c>
      <c r="Q959" t="s">
        <v>29</v>
      </c>
      <c r="R959">
        <v>957</v>
      </c>
      <c r="S959">
        <v>65.288954255200593</v>
      </c>
    </row>
    <row r="960" spans="1:19" x14ac:dyDescent="0.25">
      <c r="A960">
        <v>5971</v>
      </c>
      <c r="B960">
        <v>122.12900335365001</v>
      </c>
      <c r="C960">
        <v>1.5986461328156001</v>
      </c>
      <c r="D960">
        <v>65.280600255780499</v>
      </c>
      <c r="E960">
        <v>33.463659184617597</v>
      </c>
      <c r="F960">
        <v>22.757015239758601</v>
      </c>
      <c r="G960">
        <v>1.16159673787624</v>
      </c>
      <c r="H960">
        <v>0.69890842848974899</v>
      </c>
      <c r="I960">
        <v>8.9982389330631793</v>
      </c>
      <c r="J960">
        <v>22.2301704898643</v>
      </c>
      <c r="K960">
        <v>47.216184264050597</v>
      </c>
      <c r="L960" t="s">
        <v>27</v>
      </c>
      <c r="M960" t="s">
        <v>30</v>
      </c>
      <c r="N960">
        <v>22</v>
      </c>
      <c r="O960">
        <v>67.978172426200402</v>
      </c>
      <c r="P960">
        <v>37.9624189533546</v>
      </c>
      <c r="Q960" t="s">
        <v>31</v>
      </c>
      <c r="R960">
        <v>958</v>
      </c>
      <c r="S960">
        <v>75.747578304187201</v>
      </c>
    </row>
    <row r="961" spans="1:19" x14ac:dyDescent="0.25">
      <c r="A961">
        <v>2205</v>
      </c>
      <c r="B961">
        <v>155.599216351623</v>
      </c>
      <c r="C961">
        <v>1.65565433672144</v>
      </c>
      <c r="D961">
        <v>84.883714206300695</v>
      </c>
      <c r="E961">
        <v>34.005317065855898</v>
      </c>
      <c r="F961">
        <v>23.492259069907199</v>
      </c>
      <c r="G961">
        <v>1.68284314985696</v>
      </c>
      <c r="H961">
        <v>0.67343459873557898</v>
      </c>
      <c r="I961">
        <v>3.1620444975598998</v>
      </c>
      <c r="J961">
        <v>80.950512244943098</v>
      </c>
      <c r="K961">
        <v>51.558035531984103</v>
      </c>
      <c r="L961" t="s">
        <v>34</v>
      </c>
      <c r="M961" t="s">
        <v>36</v>
      </c>
      <c r="N961">
        <v>33</v>
      </c>
      <c r="O961">
        <v>59.743086969569902</v>
      </c>
      <c r="P961">
        <v>18.259875453487101</v>
      </c>
      <c r="Q961" t="s">
        <v>21</v>
      </c>
      <c r="R961">
        <v>959</v>
      </c>
      <c r="S961">
        <v>76.015972521383404</v>
      </c>
    </row>
    <row r="962" spans="1:19" x14ac:dyDescent="0.25">
      <c r="A962">
        <v>2990</v>
      </c>
      <c r="B962">
        <v>128.30449335786901</v>
      </c>
      <c r="C962">
        <v>2.34997868728819</v>
      </c>
      <c r="D962">
        <v>78.430921670731195</v>
      </c>
      <c r="E962">
        <v>32.1849232161684</v>
      </c>
      <c r="F962">
        <v>18.087007012907002</v>
      </c>
      <c r="G962">
        <v>0.38566416958104899</v>
      </c>
      <c r="H962">
        <v>0.47413218170459098</v>
      </c>
      <c r="I962">
        <v>3.5219476629151298</v>
      </c>
      <c r="J962">
        <v>56.783222432095599</v>
      </c>
      <c r="K962">
        <v>25.352070670342201</v>
      </c>
      <c r="L962" t="s">
        <v>22</v>
      </c>
      <c r="M962" t="s">
        <v>37</v>
      </c>
      <c r="N962">
        <v>22</v>
      </c>
      <c r="O962">
        <v>72.7231103436621</v>
      </c>
      <c r="P962">
        <v>8.9746125433199193</v>
      </c>
      <c r="Q962" t="s">
        <v>25</v>
      </c>
      <c r="R962">
        <v>960</v>
      </c>
      <c r="S962">
        <v>66.260802926500006</v>
      </c>
    </row>
    <row r="963" spans="1:19" x14ac:dyDescent="0.25">
      <c r="A963">
        <v>6299</v>
      </c>
      <c r="B963">
        <v>126.92703073516</v>
      </c>
      <c r="C963">
        <v>2.03577157611744</v>
      </c>
      <c r="D963">
        <v>75.336367925907993</v>
      </c>
      <c r="E963">
        <v>30</v>
      </c>
      <c r="F963">
        <v>25.535161798053899</v>
      </c>
      <c r="G963">
        <v>1.89743727736232</v>
      </c>
      <c r="H963">
        <v>0.67284151317529195</v>
      </c>
      <c r="I963">
        <v>1.47808561779101</v>
      </c>
      <c r="J963">
        <v>61.566100150044903</v>
      </c>
      <c r="K963">
        <v>65.504368433687304</v>
      </c>
      <c r="L963" t="s">
        <v>19</v>
      </c>
      <c r="M963" t="s">
        <v>26</v>
      </c>
      <c r="N963">
        <v>29</v>
      </c>
      <c r="O963">
        <v>77.097912327168004</v>
      </c>
      <c r="P963">
        <v>21.183914419714</v>
      </c>
      <c r="Q963" t="s">
        <v>29</v>
      </c>
      <c r="R963">
        <v>961</v>
      </c>
      <c r="S963">
        <v>68.187163427315596</v>
      </c>
    </row>
    <row r="964" spans="1:19" x14ac:dyDescent="0.25">
      <c r="A964">
        <v>4572</v>
      </c>
      <c r="B964">
        <v>115.897548413012</v>
      </c>
      <c r="C964">
        <v>1.59531779563251</v>
      </c>
      <c r="D964">
        <v>63.217554414599199</v>
      </c>
      <c r="E964">
        <v>33.627867822884397</v>
      </c>
      <c r="F964">
        <v>32.423564606154997</v>
      </c>
      <c r="G964">
        <v>1.63113118612609</v>
      </c>
      <c r="H964">
        <v>0.49300714523135802</v>
      </c>
      <c r="I964">
        <v>8.1602365288805405</v>
      </c>
      <c r="J964">
        <v>103.204073921877</v>
      </c>
      <c r="K964">
        <v>59.7103546272401</v>
      </c>
      <c r="L964" t="s">
        <v>19</v>
      </c>
      <c r="M964" t="s">
        <v>32</v>
      </c>
      <c r="N964">
        <v>21</v>
      </c>
      <c r="O964">
        <v>65.156999260559999</v>
      </c>
      <c r="P964">
        <v>14.1277653047268</v>
      </c>
      <c r="Q964" t="s">
        <v>25</v>
      </c>
      <c r="R964">
        <v>962</v>
      </c>
      <c r="S964">
        <v>74.423733924682693</v>
      </c>
    </row>
    <row r="965" spans="1:19" x14ac:dyDescent="0.25">
      <c r="A965">
        <v>6975</v>
      </c>
      <c r="B965">
        <v>143.471981311869</v>
      </c>
      <c r="C965">
        <v>1.97065529038374</v>
      </c>
      <c r="D965">
        <v>77.401222305379093</v>
      </c>
      <c r="E965">
        <v>31.5356151720672</v>
      </c>
      <c r="F965">
        <v>16.9604415228589</v>
      </c>
      <c r="G965">
        <v>0.52625045999279296</v>
      </c>
      <c r="H965">
        <v>0.46937468246267</v>
      </c>
      <c r="I965">
        <v>4.7534971260943504</v>
      </c>
      <c r="J965">
        <v>50.9839771527678</v>
      </c>
      <c r="K965">
        <v>37.084807413086999</v>
      </c>
      <c r="L965" t="s">
        <v>27</v>
      </c>
      <c r="M965" t="s">
        <v>32</v>
      </c>
      <c r="N965">
        <v>23</v>
      </c>
      <c r="O965">
        <v>55.968717755108798</v>
      </c>
      <c r="P965">
        <v>33.148864275429503</v>
      </c>
      <c r="Q965" t="s">
        <v>25</v>
      </c>
      <c r="R965">
        <v>963</v>
      </c>
      <c r="S965">
        <v>82.001159949380906</v>
      </c>
    </row>
    <row r="966" spans="1:19" x14ac:dyDescent="0.25">
      <c r="A966">
        <v>7320</v>
      </c>
      <c r="B966">
        <v>176.250498384862</v>
      </c>
      <c r="C966">
        <v>0.98373804823623001</v>
      </c>
      <c r="D966">
        <v>67.5253463980048</v>
      </c>
      <c r="E966">
        <v>30.5791934422531</v>
      </c>
      <c r="F966">
        <v>20.301204961762298</v>
      </c>
      <c r="G966">
        <v>1.48161433015669</v>
      </c>
      <c r="H966">
        <v>0.91295514453764204</v>
      </c>
      <c r="I966">
        <v>3.0620495252025899</v>
      </c>
      <c r="J966">
        <v>114.304881063762</v>
      </c>
      <c r="K966">
        <v>16.024491257646901</v>
      </c>
      <c r="L966" t="s">
        <v>22</v>
      </c>
      <c r="M966" t="s">
        <v>37</v>
      </c>
      <c r="N966">
        <v>36</v>
      </c>
      <c r="O966">
        <v>65.810038700430695</v>
      </c>
      <c r="P966">
        <v>14.023096342620599</v>
      </c>
      <c r="Q966" t="s">
        <v>31</v>
      </c>
      <c r="R966">
        <v>964</v>
      </c>
      <c r="S966">
        <v>91.618810512588595</v>
      </c>
    </row>
    <row r="967" spans="1:19" x14ac:dyDescent="0.25">
      <c r="A967">
        <v>5380</v>
      </c>
      <c r="B967">
        <v>113.649341714914</v>
      </c>
      <c r="C967">
        <v>1.6989635249734001</v>
      </c>
      <c r="D967">
        <v>79.1561121985157</v>
      </c>
      <c r="E967">
        <v>30</v>
      </c>
      <c r="F967">
        <v>23.1580373708404</v>
      </c>
      <c r="G967">
        <v>0.89292570074760202</v>
      </c>
      <c r="H967">
        <v>0.732722507231237</v>
      </c>
      <c r="I967">
        <v>3.0861124985492099</v>
      </c>
      <c r="J967">
        <v>37.963382637214004</v>
      </c>
      <c r="K967">
        <v>20.8235936514968</v>
      </c>
      <c r="L967" t="s">
        <v>22</v>
      </c>
      <c r="M967" t="s">
        <v>36</v>
      </c>
      <c r="N967">
        <v>26</v>
      </c>
      <c r="O967">
        <v>70.413386089918703</v>
      </c>
      <c r="P967">
        <v>18.1471765371167</v>
      </c>
      <c r="Q967" t="s">
        <v>24</v>
      </c>
      <c r="R967">
        <v>965</v>
      </c>
      <c r="S967">
        <v>61.462348253456</v>
      </c>
    </row>
    <row r="968" spans="1:19" x14ac:dyDescent="0.25">
      <c r="A968">
        <v>5757</v>
      </c>
      <c r="B968">
        <v>135.48438913345501</v>
      </c>
      <c r="C968">
        <v>2.4046531748665498</v>
      </c>
      <c r="D968">
        <v>60.061359497640403</v>
      </c>
      <c r="E968">
        <v>33.976777032237202</v>
      </c>
      <c r="F968">
        <v>25.932031059979</v>
      </c>
      <c r="G968">
        <v>0.92413042053737304</v>
      </c>
      <c r="H968">
        <v>0.76271953196852105</v>
      </c>
      <c r="I968">
        <v>9.1125994710630902</v>
      </c>
      <c r="J968">
        <v>86.272242336817698</v>
      </c>
      <c r="K968">
        <v>44.377108163312897</v>
      </c>
      <c r="L968" t="s">
        <v>27</v>
      </c>
      <c r="M968" t="s">
        <v>36</v>
      </c>
      <c r="N968">
        <v>29</v>
      </c>
      <c r="O968">
        <v>50.736724553462402</v>
      </c>
      <c r="P968">
        <v>22.983311277593501</v>
      </c>
      <c r="Q968" t="s">
        <v>29</v>
      </c>
      <c r="R968">
        <v>966</v>
      </c>
      <c r="S968">
        <v>83.125058958433797</v>
      </c>
    </row>
    <row r="969" spans="1:19" x14ac:dyDescent="0.25">
      <c r="A969">
        <v>3713</v>
      </c>
      <c r="B969">
        <v>163.24441110830799</v>
      </c>
      <c r="C969">
        <v>1.3909770523038101</v>
      </c>
      <c r="D969">
        <v>66.348620512409099</v>
      </c>
      <c r="E969">
        <v>33.154340940485902</v>
      </c>
      <c r="F969">
        <v>19.202268573552601</v>
      </c>
      <c r="G969">
        <v>1.6099221663899499</v>
      </c>
      <c r="H969">
        <v>0.62098651868334998</v>
      </c>
      <c r="I969">
        <v>8.5052494041493301</v>
      </c>
      <c r="J969">
        <v>87.210506701376403</v>
      </c>
      <c r="K969">
        <v>26.548076337426199</v>
      </c>
      <c r="L969" t="s">
        <v>34</v>
      </c>
      <c r="M969" t="s">
        <v>26</v>
      </c>
      <c r="N969">
        <v>32</v>
      </c>
      <c r="O969">
        <v>71.852135634223899</v>
      </c>
      <c r="P969">
        <v>21.9304059371519</v>
      </c>
      <c r="Q969" t="s">
        <v>21</v>
      </c>
      <c r="R969">
        <v>967</v>
      </c>
      <c r="S969">
        <v>93.987524188038705</v>
      </c>
    </row>
    <row r="970" spans="1:19" x14ac:dyDescent="0.25">
      <c r="A970">
        <v>6588</v>
      </c>
      <c r="B970">
        <v>133.40717217508501</v>
      </c>
      <c r="C970">
        <v>1.07618303569045</v>
      </c>
      <c r="D970">
        <v>50.200844148959703</v>
      </c>
      <c r="E970">
        <v>32.729212343145299</v>
      </c>
      <c r="F970">
        <v>10</v>
      </c>
      <c r="G970">
        <v>1.9330126543653099</v>
      </c>
      <c r="H970">
        <v>0.89993949055317501</v>
      </c>
      <c r="I970">
        <v>5.9817779682146499</v>
      </c>
      <c r="J970">
        <v>45.219516142791797</v>
      </c>
      <c r="K970">
        <v>43.261470461097801</v>
      </c>
      <c r="L970" t="s">
        <v>22</v>
      </c>
      <c r="M970" t="s">
        <v>36</v>
      </c>
      <c r="N970">
        <v>33</v>
      </c>
      <c r="O970">
        <v>65.000018812020599</v>
      </c>
      <c r="P970">
        <v>29.121540081779202</v>
      </c>
      <c r="Q970" t="s">
        <v>21</v>
      </c>
      <c r="R970">
        <v>968</v>
      </c>
      <c r="S970">
        <v>74.533362246011606</v>
      </c>
    </row>
    <row r="971" spans="1:19" x14ac:dyDescent="0.25">
      <c r="A971">
        <v>1966</v>
      </c>
      <c r="B971">
        <v>144.04743592499401</v>
      </c>
      <c r="C971">
        <v>1.17395555570346</v>
      </c>
      <c r="D971">
        <v>69.299847799875195</v>
      </c>
      <c r="E971">
        <v>34.666829235555298</v>
      </c>
      <c r="F971">
        <v>28.795947470820099</v>
      </c>
      <c r="G971">
        <v>0.42798057112494903</v>
      </c>
      <c r="H971">
        <v>0.75086176926881598</v>
      </c>
      <c r="I971">
        <v>6.5449972037414899</v>
      </c>
      <c r="J971">
        <v>52.475060896720201</v>
      </c>
      <c r="K971">
        <v>62.1136953382766</v>
      </c>
      <c r="L971" t="s">
        <v>27</v>
      </c>
      <c r="M971" t="s">
        <v>20</v>
      </c>
      <c r="N971">
        <v>30</v>
      </c>
      <c r="O971">
        <v>68.349739611864607</v>
      </c>
      <c r="P971">
        <v>23.339868875457999</v>
      </c>
      <c r="Q971" t="s">
        <v>24</v>
      </c>
      <c r="R971">
        <v>969</v>
      </c>
      <c r="S971">
        <v>84.806335256887905</v>
      </c>
    </row>
    <row r="972" spans="1:19" x14ac:dyDescent="0.25">
      <c r="A972">
        <v>5944</v>
      </c>
      <c r="B972">
        <v>113.752129437062</v>
      </c>
      <c r="C972">
        <v>0.95518348132880504</v>
      </c>
      <c r="D972">
        <v>53.779982727423103</v>
      </c>
      <c r="E972">
        <v>33.764789619627599</v>
      </c>
      <c r="F972">
        <v>25.8025305979207</v>
      </c>
      <c r="G972">
        <v>0.95713442638187396</v>
      </c>
      <c r="H972">
        <v>0.82304342823797305</v>
      </c>
      <c r="I972">
        <v>5.2689301349526101</v>
      </c>
      <c r="J972">
        <v>103.479849257994</v>
      </c>
      <c r="K972">
        <v>56.042807090946198</v>
      </c>
      <c r="L972" t="s">
        <v>22</v>
      </c>
      <c r="M972" t="s">
        <v>36</v>
      </c>
      <c r="N972">
        <v>38</v>
      </c>
      <c r="O972">
        <v>65.683015782338899</v>
      </c>
      <c r="P972">
        <v>36.7435739396808</v>
      </c>
      <c r="Q972" t="s">
        <v>24</v>
      </c>
      <c r="R972">
        <v>970</v>
      </c>
      <c r="S972">
        <v>64.667155233452903</v>
      </c>
    </row>
    <row r="973" spans="1:19" x14ac:dyDescent="0.25">
      <c r="A973">
        <v>4432</v>
      </c>
      <c r="B973">
        <v>143.56614194415201</v>
      </c>
      <c r="C973">
        <v>1.1076190459361399</v>
      </c>
      <c r="D973">
        <v>47.719070996760102</v>
      </c>
      <c r="E973">
        <v>34.939560051266298</v>
      </c>
      <c r="F973">
        <v>13.285262347566601</v>
      </c>
      <c r="G973">
        <v>1.0656948945517399</v>
      </c>
      <c r="H973">
        <v>0.60270935796524205</v>
      </c>
      <c r="I973">
        <v>4.5249988859092802</v>
      </c>
      <c r="J973">
        <v>96.180525495495203</v>
      </c>
      <c r="K973">
        <v>32.3381912353045</v>
      </c>
      <c r="L973" t="s">
        <v>27</v>
      </c>
      <c r="M973" t="s">
        <v>30</v>
      </c>
      <c r="N973">
        <v>24</v>
      </c>
      <c r="O973">
        <v>61.972481672424998</v>
      </c>
      <c r="P973">
        <v>21.595939997691399</v>
      </c>
      <c r="Q973" t="s">
        <v>31</v>
      </c>
      <c r="R973">
        <v>971</v>
      </c>
      <c r="S973">
        <v>83.754590883581102</v>
      </c>
    </row>
    <row r="974" spans="1:19" x14ac:dyDescent="0.25">
      <c r="A974">
        <v>1688</v>
      </c>
      <c r="B974">
        <v>131.25711469990901</v>
      </c>
      <c r="C974">
        <v>1.3147459507049799</v>
      </c>
      <c r="D974">
        <v>75.173222957107697</v>
      </c>
      <c r="E974">
        <v>31.3287174333996</v>
      </c>
      <c r="F974">
        <v>18.962156041102201</v>
      </c>
      <c r="G974">
        <v>0.87736127051899504</v>
      </c>
      <c r="H974">
        <v>0.92800653445051895</v>
      </c>
      <c r="I974">
        <v>9.2392919309649795</v>
      </c>
      <c r="J974">
        <v>52.909588031475899</v>
      </c>
      <c r="K974">
        <v>40.786686844406397</v>
      </c>
      <c r="L974" t="s">
        <v>19</v>
      </c>
      <c r="M974" t="s">
        <v>28</v>
      </c>
      <c r="N974">
        <v>37</v>
      </c>
      <c r="O974">
        <v>67.112066912277896</v>
      </c>
      <c r="P974">
        <v>28.392828512435401</v>
      </c>
      <c r="Q974" t="s">
        <v>21</v>
      </c>
      <c r="R974">
        <v>972</v>
      </c>
      <c r="S974">
        <v>80.484981972232504</v>
      </c>
    </row>
    <row r="975" spans="1:19" x14ac:dyDescent="0.25">
      <c r="A975">
        <v>5243</v>
      </c>
      <c r="B975">
        <v>154.714599913597</v>
      </c>
      <c r="C975">
        <v>0.79721649041067899</v>
      </c>
      <c r="D975">
        <v>74.254795517153198</v>
      </c>
      <c r="E975">
        <v>32.958539251255203</v>
      </c>
      <c r="F975">
        <v>29.840912147636601</v>
      </c>
      <c r="G975">
        <v>0.85374042268920503</v>
      </c>
      <c r="H975">
        <v>0.85125370958707303</v>
      </c>
      <c r="I975">
        <v>2.13051433168271</v>
      </c>
      <c r="J975">
        <v>73.395654693493299</v>
      </c>
      <c r="K975">
        <v>61.052339883648798</v>
      </c>
      <c r="L975" t="s">
        <v>19</v>
      </c>
      <c r="M975" t="s">
        <v>35</v>
      </c>
      <c r="N975">
        <v>21</v>
      </c>
      <c r="O975">
        <v>63.928637906006998</v>
      </c>
      <c r="P975">
        <v>14.245992232325699</v>
      </c>
      <c r="Q975" t="s">
        <v>29</v>
      </c>
      <c r="R975">
        <v>973</v>
      </c>
      <c r="S975">
        <v>79.926099181945304</v>
      </c>
    </row>
    <row r="976" spans="1:19" x14ac:dyDescent="0.25">
      <c r="A976">
        <v>4701</v>
      </c>
      <c r="B976">
        <v>158.74772103129499</v>
      </c>
      <c r="C976">
        <v>1.5078091669747999</v>
      </c>
      <c r="D976">
        <v>85.657474698971399</v>
      </c>
      <c r="E976">
        <v>31.059943950062301</v>
      </c>
      <c r="F976">
        <v>29.238982092289302</v>
      </c>
      <c r="G976">
        <v>0.29408360161087299</v>
      </c>
      <c r="H976">
        <v>0.869671654657999</v>
      </c>
      <c r="I976">
        <v>4.7660211074460497</v>
      </c>
      <c r="J976">
        <v>26.168029625309501</v>
      </c>
      <c r="K976">
        <v>79.564127103258599</v>
      </c>
      <c r="L976" t="s">
        <v>22</v>
      </c>
      <c r="M976" t="s">
        <v>30</v>
      </c>
      <c r="N976">
        <v>28</v>
      </c>
      <c r="O976">
        <v>65.139352200414393</v>
      </c>
      <c r="P976">
        <v>33.7985887430738</v>
      </c>
      <c r="Q976" t="s">
        <v>24</v>
      </c>
      <c r="R976">
        <v>974</v>
      </c>
      <c r="S976">
        <v>90.114796290957599</v>
      </c>
    </row>
    <row r="977" spans="1:19" x14ac:dyDescent="0.25">
      <c r="A977">
        <v>9533</v>
      </c>
      <c r="B977">
        <v>186.79127284037199</v>
      </c>
      <c r="C977">
        <v>1.95113858689332</v>
      </c>
      <c r="D977">
        <v>61.377488608497998</v>
      </c>
      <c r="E977">
        <v>32.724741201773398</v>
      </c>
      <c r="F977">
        <v>26.693200113394699</v>
      </c>
      <c r="G977">
        <v>1.43396951701272</v>
      </c>
      <c r="H977">
        <v>0.49470684708416401</v>
      </c>
      <c r="I977">
        <v>4.1010571718908704</v>
      </c>
      <c r="J977">
        <v>40.874588239862902</v>
      </c>
      <c r="K977">
        <v>71.491007905415699</v>
      </c>
      <c r="L977" t="s">
        <v>22</v>
      </c>
      <c r="M977" t="s">
        <v>30</v>
      </c>
      <c r="N977">
        <v>25</v>
      </c>
      <c r="O977">
        <v>60.9566559041969</v>
      </c>
      <c r="P977">
        <v>15.218431579203401</v>
      </c>
      <c r="Q977" t="s">
        <v>24</v>
      </c>
      <c r="R977">
        <v>975</v>
      </c>
      <c r="S977">
        <v>97.363013471414703</v>
      </c>
    </row>
    <row r="978" spans="1:19" x14ac:dyDescent="0.25">
      <c r="A978">
        <v>6182</v>
      </c>
      <c r="B978">
        <v>146.592663464271</v>
      </c>
      <c r="C978">
        <v>1.04612190992653</v>
      </c>
      <c r="D978">
        <v>78.161056936735093</v>
      </c>
      <c r="E978">
        <v>32.701660975479903</v>
      </c>
      <c r="F978">
        <v>21.119437830200599</v>
      </c>
      <c r="G978">
        <v>0.98518595081608096</v>
      </c>
      <c r="H978">
        <v>0.54902976432916994</v>
      </c>
      <c r="I978">
        <v>5.48335648226033</v>
      </c>
      <c r="J978">
        <v>68.582055886039896</v>
      </c>
      <c r="K978">
        <v>56.505002012506097</v>
      </c>
      <c r="L978" t="s">
        <v>19</v>
      </c>
      <c r="M978" t="s">
        <v>33</v>
      </c>
      <c r="N978">
        <v>23</v>
      </c>
      <c r="O978">
        <v>72.294199887071201</v>
      </c>
      <c r="P978">
        <v>29.888266970662698</v>
      </c>
      <c r="Q978" t="s">
        <v>24</v>
      </c>
      <c r="R978">
        <v>976</v>
      </c>
      <c r="S978">
        <v>86.792227688047404</v>
      </c>
    </row>
    <row r="979" spans="1:19" x14ac:dyDescent="0.25">
      <c r="A979">
        <v>7704</v>
      </c>
      <c r="B979">
        <v>141.51592633164299</v>
      </c>
      <c r="C979">
        <v>2.2596419618208801</v>
      </c>
      <c r="D979">
        <v>81.015951445473206</v>
      </c>
      <c r="E979">
        <v>33.751936364715597</v>
      </c>
      <c r="F979">
        <v>22.414937094062498</v>
      </c>
      <c r="G979">
        <v>0.55062884475906804</v>
      </c>
      <c r="H979">
        <v>0.55709462982596702</v>
      </c>
      <c r="I979">
        <v>5.1186868709065703</v>
      </c>
      <c r="J979">
        <v>28.5973735279211</v>
      </c>
      <c r="K979">
        <v>42.171974873736403</v>
      </c>
      <c r="L979" t="s">
        <v>34</v>
      </c>
      <c r="M979" t="s">
        <v>33</v>
      </c>
      <c r="N979">
        <v>27</v>
      </c>
      <c r="O979">
        <v>77.894388330822395</v>
      </c>
      <c r="P979">
        <v>25.135349863314701</v>
      </c>
      <c r="Q979" t="s">
        <v>29</v>
      </c>
      <c r="R979">
        <v>977</v>
      </c>
      <c r="S979">
        <v>78.0487078115397</v>
      </c>
    </row>
    <row r="980" spans="1:19" x14ac:dyDescent="0.25">
      <c r="A980">
        <v>5422</v>
      </c>
      <c r="B980">
        <v>138.887686031546</v>
      </c>
      <c r="C980">
        <v>1.7553960442637899</v>
      </c>
      <c r="D980">
        <v>78.895476156631901</v>
      </c>
      <c r="E980">
        <v>33.054676657370202</v>
      </c>
      <c r="F980">
        <v>21.345370974369299</v>
      </c>
      <c r="G980">
        <v>1.66886030414372</v>
      </c>
      <c r="H980">
        <v>0.549000072785779</v>
      </c>
      <c r="I980">
        <v>5.6700057848597298</v>
      </c>
      <c r="J980">
        <v>104.333235489193</v>
      </c>
      <c r="K980">
        <v>42.378845815635401</v>
      </c>
      <c r="L980" t="s">
        <v>27</v>
      </c>
      <c r="M980" t="s">
        <v>37</v>
      </c>
      <c r="N980">
        <v>24</v>
      </c>
      <c r="O980">
        <v>61.013779821406096</v>
      </c>
      <c r="P980">
        <v>18.533355668565399</v>
      </c>
      <c r="Q980" t="s">
        <v>21</v>
      </c>
      <c r="R980">
        <v>978</v>
      </c>
      <c r="S980">
        <v>78.108895255052403</v>
      </c>
    </row>
    <row r="981" spans="1:19" x14ac:dyDescent="0.25">
      <c r="A981">
        <v>2759</v>
      </c>
      <c r="B981">
        <v>127.93667414378601</v>
      </c>
      <c r="C981">
        <v>2.0152902928120202</v>
      </c>
      <c r="D981">
        <v>53.486926343957101</v>
      </c>
      <c r="E981">
        <v>33.748088565935902</v>
      </c>
      <c r="F981">
        <v>27.641198916344099</v>
      </c>
      <c r="G981">
        <v>1.6446093466729299</v>
      </c>
      <c r="H981">
        <v>0.87047448915735803</v>
      </c>
      <c r="I981">
        <v>2.2592707950429398</v>
      </c>
      <c r="J981">
        <v>91.800621010764701</v>
      </c>
      <c r="K981">
        <v>80.956298269829702</v>
      </c>
      <c r="L981" t="s">
        <v>34</v>
      </c>
      <c r="M981" t="s">
        <v>33</v>
      </c>
      <c r="N981">
        <v>24</v>
      </c>
      <c r="O981">
        <v>67.065479620382504</v>
      </c>
      <c r="P981">
        <v>29.965369411217701</v>
      </c>
      <c r="Q981" t="s">
        <v>29</v>
      </c>
      <c r="R981">
        <v>979</v>
      </c>
      <c r="S981">
        <v>67.415610114450402</v>
      </c>
    </row>
    <row r="982" spans="1:19" x14ac:dyDescent="0.25">
      <c r="A982">
        <v>3482</v>
      </c>
      <c r="B982">
        <v>141.769676869233</v>
      </c>
      <c r="C982">
        <v>1.17108272307393</v>
      </c>
      <c r="D982">
        <v>72.987269645423694</v>
      </c>
      <c r="E982">
        <v>33.844128159766598</v>
      </c>
      <c r="F982">
        <v>17.6207879675244</v>
      </c>
      <c r="G982">
        <v>1.07550493056</v>
      </c>
      <c r="H982">
        <v>0.41753663736472502</v>
      </c>
      <c r="I982">
        <v>5.6182735136194903</v>
      </c>
      <c r="J982">
        <v>114.363367064849</v>
      </c>
      <c r="K982">
        <v>17.943268203040901</v>
      </c>
      <c r="L982" t="s">
        <v>34</v>
      </c>
      <c r="M982" t="s">
        <v>37</v>
      </c>
      <c r="N982">
        <v>21</v>
      </c>
      <c r="O982">
        <v>59.238448543330797</v>
      </c>
      <c r="P982">
        <v>17.904092857754001</v>
      </c>
      <c r="Q982" t="s">
        <v>29</v>
      </c>
      <c r="R982">
        <v>980</v>
      </c>
      <c r="S982">
        <v>80.426733388633806</v>
      </c>
    </row>
    <row r="983" spans="1:19" x14ac:dyDescent="0.25">
      <c r="A983">
        <v>9058</v>
      </c>
      <c r="B983">
        <v>129.091971797219</v>
      </c>
      <c r="C983">
        <v>1.9272626135333</v>
      </c>
      <c r="D983">
        <v>77.2828059210932</v>
      </c>
      <c r="E983">
        <v>35.585914412859701</v>
      </c>
      <c r="F983">
        <v>17.971001725578901</v>
      </c>
      <c r="G983">
        <v>0.73721119006596902</v>
      </c>
      <c r="H983">
        <v>0.44185499393942501</v>
      </c>
      <c r="I983">
        <v>3.1817693249848902</v>
      </c>
      <c r="J983">
        <v>89.346690596402695</v>
      </c>
      <c r="K983">
        <v>89.0986983315195</v>
      </c>
      <c r="L983" t="s">
        <v>34</v>
      </c>
      <c r="M983" t="s">
        <v>30</v>
      </c>
      <c r="N983">
        <v>20</v>
      </c>
      <c r="O983">
        <v>71.104269506750299</v>
      </c>
      <c r="P983">
        <v>28.947086387322301</v>
      </c>
      <c r="Q983" t="s">
        <v>31</v>
      </c>
      <c r="R983">
        <v>981</v>
      </c>
      <c r="S983">
        <v>63.686208941129699</v>
      </c>
    </row>
    <row r="984" spans="1:19" x14ac:dyDescent="0.25">
      <c r="A984">
        <v>1951</v>
      </c>
      <c r="B984">
        <v>138.369219525392</v>
      </c>
      <c r="C984">
        <v>0.95403304980234305</v>
      </c>
      <c r="D984">
        <v>70.143569338158798</v>
      </c>
      <c r="E984">
        <v>32.621644013656599</v>
      </c>
      <c r="F984">
        <v>27.051372934180002</v>
      </c>
      <c r="G984">
        <v>1.3485669064336101</v>
      </c>
      <c r="H984">
        <v>0.55065317884644704</v>
      </c>
      <c r="I984">
        <v>2.6589821408937202</v>
      </c>
      <c r="J984">
        <v>114.04013722621799</v>
      </c>
      <c r="K984">
        <v>64.828155813867099</v>
      </c>
      <c r="L984" t="s">
        <v>19</v>
      </c>
      <c r="M984" t="s">
        <v>35</v>
      </c>
      <c r="N984">
        <v>24</v>
      </c>
      <c r="O984">
        <v>69.793944296589501</v>
      </c>
      <c r="P984">
        <v>21.024394872998201</v>
      </c>
      <c r="Q984" t="s">
        <v>24</v>
      </c>
      <c r="R984">
        <v>982</v>
      </c>
      <c r="S984">
        <v>70.606637221985594</v>
      </c>
    </row>
    <row r="985" spans="1:19" x14ac:dyDescent="0.25">
      <c r="A985">
        <v>9914</v>
      </c>
      <c r="B985">
        <v>161.35195071215901</v>
      </c>
      <c r="C985">
        <v>1.9451237504182499</v>
      </c>
      <c r="D985">
        <v>28.270446832578301</v>
      </c>
      <c r="E985">
        <v>31.8707727592003</v>
      </c>
      <c r="F985">
        <v>21.7781927224421</v>
      </c>
      <c r="G985">
        <v>0.71867384439932502</v>
      </c>
      <c r="H985">
        <v>0.50993013605719395</v>
      </c>
      <c r="I985">
        <v>1.5835079690757199</v>
      </c>
      <c r="J985">
        <v>75.451255569096503</v>
      </c>
      <c r="K985">
        <v>66.085327430429203</v>
      </c>
      <c r="L985" t="s">
        <v>22</v>
      </c>
      <c r="M985" t="s">
        <v>26</v>
      </c>
      <c r="N985">
        <v>21</v>
      </c>
      <c r="O985">
        <v>63.368299027659702</v>
      </c>
      <c r="P985">
        <v>14.982268295784101</v>
      </c>
      <c r="Q985" t="s">
        <v>21</v>
      </c>
      <c r="R985">
        <v>983</v>
      </c>
      <c r="S985">
        <v>81.048212818521705</v>
      </c>
    </row>
    <row r="986" spans="1:19" x14ac:dyDescent="0.25">
      <c r="A986">
        <v>3079</v>
      </c>
      <c r="B986">
        <v>114.869148694407</v>
      </c>
      <c r="C986">
        <v>1.5859196698967599</v>
      </c>
      <c r="D986">
        <v>73.209792479469598</v>
      </c>
      <c r="E986">
        <v>33.295300338379597</v>
      </c>
      <c r="F986">
        <v>28.892336777269001</v>
      </c>
      <c r="G986">
        <v>0.62481427458268102</v>
      </c>
      <c r="H986">
        <v>0.52752278763556604</v>
      </c>
      <c r="I986">
        <v>7.8638730288052603</v>
      </c>
      <c r="J986">
        <v>80.021861106196894</v>
      </c>
      <c r="K986">
        <v>17.849837797855599</v>
      </c>
      <c r="L986" t="s">
        <v>34</v>
      </c>
      <c r="M986" t="s">
        <v>26</v>
      </c>
      <c r="N986">
        <v>30</v>
      </c>
      <c r="O986">
        <v>67.338008129507699</v>
      </c>
      <c r="P986">
        <v>20.562144039441598</v>
      </c>
      <c r="Q986" t="s">
        <v>31</v>
      </c>
      <c r="R986">
        <v>984</v>
      </c>
      <c r="S986">
        <v>70.819123479087693</v>
      </c>
    </row>
    <row r="987" spans="1:19" x14ac:dyDescent="0.25">
      <c r="A987">
        <v>3717</v>
      </c>
      <c r="B987">
        <v>157.79757122257999</v>
      </c>
      <c r="C987">
        <v>1.7766256099923901</v>
      </c>
      <c r="D987">
        <v>114.250620787944</v>
      </c>
      <c r="E987">
        <v>32.037263967432501</v>
      </c>
      <c r="F987">
        <v>18.642438965097199</v>
      </c>
      <c r="G987">
        <v>1.51492637724738</v>
      </c>
      <c r="H987">
        <v>0.83886875408931405</v>
      </c>
      <c r="I987">
        <v>4.8469772877090396</v>
      </c>
      <c r="J987">
        <v>117.697105462626</v>
      </c>
      <c r="K987">
        <v>60.4146956168454</v>
      </c>
      <c r="L987" t="s">
        <v>19</v>
      </c>
      <c r="M987" t="s">
        <v>28</v>
      </c>
      <c r="N987">
        <v>37</v>
      </c>
      <c r="O987">
        <v>74.922204834887197</v>
      </c>
      <c r="P987">
        <v>18.2728290390979</v>
      </c>
      <c r="Q987" t="s">
        <v>31</v>
      </c>
      <c r="R987">
        <v>985</v>
      </c>
      <c r="S987">
        <v>90.276713728494698</v>
      </c>
    </row>
    <row r="988" spans="1:19" x14ac:dyDescent="0.25">
      <c r="A988">
        <v>5524</v>
      </c>
      <c r="B988">
        <v>161.342301346797</v>
      </c>
      <c r="C988">
        <v>0.91220269718757396</v>
      </c>
      <c r="D988">
        <v>62.799214624860298</v>
      </c>
      <c r="E988">
        <v>34.778352922123801</v>
      </c>
      <c r="F988">
        <v>21.726108198305798</v>
      </c>
      <c r="G988">
        <v>0.27258543149771097</v>
      </c>
      <c r="H988">
        <v>0.70971962664062505</v>
      </c>
      <c r="I988">
        <v>6.6397931498058202</v>
      </c>
      <c r="J988">
        <v>84.212914686426004</v>
      </c>
      <c r="K988">
        <v>51.358354506783499</v>
      </c>
      <c r="L988" t="s">
        <v>27</v>
      </c>
      <c r="M988" t="s">
        <v>23</v>
      </c>
      <c r="N988">
        <v>34</v>
      </c>
      <c r="O988">
        <v>55.141027437334898</v>
      </c>
      <c r="P988">
        <v>14.459867070782</v>
      </c>
      <c r="Q988" t="s">
        <v>25</v>
      </c>
      <c r="R988">
        <v>986</v>
      </c>
      <c r="S988">
        <v>89.604519044115307</v>
      </c>
    </row>
    <row r="989" spans="1:19" x14ac:dyDescent="0.25">
      <c r="A989">
        <v>9477</v>
      </c>
      <c r="B989">
        <v>132.63862946017801</v>
      </c>
      <c r="C989">
        <v>1.0524650788616901</v>
      </c>
      <c r="D989">
        <v>55.438458042893501</v>
      </c>
      <c r="E989">
        <v>32.660138353265701</v>
      </c>
      <c r="F989">
        <v>17.387935075780199</v>
      </c>
      <c r="G989">
        <v>0.37058324786226898</v>
      </c>
      <c r="H989">
        <v>0.40317386371113201</v>
      </c>
      <c r="I989">
        <v>7.5483400897426902</v>
      </c>
      <c r="J989">
        <v>23.078656886074601</v>
      </c>
      <c r="K989">
        <v>22.933418017055001</v>
      </c>
      <c r="L989" t="s">
        <v>22</v>
      </c>
      <c r="M989" t="s">
        <v>26</v>
      </c>
      <c r="N989">
        <v>24</v>
      </c>
      <c r="O989">
        <v>57.6654140381196</v>
      </c>
      <c r="P989">
        <v>19.863886560888201</v>
      </c>
      <c r="Q989" t="s">
        <v>24</v>
      </c>
      <c r="R989">
        <v>987</v>
      </c>
      <c r="S989">
        <v>80.536702488456001</v>
      </c>
    </row>
    <row r="990" spans="1:19" x14ac:dyDescent="0.25">
      <c r="A990">
        <v>8311</v>
      </c>
      <c r="B990">
        <v>92.562902019828101</v>
      </c>
      <c r="C990">
        <v>1.7986141091266901</v>
      </c>
      <c r="D990">
        <v>77.466971194227895</v>
      </c>
      <c r="E990">
        <v>32.3213083585512</v>
      </c>
      <c r="F990">
        <v>22.036813407117801</v>
      </c>
      <c r="G990">
        <v>0.212218713242461</v>
      </c>
      <c r="H990">
        <v>0.63612752113730697</v>
      </c>
      <c r="I990">
        <v>7.1138499878219799</v>
      </c>
      <c r="J990">
        <v>92.380277663052297</v>
      </c>
      <c r="K990">
        <v>35.844150807701901</v>
      </c>
      <c r="L990" t="s">
        <v>27</v>
      </c>
      <c r="M990" t="s">
        <v>23</v>
      </c>
      <c r="N990">
        <v>34</v>
      </c>
      <c r="O990">
        <v>72.654676806211597</v>
      </c>
      <c r="P990">
        <v>21.2294936413942</v>
      </c>
      <c r="Q990" t="s">
        <v>21</v>
      </c>
      <c r="R990">
        <v>988</v>
      </c>
      <c r="S990">
        <v>65.043888418071504</v>
      </c>
    </row>
    <row r="991" spans="1:19" x14ac:dyDescent="0.25">
      <c r="A991">
        <v>8186</v>
      </c>
      <c r="B991">
        <v>122.843560258111</v>
      </c>
      <c r="C991">
        <v>1.0258259978878901</v>
      </c>
      <c r="D991">
        <v>76.247564209331401</v>
      </c>
      <c r="E991">
        <v>32.434421134618603</v>
      </c>
      <c r="F991">
        <v>14.607265315006</v>
      </c>
      <c r="G991">
        <v>0.475297735655767</v>
      </c>
      <c r="H991">
        <v>0.62433670976769695</v>
      </c>
      <c r="I991">
        <v>5.2345064718071397</v>
      </c>
      <c r="J991">
        <v>110.546869213741</v>
      </c>
      <c r="K991">
        <v>81.773584216023806</v>
      </c>
      <c r="L991" t="s">
        <v>34</v>
      </c>
      <c r="M991" t="s">
        <v>36</v>
      </c>
      <c r="N991">
        <v>21</v>
      </c>
      <c r="O991">
        <v>68.435822766191293</v>
      </c>
      <c r="P991">
        <v>-1.63627925455478</v>
      </c>
      <c r="Q991" t="s">
        <v>21</v>
      </c>
      <c r="R991">
        <v>989</v>
      </c>
      <c r="S991">
        <v>67.295209454710204</v>
      </c>
    </row>
    <row r="992" spans="1:19" x14ac:dyDescent="0.25">
      <c r="A992">
        <v>3065</v>
      </c>
      <c r="B992">
        <v>160.93989093122201</v>
      </c>
      <c r="C992">
        <v>1.73160314604956</v>
      </c>
      <c r="D992">
        <v>93.854703308328197</v>
      </c>
      <c r="E992">
        <v>33.8621009081659</v>
      </c>
      <c r="F992">
        <v>19.561832895225098</v>
      </c>
      <c r="G992">
        <v>0.32418201567882698</v>
      </c>
      <c r="H992">
        <v>0.462669898194498</v>
      </c>
      <c r="I992">
        <v>4.49108676056556</v>
      </c>
      <c r="J992">
        <v>99.558024979432602</v>
      </c>
      <c r="K992">
        <v>56.249131189946397</v>
      </c>
      <c r="L992" t="s">
        <v>22</v>
      </c>
      <c r="M992" t="s">
        <v>32</v>
      </c>
      <c r="N992">
        <v>28</v>
      </c>
      <c r="O992">
        <v>67.438666404390304</v>
      </c>
      <c r="P992">
        <v>22.010908683484399</v>
      </c>
      <c r="Q992" t="s">
        <v>21</v>
      </c>
      <c r="R992">
        <v>990</v>
      </c>
      <c r="S992">
        <v>90.068101364182795</v>
      </c>
    </row>
    <row r="993" spans="1:19" x14ac:dyDescent="0.25">
      <c r="A993">
        <v>1768</v>
      </c>
      <c r="B993">
        <v>134.54263875402199</v>
      </c>
      <c r="C993">
        <v>0.81643109676987702</v>
      </c>
      <c r="D993">
        <v>44.842636881822202</v>
      </c>
      <c r="E993">
        <v>32.810703620122197</v>
      </c>
      <c r="F993">
        <v>14.818730675359401</v>
      </c>
      <c r="G993">
        <v>1.9924442620038501</v>
      </c>
      <c r="H993">
        <v>0.77187798373080097</v>
      </c>
      <c r="I993">
        <v>4.3836391867659703</v>
      </c>
      <c r="J993">
        <v>78.383327262542196</v>
      </c>
      <c r="K993">
        <v>46.006243138043097</v>
      </c>
      <c r="L993" t="s">
        <v>34</v>
      </c>
      <c r="M993" t="s">
        <v>30</v>
      </c>
      <c r="N993">
        <v>20</v>
      </c>
      <c r="O993">
        <v>75.543887093011506</v>
      </c>
      <c r="P993">
        <v>23.9288383735339</v>
      </c>
      <c r="Q993" t="s">
        <v>24</v>
      </c>
      <c r="R993">
        <v>991</v>
      </c>
      <c r="S993">
        <v>75.054022095875993</v>
      </c>
    </row>
    <row r="994" spans="1:19" x14ac:dyDescent="0.25">
      <c r="A994">
        <v>6490</v>
      </c>
      <c r="B994">
        <v>115.013955354101</v>
      </c>
      <c r="C994">
        <v>1.92408710633333</v>
      </c>
      <c r="D994">
        <v>84.627605051499799</v>
      </c>
      <c r="E994">
        <v>32.229999815843499</v>
      </c>
      <c r="F994">
        <v>25.4696161659562</v>
      </c>
      <c r="G994">
        <v>0.71985794591736096</v>
      </c>
      <c r="H994">
        <v>0.78615345360872002</v>
      </c>
      <c r="I994">
        <v>6.7604391723705</v>
      </c>
      <c r="J994">
        <v>87.130351309351596</v>
      </c>
      <c r="K994">
        <v>20.4511616880608</v>
      </c>
      <c r="L994" t="s">
        <v>22</v>
      </c>
      <c r="M994" t="s">
        <v>35</v>
      </c>
      <c r="N994">
        <v>28</v>
      </c>
      <c r="O994">
        <v>73.635471789973707</v>
      </c>
      <c r="P994">
        <v>29.613165939175101</v>
      </c>
      <c r="Q994" t="s">
        <v>21</v>
      </c>
      <c r="R994">
        <v>992</v>
      </c>
      <c r="S994">
        <v>72.515294459854303</v>
      </c>
    </row>
    <row r="995" spans="1:19" x14ac:dyDescent="0.25">
      <c r="A995">
        <v>7645</v>
      </c>
      <c r="B995">
        <v>124.90450157543501</v>
      </c>
      <c r="C995">
        <v>0.88373834261574502</v>
      </c>
      <c r="D995">
        <v>81.808441225029199</v>
      </c>
      <c r="E995">
        <v>34.998422301148203</v>
      </c>
      <c r="F995">
        <v>25.582946698798199</v>
      </c>
      <c r="G995">
        <v>0.468682422804645</v>
      </c>
      <c r="H995">
        <v>0.79649127047865298</v>
      </c>
      <c r="I995">
        <v>5.4531491944768602</v>
      </c>
      <c r="J995">
        <v>119.019178925167</v>
      </c>
      <c r="K995">
        <v>68.559114555172897</v>
      </c>
      <c r="L995" t="s">
        <v>34</v>
      </c>
      <c r="M995" t="s">
        <v>37</v>
      </c>
      <c r="N995">
        <v>20</v>
      </c>
      <c r="O995">
        <v>81.720832434750605</v>
      </c>
      <c r="P995">
        <v>8.1119950190328698</v>
      </c>
      <c r="Q995" t="s">
        <v>29</v>
      </c>
      <c r="R995">
        <v>993</v>
      </c>
      <c r="S995">
        <v>66.775031352380495</v>
      </c>
    </row>
    <row r="996" spans="1:19" x14ac:dyDescent="0.25">
      <c r="A996">
        <v>6083</v>
      </c>
      <c r="B996">
        <v>151.812400530091</v>
      </c>
      <c r="C996">
        <v>1.77614996883976</v>
      </c>
      <c r="D996">
        <v>67.157069261188994</v>
      </c>
      <c r="E996">
        <v>31.972596191205898</v>
      </c>
      <c r="F996">
        <v>13.3486863475782</v>
      </c>
      <c r="G996">
        <v>0.63379326439265204</v>
      </c>
      <c r="H996">
        <v>0.800659020057225</v>
      </c>
      <c r="I996">
        <v>8.6421902318965902</v>
      </c>
      <c r="J996">
        <v>29.066208850933801</v>
      </c>
      <c r="K996">
        <v>67.713811754702405</v>
      </c>
      <c r="L996" t="s">
        <v>27</v>
      </c>
      <c r="M996" t="s">
        <v>23</v>
      </c>
      <c r="N996">
        <v>29</v>
      </c>
      <c r="O996">
        <v>75.1594928028384</v>
      </c>
      <c r="P996">
        <v>9.8599682729036093</v>
      </c>
      <c r="Q996" t="s">
        <v>29</v>
      </c>
      <c r="R996">
        <v>994</v>
      </c>
      <c r="S996">
        <v>92.363820540557299</v>
      </c>
    </row>
    <row r="997" spans="1:19" x14ac:dyDescent="0.25">
      <c r="A997">
        <v>6232</v>
      </c>
      <c r="B997">
        <v>145.934671364027</v>
      </c>
      <c r="C997">
        <v>1.8128154668230001</v>
      </c>
      <c r="D997">
        <v>76.773746358433797</v>
      </c>
      <c r="E997">
        <v>33.042679288839501</v>
      </c>
      <c r="F997">
        <v>28.669428727502801</v>
      </c>
      <c r="G997">
        <v>1.88502602877224</v>
      </c>
      <c r="H997">
        <v>0.40002905481276302</v>
      </c>
      <c r="I997">
        <v>8.8723178589404093</v>
      </c>
      <c r="J997">
        <v>86.7244828633239</v>
      </c>
      <c r="K997">
        <v>61.053270522942199</v>
      </c>
      <c r="L997" t="s">
        <v>27</v>
      </c>
      <c r="M997" t="s">
        <v>28</v>
      </c>
      <c r="N997">
        <v>18</v>
      </c>
      <c r="O997">
        <v>72.205804103512406</v>
      </c>
      <c r="P997">
        <v>19.674185314406699</v>
      </c>
      <c r="Q997" t="s">
        <v>24</v>
      </c>
      <c r="R997">
        <v>995</v>
      </c>
      <c r="S997">
        <v>86.275276212838705</v>
      </c>
    </row>
    <row r="998" spans="1:19" x14ac:dyDescent="0.25">
      <c r="A998">
        <v>6797</v>
      </c>
      <c r="B998">
        <v>130.22135801660599</v>
      </c>
      <c r="C998">
        <v>1.1516140907852099</v>
      </c>
      <c r="D998">
        <v>90.589149631967103</v>
      </c>
      <c r="E998">
        <v>33.782767381932203</v>
      </c>
      <c r="F998">
        <v>34.487075632099199</v>
      </c>
      <c r="G998">
        <v>1.1362884014439101</v>
      </c>
      <c r="H998">
        <v>0.92465644211569697</v>
      </c>
      <c r="I998">
        <v>2.5350434020586601</v>
      </c>
      <c r="J998">
        <v>48.339769457059298</v>
      </c>
      <c r="K998">
        <v>53.269698466548597</v>
      </c>
      <c r="L998" t="s">
        <v>34</v>
      </c>
      <c r="M998" t="s">
        <v>26</v>
      </c>
      <c r="N998">
        <v>21</v>
      </c>
      <c r="O998">
        <v>67.568314436252905</v>
      </c>
      <c r="P998">
        <v>12.296592411339301</v>
      </c>
      <c r="Q998" t="s">
        <v>21</v>
      </c>
      <c r="R998">
        <v>996</v>
      </c>
      <c r="S998">
        <v>65.438629114571</v>
      </c>
    </row>
    <row r="999" spans="1:19" x14ac:dyDescent="0.25">
      <c r="A999">
        <v>5926</v>
      </c>
      <c r="B999">
        <v>127.663511763706</v>
      </c>
      <c r="C999">
        <v>1.79101328354236</v>
      </c>
      <c r="D999">
        <v>87.446307600569</v>
      </c>
      <c r="E999">
        <v>31.042397867499499</v>
      </c>
      <c r="F999">
        <v>22.230031933681701</v>
      </c>
      <c r="G999">
        <v>0.85667257335414204</v>
      </c>
      <c r="H999">
        <v>0.84781482188006396</v>
      </c>
      <c r="I999">
        <v>2.2261028639115299</v>
      </c>
      <c r="J999">
        <v>84.009039658616999</v>
      </c>
      <c r="K999">
        <v>47.533830165552899</v>
      </c>
      <c r="L999" t="s">
        <v>22</v>
      </c>
      <c r="M999" t="s">
        <v>20</v>
      </c>
      <c r="N999">
        <v>31</v>
      </c>
      <c r="O999">
        <v>66.846693494911094</v>
      </c>
      <c r="P999">
        <v>8.48193004156707</v>
      </c>
      <c r="Q999" t="s">
        <v>25</v>
      </c>
      <c r="R999">
        <v>997</v>
      </c>
      <c r="S999">
        <v>67.678737526331901</v>
      </c>
    </row>
    <row r="1000" spans="1:19" x14ac:dyDescent="0.25">
      <c r="A1000">
        <v>7016</v>
      </c>
      <c r="B1000">
        <v>127.164837019123</v>
      </c>
      <c r="C1000">
        <v>1.6302211316667701</v>
      </c>
      <c r="D1000">
        <v>47.1396137585254</v>
      </c>
      <c r="E1000">
        <v>33.5763126016871</v>
      </c>
      <c r="F1000">
        <v>18.7944286988767</v>
      </c>
      <c r="G1000">
        <v>1.7721046242365901</v>
      </c>
      <c r="H1000">
        <v>0.897189933124106</v>
      </c>
      <c r="I1000">
        <v>6.6736083343239896</v>
      </c>
      <c r="J1000">
        <v>80.762357588393797</v>
      </c>
      <c r="K1000">
        <v>59.4953319740994</v>
      </c>
      <c r="L1000" t="s">
        <v>27</v>
      </c>
      <c r="M1000" t="s">
        <v>26</v>
      </c>
      <c r="N1000">
        <v>18</v>
      </c>
      <c r="O1000">
        <v>67.974079212578701</v>
      </c>
      <c r="P1000">
        <v>14.6927549169726</v>
      </c>
      <c r="Q1000" t="s">
        <v>25</v>
      </c>
      <c r="R1000">
        <v>998</v>
      </c>
      <c r="S1000">
        <v>73.058088104416996</v>
      </c>
    </row>
    <row r="1001" spans="1:19" x14ac:dyDescent="0.25">
      <c r="A1001">
        <v>4335</v>
      </c>
      <c r="B1001">
        <v>116.551796310029</v>
      </c>
      <c r="C1001">
        <v>1.23057907190363</v>
      </c>
      <c r="D1001">
        <v>86.403163735109601</v>
      </c>
      <c r="E1001">
        <v>31.733870789423399</v>
      </c>
      <c r="F1001">
        <v>36.1216529550152</v>
      </c>
      <c r="G1001">
        <v>0.91098248698825801</v>
      </c>
      <c r="H1001">
        <v>0.408603812419088</v>
      </c>
      <c r="I1001">
        <v>3.7110317325605102</v>
      </c>
      <c r="J1001">
        <v>35.345683210816198</v>
      </c>
      <c r="K1001">
        <v>32.504658879630497</v>
      </c>
      <c r="L1001" t="s">
        <v>22</v>
      </c>
      <c r="M1001" t="s">
        <v>33</v>
      </c>
      <c r="N1001">
        <v>31</v>
      </c>
      <c r="O1001">
        <v>69.783838842514299</v>
      </c>
      <c r="P1001">
        <v>15.121439170376901</v>
      </c>
      <c r="Q1001" t="s">
        <v>25</v>
      </c>
      <c r="R1001">
        <v>999</v>
      </c>
      <c r="S1001">
        <v>63.839693011987499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830A7-1AA9-4F1F-8C27-78D985BA9039}">
  <dimension ref="A1:K1001"/>
  <sheetViews>
    <sheetView workbookViewId="0">
      <selection activeCell="F5" sqref="F5"/>
    </sheetView>
  </sheetViews>
  <sheetFormatPr defaultRowHeight="13.8" x14ac:dyDescent="0.25"/>
  <sheetData>
    <row r="1" spans="1:11" x14ac:dyDescent="0.25">
      <c r="A1" t="s">
        <v>38</v>
      </c>
      <c r="B1" t="s">
        <v>39</v>
      </c>
      <c r="C1" t="s">
        <v>40</v>
      </c>
      <c r="D1" t="s">
        <v>41</v>
      </c>
      <c r="E1" t="s">
        <v>43</v>
      </c>
      <c r="F1" t="s">
        <v>45</v>
      </c>
      <c r="G1" t="s">
        <v>46</v>
      </c>
      <c r="H1" t="s">
        <v>47</v>
      </c>
      <c r="I1" t="s">
        <v>48</v>
      </c>
      <c r="J1" t="s">
        <v>49</v>
      </c>
      <c r="K1" t="s">
        <v>50</v>
      </c>
    </row>
    <row r="2" spans="1:11" x14ac:dyDescent="0.25">
      <c r="A2">
        <v>1004</v>
      </c>
      <c r="B2">
        <v>128.593053836113</v>
      </c>
      <c r="C2">
        <v>32.3787689125569</v>
      </c>
      <c r="D2">
        <v>0</v>
      </c>
      <c r="E2">
        <f>VLOOKUP(A2, Athletes_Map!A:B, 2, FALSE)</f>
        <v>1</v>
      </c>
      <c r="F2" t="str">
        <f>VLOOKUP(A2, Athletes_Map!A:C, 3, FALSE)</f>
        <v>Player 001</v>
      </c>
      <c r="G2">
        <v>93</v>
      </c>
      <c r="H2">
        <f>IF(OR(B2&gt;150, C2&gt;37.5, G2&lt;92), 3,
IF(OR(B2&gt;120, C2&gt;37, G2&lt;94), 2,
1))</f>
        <v>2</v>
      </c>
      <c r="I2" t="str">
        <f t="shared" ref="I2:I65" si="0">IF(H2=3, "Alert", "Normal")</f>
        <v>Normal</v>
      </c>
      <c r="J2" t="str">
        <f t="shared" ref="J2:J65" si="1">IF(B2&gt;150,"Heart Rate",
IF(C2&gt;37.5,"Temperature",
IF(G2&lt;92,"Oxygen","Normal")))</f>
        <v>Normal</v>
      </c>
      <c r="K2" t="str">
        <f t="shared" ref="K2:K65" si="2">IF(J2="Heart Rate",B2,IF(J2="Temperature",C2,IF(J2="Oxygen",G2,"")))</f>
        <v/>
      </c>
    </row>
    <row r="3" spans="1:11" x14ac:dyDescent="0.25">
      <c r="A3">
        <v>1005</v>
      </c>
      <c r="B3">
        <v>132.23088032032399</v>
      </c>
      <c r="C3">
        <v>34.426316187704401</v>
      </c>
      <c r="D3">
        <v>1</v>
      </c>
      <c r="E3">
        <f>VLOOKUP(A3, Athletes_Map!A:B, 2, FALSE)</f>
        <v>2</v>
      </c>
      <c r="F3" t="str">
        <f>VLOOKUP(A3, Athletes_Map!A:C, 3, FALSE)</f>
        <v>Player 002</v>
      </c>
      <c r="G3">
        <v>94</v>
      </c>
      <c r="H3">
        <f t="shared" ref="H3:H66" si="3">IF(OR(B3&gt;150, C3&gt;37.5, G3&lt;92), 3,
IF(OR(B3&gt;120, C3&gt;37, G3&lt;94), 2,
1))</f>
        <v>2</v>
      </c>
      <c r="I3" t="str">
        <f t="shared" si="0"/>
        <v>Normal</v>
      </c>
      <c r="J3" t="str">
        <f t="shared" si="1"/>
        <v>Normal</v>
      </c>
      <c r="K3" t="str">
        <f t="shared" si="2"/>
        <v/>
      </c>
    </row>
    <row r="4" spans="1:11" x14ac:dyDescent="0.25">
      <c r="A4">
        <v>1009</v>
      </c>
      <c r="B4">
        <v>120.28940114820401</v>
      </c>
      <c r="C4">
        <v>31.654507511886699</v>
      </c>
      <c r="D4">
        <v>2</v>
      </c>
      <c r="E4">
        <f>VLOOKUP(A4, Athletes_Map!A:B, 2, FALSE)</f>
        <v>3</v>
      </c>
      <c r="F4" t="str">
        <f>VLOOKUP(A4, Athletes_Map!A:C, 3, FALSE)</f>
        <v>Player 003</v>
      </c>
      <c r="G4">
        <v>96</v>
      </c>
      <c r="H4">
        <f t="shared" si="3"/>
        <v>2</v>
      </c>
      <c r="I4" t="str">
        <f t="shared" si="0"/>
        <v>Normal</v>
      </c>
      <c r="J4" t="str">
        <f t="shared" si="1"/>
        <v>Normal</v>
      </c>
      <c r="K4" t="str">
        <f t="shared" si="2"/>
        <v/>
      </c>
    </row>
    <row r="5" spans="1:11" x14ac:dyDescent="0.25">
      <c r="A5">
        <v>1009</v>
      </c>
      <c r="B5">
        <v>153.651816637461</v>
      </c>
      <c r="C5">
        <v>31.086292850204</v>
      </c>
      <c r="D5">
        <v>3</v>
      </c>
      <c r="E5">
        <f>VLOOKUP(A5, Athletes_Map!A:B, 2, FALSE)</f>
        <v>3</v>
      </c>
      <c r="F5" t="str">
        <f>VLOOKUP(A5, Athletes_Map!A:C, 3, FALSE)</f>
        <v>Player 003</v>
      </c>
      <c r="G5">
        <v>93</v>
      </c>
      <c r="H5">
        <f t="shared" si="3"/>
        <v>3</v>
      </c>
      <c r="I5" t="str">
        <f t="shared" si="0"/>
        <v>Alert</v>
      </c>
      <c r="J5" t="str">
        <f t="shared" si="1"/>
        <v>Heart Rate</v>
      </c>
      <c r="K5">
        <f t="shared" si="2"/>
        <v>153.651816637461</v>
      </c>
    </row>
    <row r="6" spans="1:11" x14ac:dyDescent="0.25">
      <c r="A6">
        <v>1055</v>
      </c>
      <c r="B6">
        <v>159.008278158888</v>
      </c>
      <c r="C6">
        <v>34.2960672709671</v>
      </c>
      <c r="D6">
        <v>4</v>
      </c>
      <c r="E6">
        <f>VLOOKUP(A6, Athletes_Map!A:B, 2, FALSE)</f>
        <v>4</v>
      </c>
      <c r="F6" t="str">
        <f>VLOOKUP(A6, Athletes_Map!A:C, 3, FALSE)</f>
        <v>Player 004</v>
      </c>
      <c r="G6">
        <v>90</v>
      </c>
      <c r="H6">
        <f t="shared" si="3"/>
        <v>3</v>
      </c>
      <c r="I6" t="str">
        <f t="shared" si="0"/>
        <v>Alert</v>
      </c>
      <c r="J6" t="str">
        <f t="shared" si="1"/>
        <v>Heart Rate</v>
      </c>
      <c r="K6">
        <f t="shared" si="2"/>
        <v>159.008278158888</v>
      </c>
    </row>
    <row r="7" spans="1:11" x14ac:dyDescent="0.25">
      <c r="A7">
        <v>1064</v>
      </c>
      <c r="B7">
        <v>115.48253494045299</v>
      </c>
      <c r="C7">
        <v>34.503411161312897</v>
      </c>
      <c r="D7">
        <v>5</v>
      </c>
      <c r="E7">
        <f>VLOOKUP(A7, Athletes_Map!A:B, 2, FALSE)</f>
        <v>5</v>
      </c>
      <c r="F7" t="str">
        <f>VLOOKUP(A7, Athletes_Map!A:C, 3, FALSE)</f>
        <v>Player 005</v>
      </c>
      <c r="G7">
        <v>96</v>
      </c>
      <c r="H7">
        <f t="shared" si="3"/>
        <v>1</v>
      </c>
      <c r="I7" t="str">
        <f t="shared" si="0"/>
        <v>Normal</v>
      </c>
      <c r="J7" t="str">
        <f t="shared" si="1"/>
        <v>Normal</v>
      </c>
      <c r="K7" t="str">
        <f t="shared" si="2"/>
        <v/>
      </c>
    </row>
    <row r="8" spans="1:11" x14ac:dyDescent="0.25">
      <c r="A8">
        <v>1077</v>
      </c>
      <c r="B8">
        <v>172.08185132668299</v>
      </c>
      <c r="C8">
        <v>31.922603920289198</v>
      </c>
      <c r="D8">
        <v>6</v>
      </c>
      <c r="E8">
        <f>VLOOKUP(A8, Athletes_Map!A:B, 2, FALSE)</f>
        <v>6</v>
      </c>
      <c r="F8" t="str">
        <f>VLOOKUP(A8, Athletes_Map!A:C, 3, FALSE)</f>
        <v>Player 006</v>
      </c>
      <c r="G8">
        <v>90</v>
      </c>
      <c r="H8">
        <f t="shared" si="3"/>
        <v>3</v>
      </c>
      <c r="I8" t="str">
        <f t="shared" si="0"/>
        <v>Alert</v>
      </c>
      <c r="J8" t="str">
        <f t="shared" si="1"/>
        <v>Heart Rate</v>
      </c>
      <c r="K8">
        <f t="shared" si="2"/>
        <v>172.08185132668299</v>
      </c>
    </row>
    <row r="9" spans="1:11" x14ac:dyDescent="0.25">
      <c r="A9">
        <v>1094</v>
      </c>
      <c r="B9">
        <v>140.871158643332</v>
      </c>
      <c r="C9">
        <v>33.9707031232712</v>
      </c>
      <c r="D9">
        <v>7</v>
      </c>
      <c r="E9">
        <f>VLOOKUP(A9, Athletes_Map!A:B, 2, FALSE)</f>
        <v>7</v>
      </c>
      <c r="F9" t="str">
        <f>VLOOKUP(A9, Athletes_Map!A:C, 3, FALSE)</f>
        <v>Player 007</v>
      </c>
      <c r="G9">
        <v>93</v>
      </c>
      <c r="H9">
        <f t="shared" si="3"/>
        <v>2</v>
      </c>
      <c r="I9" t="str">
        <f t="shared" si="0"/>
        <v>Normal</v>
      </c>
      <c r="J9" t="str">
        <f t="shared" si="1"/>
        <v>Normal</v>
      </c>
      <c r="K9" t="str">
        <f t="shared" si="2"/>
        <v/>
      </c>
    </row>
    <row r="10" spans="1:11" x14ac:dyDescent="0.25">
      <c r="A10">
        <v>1098</v>
      </c>
      <c r="B10">
        <v>178.26509446610899</v>
      </c>
      <c r="C10">
        <v>32.115875836862799</v>
      </c>
      <c r="D10">
        <v>8</v>
      </c>
      <c r="E10">
        <f>VLOOKUP(A10, Athletes_Map!A:B, 2, FALSE)</f>
        <v>8</v>
      </c>
      <c r="F10" t="str">
        <f>VLOOKUP(A10, Athletes_Map!A:C, 3, FALSE)</f>
        <v>Player 008</v>
      </c>
      <c r="G10">
        <v>93</v>
      </c>
      <c r="H10">
        <f t="shared" si="3"/>
        <v>3</v>
      </c>
      <c r="I10" t="str">
        <f t="shared" si="0"/>
        <v>Alert</v>
      </c>
      <c r="J10" t="str">
        <f t="shared" si="1"/>
        <v>Heart Rate</v>
      </c>
      <c r="K10">
        <f t="shared" si="2"/>
        <v>178.26509446610899</v>
      </c>
    </row>
    <row r="11" spans="1:11" x14ac:dyDescent="0.25">
      <c r="A11">
        <v>1117</v>
      </c>
      <c r="B11">
        <v>168.39809008702801</v>
      </c>
      <c r="C11">
        <v>34.020095198900997</v>
      </c>
      <c r="D11">
        <v>9</v>
      </c>
      <c r="E11">
        <f>VLOOKUP(A11, Athletes_Map!A:B, 2, FALSE)</f>
        <v>9</v>
      </c>
      <c r="F11" t="str">
        <f>VLOOKUP(A11, Athletes_Map!A:C, 3, FALSE)</f>
        <v>Player 009</v>
      </c>
      <c r="G11">
        <v>91</v>
      </c>
      <c r="H11">
        <f t="shared" si="3"/>
        <v>3</v>
      </c>
      <c r="I11" t="str">
        <f t="shared" si="0"/>
        <v>Alert</v>
      </c>
      <c r="J11" t="str">
        <f t="shared" si="1"/>
        <v>Heart Rate</v>
      </c>
      <c r="K11">
        <f t="shared" si="2"/>
        <v>168.39809008702801</v>
      </c>
    </row>
    <row r="12" spans="1:11" x14ac:dyDescent="0.25">
      <c r="A12">
        <v>1125</v>
      </c>
      <c r="B12">
        <v>130.57492752828401</v>
      </c>
      <c r="C12">
        <v>33.122981570589801</v>
      </c>
      <c r="D12">
        <v>10</v>
      </c>
      <c r="E12">
        <f>VLOOKUP(A12, Athletes_Map!A:B, 2, FALSE)</f>
        <v>10</v>
      </c>
      <c r="F12" t="str">
        <f>VLOOKUP(A12, Athletes_Map!A:C, 3, FALSE)</f>
        <v>Player 010</v>
      </c>
      <c r="G12">
        <v>94</v>
      </c>
      <c r="H12">
        <f t="shared" si="3"/>
        <v>2</v>
      </c>
      <c r="I12" t="str">
        <f t="shared" si="0"/>
        <v>Normal</v>
      </c>
      <c r="J12" t="str">
        <f t="shared" si="1"/>
        <v>Normal</v>
      </c>
      <c r="K12" t="str">
        <f t="shared" si="2"/>
        <v/>
      </c>
    </row>
    <row r="13" spans="1:11" x14ac:dyDescent="0.25">
      <c r="A13">
        <v>1126</v>
      </c>
      <c r="B13">
        <v>143.73119608315301</v>
      </c>
      <c r="C13">
        <v>33.654944056238797</v>
      </c>
      <c r="D13">
        <v>11</v>
      </c>
      <c r="E13">
        <f>VLOOKUP(A13, Athletes_Map!A:B, 2, FALSE)</f>
        <v>11</v>
      </c>
      <c r="F13" t="str">
        <f>VLOOKUP(A13, Athletes_Map!A:C, 3, FALSE)</f>
        <v>Player 011</v>
      </c>
      <c r="G13">
        <v>90</v>
      </c>
      <c r="H13">
        <f t="shared" si="3"/>
        <v>3</v>
      </c>
      <c r="I13" t="str">
        <f t="shared" si="0"/>
        <v>Alert</v>
      </c>
      <c r="J13" t="str">
        <f t="shared" si="1"/>
        <v>Oxygen</v>
      </c>
      <c r="K13">
        <f t="shared" si="2"/>
        <v>90</v>
      </c>
    </row>
    <row r="14" spans="1:11" x14ac:dyDescent="0.25">
      <c r="A14">
        <v>1133</v>
      </c>
      <c r="B14">
        <v>118.29305893480399</v>
      </c>
      <c r="C14">
        <v>33.389350325222999</v>
      </c>
      <c r="D14">
        <v>12</v>
      </c>
      <c r="E14">
        <f>VLOOKUP(A14, Athletes_Map!A:B, 2, FALSE)</f>
        <v>12</v>
      </c>
      <c r="F14" t="str">
        <f>VLOOKUP(A14, Athletes_Map!A:C, 3, FALSE)</f>
        <v>Player 012</v>
      </c>
      <c r="G14">
        <v>94</v>
      </c>
      <c r="H14">
        <f t="shared" si="3"/>
        <v>1</v>
      </c>
      <c r="I14" t="str">
        <f t="shared" si="0"/>
        <v>Normal</v>
      </c>
      <c r="J14" t="str">
        <f t="shared" si="1"/>
        <v>Normal</v>
      </c>
      <c r="K14" t="str">
        <f t="shared" si="2"/>
        <v/>
      </c>
    </row>
    <row r="15" spans="1:11" x14ac:dyDescent="0.25">
      <c r="A15">
        <v>1137</v>
      </c>
      <c r="B15">
        <v>153.99108270882601</v>
      </c>
      <c r="C15">
        <v>32.215321934009303</v>
      </c>
      <c r="D15">
        <v>13</v>
      </c>
      <c r="E15">
        <f>VLOOKUP(A15, Athletes_Map!A:B, 2, FALSE)</f>
        <v>13</v>
      </c>
      <c r="F15" t="str">
        <f>VLOOKUP(A15, Athletes_Map!A:C, 3, FALSE)</f>
        <v>Player 013</v>
      </c>
      <c r="G15">
        <v>92</v>
      </c>
      <c r="H15">
        <f t="shared" si="3"/>
        <v>3</v>
      </c>
      <c r="I15" t="str">
        <f t="shared" si="0"/>
        <v>Alert</v>
      </c>
      <c r="J15" t="str">
        <f t="shared" si="1"/>
        <v>Heart Rate</v>
      </c>
      <c r="K15">
        <f t="shared" si="2"/>
        <v>153.99108270882601</v>
      </c>
    </row>
    <row r="16" spans="1:11" x14ac:dyDescent="0.25">
      <c r="A16">
        <v>1154</v>
      </c>
      <c r="B16">
        <v>103.321943530285</v>
      </c>
      <c r="C16">
        <v>33.681723846154298</v>
      </c>
      <c r="D16">
        <v>14</v>
      </c>
      <c r="E16">
        <f>VLOOKUP(A16, Athletes_Map!A:B, 2, FALSE)</f>
        <v>14</v>
      </c>
      <c r="F16" t="str">
        <f>VLOOKUP(A16, Athletes_Map!A:C, 3, FALSE)</f>
        <v>Player 014</v>
      </c>
      <c r="G16">
        <v>100</v>
      </c>
      <c r="H16">
        <f t="shared" si="3"/>
        <v>1</v>
      </c>
      <c r="I16" t="str">
        <f t="shared" si="0"/>
        <v>Normal</v>
      </c>
      <c r="J16" t="str">
        <f t="shared" si="1"/>
        <v>Normal</v>
      </c>
      <c r="K16" t="str">
        <f t="shared" si="2"/>
        <v/>
      </c>
    </row>
    <row r="17" spans="1:11" x14ac:dyDescent="0.25">
      <c r="A17">
        <v>1161</v>
      </c>
      <c r="B17">
        <v>143.165055114289</v>
      </c>
      <c r="C17">
        <v>30.5778145627336</v>
      </c>
      <c r="D17">
        <v>15</v>
      </c>
      <c r="E17">
        <f>VLOOKUP(A17, Athletes_Map!A:B, 2, FALSE)</f>
        <v>15</v>
      </c>
      <c r="F17" t="str">
        <f>VLOOKUP(A17, Athletes_Map!A:C, 3, FALSE)</f>
        <v>Player 015</v>
      </c>
      <c r="G17">
        <v>94</v>
      </c>
      <c r="H17">
        <f t="shared" si="3"/>
        <v>2</v>
      </c>
      <c r="I17" t="str">
        <f t="shared" si="0"/>
        <v>Normal</v>
      </c>
      <c r="J17" t="str">
        <f t="shared" si="1"/>
        <v>Normal</v>
      </c>
      <c r="K17" t="str">
        <f t="shared" si="2"/>
        <v/>
      </c>
    </row>
    <row r="18" spans="1:11" x14ac:dyDescent="0.25">
      <c r="A18">
        <v>1189</v>
      </c>
      <c r="B18">
        <v>124.545539589619</v>
      </c>
      <c r="C18">
        <v>34.278206358857197</v>
      </c>
      <c r="D18">
        <v>16</v>
      </c>
      <c r="E18">
        <f>VLOOKUP(A18, Athletes_Map!A:B, 2, FALSE)</f>
        <v>16</v>
      </c>
      <c r="F18" t="str">
        <f>VLOOKUP(A18, Athletes_Map!A:C, 3, FALSE)</f>
        <v>Player 016</v>
      </c>
      <c r="G18">
        <v>93</v>
      </c>
      <c r="H18">
        <f t="shared" si="3"/>
        <v>2</v>
      </c>
      <c r="I18" t="str">
        <f t="shared" si="0"/>
        <v>Normal</v>
      </c>
      <c r="J18" t="str">
        <f t="shared" si="1"/>
        <v>Normal</v>
      </c>
      <c r="K18" t="str">
        <f t="shared" si="2"/>
        <v/>
      </c>
    </row>
    <row r="19" spans="1:11" x14ac:dyDescent="0.25">
      <c r="A19">
        <v>1190</v>
      </c>
      <c r="B19">
        <v>144.13506438307499</v>
      </c>
      <c r="C19">
        <v>32.712597693573898</v>
      </c>
      <c r="D19">
        <v>17</v>
      </c>
      <c r="E19">
        <f>VLOOKUP(A19, Athletes_Map!A:B, 2, FALSE)</f>
        <v>17</v>
      </c>
      <c r="F19" t="str">
        <f>VLOOKUP(A19, Athletes_Map!A:C, 3, FALSE)</f>
        <v>Player 017</v>
      </c>
      <c r="G19">
        <v>92</v>
      </c>
      <c r="H19">
        <f t="shared" si="3"/>
        <v>2</v>
      </c>
      <c r="I19" t="str">
        <f t="shared" si="0"/>
        <v>Normal</v>
      </c>
      <c r="J19" t="str">
        <f t="shared" si="1"/>
        <v>Normal</v>
      </c>
      <c r="K19" t="str">
        <f t="shared" si="2"/>
        <v/>
      </c>
    </row>
    <row r="20" spans="1:11" x14ac:dyDescent="0.25">
      <c r="A20">
        <v>1197</v>
      </c>
      <c r="B20">
        <v>147.65863635510999</v>
      </c>
      <c r="C20">
        <v>32.765531578587499</v>
      </c>
      <c r="D20">
        <v>18</v>
      </c>
      <c r="E20">
        <f>VLOOKUP(A20, Athletes_Map!A:B, 2, FALSE)</f>
        <v>18</v>
      </c>
      <c r="F20" t="str">
        <f>VLOOKUP(A20, Athletes_Map!A:C, 3, FALSE)</f>
        <v>Player 018</v>
      </c>
      <c r="G20">
        <v>91</v>
      </c>
      <c r="H20">
        <f t="shared" si="3"/>
        <v>3</v>
      </c>
      <c r="I20" t="str">
        <f t="shared" si="0"/>
        <v>Alert</v>
      </c>
      <c r="J20" t="str">
        <f t="shared" si="1"/>
        <v>Oxygen</v>
      </c>
      <c r="K20">
        <f t="shared" si="2"/>
        <v>91</v>
      </c>
    </row>
    <row r="21" spans="1:11" x14ac:dyDescent="0.25">
      <c r="A21">
        <v>1202</v>
      </c>
      <c r="B21">
        <v>123.890457616794</v>
      </c>
      <c r="C21">
        <v>33.592385817171703</v>
      </c>
      <c r="D21">
        <v>19</v>
      </c>
      <c r="E21">
        <f>VLOOKUP(A21, Athletes_Map!A:B, 2, FALSE)</f>
        <v>19</v>
      </c>
      <c r="F21" t="str">
        <f>VLOOKUP(A21, Athletes_Map!A:C, 3, FALSE)</f>
        <v>Player 019</v>
      </c>
      <c r="G21">
        <v>96</v>
      </c>
      <c r="H21">
        <f t="shared" si="3"/>
        <v>2</v>
      </c>
      <c r="I21" t="str">
        <f t="shared" si="0"/>
        <v>Normal</v>
      </c>
      <c r="J21" t="str">
        <f t="shared" si="1"/>
        <v>Normal</v>
      </c>
      <c r="K21" t="str">
        <f t="shared" si="2"/>
        <v/>
      </c>
    </row>
    <row r="22" spans="1:11" x14ac:dyDescent="0.25">
      <c r="A22">
        <v>1206</v>
      </c>
      <c r="B22">
        <v>147.21171490567599</v>
      </c>
      <c r="C22">
        <v>31.593319495875999</v>
      </c>
      <c r="D22">
        <v>20</v>
      </c>
      <c r="E22">
        <f>VLOOKUP(A22, Athletes_Map!A:B, 2, FALSE)</f>
        <v>20</v>
      </c>
      <c r="F22" t="str">
        <f>VLOOKUP(A22, Athletes_Map!A:C, 3, FALSE)</f>
        <v>Player 020</v>
      </c>
      <c r="G22">
        <v>93</v>
      </c>
      <c r="H22">
        <f t="shared" si="3"/>
        <v>2</v>
      </c>
      <c r="I22" t="str">
        <f t="shared" si="0"/>
        <v>Normal</v>
      </c>
      <c r="J22" t="str">
        <f t="shared" si="1"/>
        <v>Normal</v>
      </c>
      <c r="K22" t="str">
        <f t="shared" si="2"/>
        <v/>
      </c>
    </row>
    <row r="23" spans="1:11" x14ac:dyDescent="0.25">
      <c r="A23">
        <v>1224</v>
      </c>
      <c r="B23">
        <v>119.30203373835499</v>
      </c>
      <c r="C23">
        <v>34.014963447075502</v>
      </c>
      <c r="D23">
        <v>21</v>
      </c>
      <c r="E23">
        <f>VLOOKUP(A23, Athletes_Map!A:B, 2, FALSE)</f>
        <v>21</v>
      </c>
      <c r="F23" t="str">
        <f>VLOOKUP(A23, Athletes_Map!A:C, 3, FALSE)</f>
        <v>Player 021</v>
      </c>
      <c r="G23">
        <v>94</v>
      </c>
      <c r="H23">
        <f t="shared" si="3"/>
        <v>1</v>
      </c>
      <c r="I23" t="str">
        <f t="shared" si="0"/>
        <v>Normal</v>
      </c>
      <c r="J23" t="str">
        <f t="shared" si="1"/>
        <v>Normal</v>
      </c>
      <c r="K23" t="str">
        <f t="shared" si="2"/>
        <v/>
      </c>
    </row>
    <row r="24" spans="1:11" x14ac:dyDescent="0.25">
      <c r="A24">
        <v>1225</v>
      </c>
      <c r="B24">
        <v>114.57534365738501</v>
      </c>
      <c r="C24">
        <v>34.499405880847299</v>
      </c>
      <c r="D24">
        <v>22</v>
      </c>
      <c r="E24">
        <f>VLOOKUP(A24, Athletes_Map!A:B, 2, FALSE)</f>
        <v>22</v>
      </c>
      <c r="F24" t="str">
        <f>VLOOKUP(A24, Athletes_Map!A:C, 3, FALSE)</f>
        <v>Player 022</v>
      </c>
      <c r="G24">
        <v>94</v>
      </c>
      <c r="H24">
        <f t="shared" si="3"/>
        <v>1</v>
      </c>
      <c r="I24" t="str">
        <f t="shared" si="0"/>
        <v>Normal</v>
      </c>
      <c r="J24" t="str">
        <f t="shared" si="1"/>
        <v>Normal</v>
      </c>
      <c r="K24" t="str">
        <f t="shared" si="2"/>
        <v/>
      </c>
    </row>
    <row r="25" spans="1:11" x14ac:dyDescent="0.25">
      <c r="A25">
        <v>1232</v>
      </c>
      <c r="B25">
        <v>140.65159900976599</v>
      </c>
      <c r="C25">
        <v>33.835036606912503</v>
      </c>
      <c r="D25">
        <v>23</v>
      </c>
      <c r="E25">
        <f>VLOOKUP(A25, Athletes_Map!A:B, 2, FALSE)</f>
        <v>23</v>
      </c>
      <c r="F25" t="str">
        <f>VLOOKUP(A25, Athletes_Map!A:C, 3, FALSE)</f>
        <v>Player 023</v>
      </c>
      <c r="G25">
        <v>92</v>
      </c>
      <c r="H25">
        <f t="shared" si="3"/>
        <v>2</v>
      </c>
      <c r="I25" t="str">
        <f t="shared" si="0"/>
        <v>Normal</v>
      </c>
      <c r="J25" t="str">
        <f t="shared" si="1"/>
        <v>Normal</v>
      </c>
      <c r="K25" t="str">
        <f t="shared" si="2"/>
        <v/>
      </c>
    </row>
    <row r="26" spans="1:11" x14ac:dyDescent="0.25">
      <c r="A26">
        <v>1235</v>
      </c>
      <c r="B26">
        <v>123.976285673429</v>
      </c>
      <c r="C26">
        <v>31.3769895726711</v>
      </c>
      <c r="D26">
        <v>24</v>
      </c>
      <c r="E26">
        <f>VLOOKUP(A26, Athletes_Map!A:B, 2, FALSE)</f>
        <v>24</v>
      </c>
      <c r="F26" t="str">
        <f>VLOOKUP(A26, Athletes_Map!A:C, 3, FALSE)</f>
        <v>Player 024</v>
      </c>
      <c r="G26">
        <v>93</v>
      </c>
      <c r="H26">
        <f t="shared" si="3"/>
        <v>2</v>
      </c>
      <c r="I26" t="str">
        <f t="shared" si="0"/>
        <v>Normal</v>
      </c>
      <c r="J26" t="str">
        <f t="shared" si="1"/>
        <v>Normal</v>
      </c>
      <c r="K26" t="str">
        <f t="shared" si="2"/>
        <v/>
      </c>
    </row>
    <row r="27" spans="1:11" x14ac:dyDescent="0.25">
      <c r="A27">
        <v>1249</v>
      </c>
      <c r="B27">
        <v>134.499460825097</v>
      </c>
      <c r="C27">
        <v>33.053230557018701</v>
      </c>
      <c r="D27">
        <v>25</v>
      </c>
      <c r="E27">
        <f>VLOOKUP(A27, Athletes_Map!A:B, 2, FALSE)</f>
        <v>25</v>
      </c>
      <c r="F27" t="str">
        <f>VLOOKUP(A27, Athletes_Map!A:C, 3, FALSE)</f>
        <v>Player 025</v>
      </c>
      <c r="G27">
        <v>95</v>
      </c>
      <c r="H27">
        <f t="shared" si="3"/>
        <v>2</v>
      </c>
      <c r="I27" t="str">
        <f t="shared" si="0"/>
        <v>Normal</v>
      </c>
      <c r="J27" t="str">
        <f t="shared" si="1"/>
        <v>Normal</v>
      </c>
      <c r="K27" t="str">
        <f t="shared" si="2"/>
        <v/>
      </c>
    </row>
    <row r="28" spans="1:11" x14ac:dyDescent="0.25">
      <c r="A28">
        <v>1255</v>
      </c>
      <c r="B28">
        <v>106.7257100619</v>
      </c>
      <c r="C28">
        <v>33.592272245201102</v>
      </c>
      <c r="D28">
        <v>26</v>
      </c>
      <c r="E28">
        <f>VLOOKUP(A28, Athletes_Map!A:B, 2, FALSE)</f>
        <v>26</v>
      </c>
      <c r="F28" t="str">
        <f>VLOOKUP(A28, Athletes_Map!A:C, 3, FALSE)</f>
        <v>Player 026</v>
      </c>
      <c r="G28">
        <v>98</v>
      </c>
      <c r="H28">
        <f t="shared" si="3"/>
        <v>1</v>
      </c>
      <c r="I28" t="str">
        <f t="shared" si="0"/>
        <v>Normal</v>
      </c>
      <c r="J28" t="str">
        <f t="shared" si="1"/>
        <v>Normal</v>
      </c>
      <c r="K28" t="str">
        <f t="shared" si="2"/>
        <v/>
      </c>
    </row>
    <row r="29" spans="1:11" x14ac:dyDescent="0.25">
      <c r="A29">
        <v>1260</v>
      </c>
      <c r="B29">
        <v>106.632685341339</v>
      </c>
      <c r="C29">
        <v>33.504839557222098</v>
      </c>
      <c r="D29">
        <v>27</v>
      </c>
      <c r="E29">
        <f>VLOOKUP(A29, Athletes_Map!A:B, 2, FALSE)</f>
        <v>27</v>
      </c>
      <c r="F29" t="str">
        <f>VLOOKUP(A29, Athletes_Map!A:C, 3, FALSE)</f>
        <v>Player 027</v>
      </c>
      <c r="G29">
        <v>99</v>
      </c>
      <c r="H29">
        <f t="shared" si="3"/>
        <v>1</v>
      </c>
      <c r="I29" t="str">
        <f t="shared" si="0"/>
        <v>Normal</v>
      </c>
      <c r="J29" t="str">
        <f t="shared" si="1"/>
        <v>Normal</v>
      </c>
      <c r="K29" t="str">
        <f t="shared" si="2"/>
        <v/>
      </c>
    </row>
    <row r="30" spans="1:11" x14ac:dyDescent="0.25">
      <c r="A30">
        <v>1262</v>
      </c>
      <c r="B30">
        <v>146.813096613846</v>
      </c>
      <c r="C30">
        <v>33.171658523854703</v>
      </c>
      <c r="D30">
        <v>28</v>
      </c>
      <c r="E30">
        <f>VLOOKUP(A30, Athletes_Map!A:B, 2, FALSE)</f>
        <v>28</v>
      </c>
      <c r="F30" t="str">
        <f>VLOOKUP(A30, Athletes_Map!A:C, 3, FALSE)</f>
        <v>Player 028</v>
      </c>
      <c r="G30">
        <v>91</v>
      </c>
      <c r="H30">
        <f t="shared" si="3"/>
        <v>3</v>
      </c>
      <c r="I30" t="str">
        <f t="shared" si="0"/>
        <v>Alert</v>
      </c>
      <c r="J30" t="str">
        <f t="shared" si="1"/>
        <v>Oxygen</v>
      </c>
      <c r="K30">
        <f t="shared" si="2"/>
        <v>91</v>
      </c>
    </row>
    <row r="31" spans="1:11" x14ac:dyDescent="0.25">
      <c r="A31">
        <v>1301</v>
      </c>
      <c r="B31">
        <v>109.969211516191</v>
      </c>
      <c r="C31">
        <v>35.620916080056503</v>
      </c>
      <c r="D31">
        <v>29</v>
      </c>
      <c r="E31">
        <f>VLOOKUP(A31, Athletes_Map!A:B, 2, FALSE)</f>
        <v>29</v>
      </c>
      <c r="F31" t="str">
        <f>VLOOKUP(A31, Athletes_Map!A:C, 3, FALSE)</f>
        <v>Player 029</v>
      </c>
      <c r="G31">
        <v>97</v>
      </c>
      <c r="H31">
        <f t="shared" si="3"/>
        <v>1</v>
      </c>
      <c r="I31" t="str">
        <f t="shared" si="0"/>
        <v>Normal</v>
      </c>
      <c r="J31" t="str">
        <f t="shared" si="1"/>
        <v>Normal</v>
      </c>
      <c r="K31" t="str">
        <f t="shared" si="2"/>
        <v/>
      </c>
    </row>
    <row r="32" spans="1:11" x14ac:dyDescent="0.25">
      <c r="A32">
        <v>1302</v>
      </c>
      <c r="B32">
        <v>108.057474209406</v>
      </c>
      <c r="C32">
        <v>31.919194340985001</v>
      </c>
      <c r="D32">
        <v>30</v>
      </c>
      <c r="E32">
        <f>VLOOKUP(A32, Athletes_Map!A:B, 2, FALSE)</f>
        <v>30</v>
      </c>
      <c r="F32" t="str">
        <f>VLOOKUP(A32, Athletes_Map!A:C, 3, FALSE)</f>
        <v>Player 030</v>
      </c>
      <c r="G32">
        <v>96</v>
      </c>
      <c r="H32">
        <f t="shared" si="3"/>
        <v>1</v>
      </c>
      <c r="I32" t="str">
        <f t="shared" si="0"/>
        <v>Normal</v>
      </c>
      <c r="J32" t="str">
        <f t="shared" si="1"/>
        <v>Normal</v>
      </c>
      <c r="K32" t="str">
        <f t="shared" si="2"/>
        <v/>
      </c>
    </row>
    <row r="33" spans="1:11" x14ac:dyDescent="0.25">
      <c r="A33">
        <v>1345</v>
      </c>
      <c r="B33">
        <v>139.01138394461799</v>
      </c>
      <c r="C33">
        <v>33.251364100377302</v>
      </c>
      <c r="D33">
        <v>31</v>
      </c>
      <c r="E33">
        <f>VLOOKUP(A33, Athletes_Map!A:B, 2, FALSE)</f>
        <v>31</v>
      </c>
      <c r="F33" t="str">
        <f>VLOOKUP(A33, Athletes_Map!A:C, 3, FALSE)</f>
        <v>Player 031</v>
      </c>
      <c r="G33">
        <v>94</v>
      </c>
      <c r="H33">
        <f t="shared" si="3"/>
        <v>2</v>
      </c>
      <c r="I33" t="str">
        <f t="shared" si="0"/>
        <v>Normal</v>
      </c>
      <c r="J33" t="str">
        <f t="shared" si="1"/>
        <v>Normal</v>
      </c>
      <c r="K33" t="str">
        <f t="shared" si="2"/>
        <v/>
      </c>
    </row>
    <row r="34" spans="1:11" x14ac:dyDescent="0.25">
      <c r="A34">
        <v>1364</v>
      </c>
      <c r="B34">
        <v>158.71408309325901</v>
      </c>
      <c r="C34">
        <v>31.944860661105601</v>
      </c>
      <c r="D34">
        <v>32</v>
      </c>
      <c r="E34">
        <f>VLOOKUP(A34, Athletes_Map!A:B, 2, FALSE)</f>
        <v>32</v>
      </c>
      <c r="F34" t="str">
        <f>VLOOKUP(A34, Athletes_Map!A:C, 3, FALSE)</f>
        <v>Player 032</v>
      </c>
      <c r="G34">
        <v>90</v>
      </c>
      <c r="H34">
        <f t="shared" si="3"/>
        <v>3</v>
      </c>
      <c r="I34" t="str">
        <f t="shared" si="0"/>
        <v>Alert</v>
      </c>
      <c r="J34" t="str">
        <f t="shared" si="1"/>
        <v>Heart Rate</v>
      </c>
      <c r="K34">
        <f t="shared" si="2"/>
        <v>158.71408309325901</v>
      </c>
    </row>
    <row r="35" spans="1:11" x14ac:dyDescent="0.25">
      <c r="A35">
        <v>1384</v>
      </c>
      <c r="B35">
        <v>145.15982653825</v>
      </c>
      <c r="C35">
        <v>33.222826296502397</v>
      </c>
      <c r="D35">
        <v>33</v>
      </c>
      <c r="E35">
        <f>VLOOKUP(A35, Athletes_Map!A:B, 2, FALSE)</f>
        <v>33</v>
      </c>
      <c r="F35" t="str">
        <f>VLOOKUP(A35, Athletes_Map!A:C, 3, FALSE)</f>
        <v>Player 033</v>
      </c>
      <c r="G35">
        <v>93</v>
      </c>
      <c r="H35">
        <f t="shared" si="3"/>
        <v>2</v>
      </c>
      <c r="I35" t="str">
        <f t="shared" si="0"/>
        <v>Normal</v>
      </c>
      <c r="J35" t="str">
        <f t="shared" si="1"/>
        <v>Normal</v>
      </c>
      <c r="K35" t="str">
        <f t="shared" si="2"/>
        <v/>
      </c>
    </row>
    <row r="36" spans="1:11" x14ac:dyDescent="0.25">
      <c r="A36">
        <v>1391</v>
      </c>
      <c r="B36">
        <v>137.44019629290699</v>
      </c>
      <c r="C36">
        <v>32.986689595261602</v>
      </c>
      <c r="D36">
        <v>34</v>
      </c>
      <c r="E36">
        <f>VLOOKUP(A36, Athletes_Map!A:B, 2, FALSE)</f>
        <v>34</v>
      </c>
      <c r="F36" t="str">
        <f>VLOOKUP(A36, Athletes_Map!A:C, 3, FALSE)</f>
        <v>Player 034</v>
      </c>
      <c r="G36">
        <v>95</v>
      </c>
      <c r="H36">
        <f t="shared" si="3"/>
        <v>2</v>
      </c>
      <c r="I36" t="str">
        <f t="shared" si="0"/>
        <v>Normal</v>
      </c>
      <c r="J36" t="str">
        <f t="shared" si="1"/>
        <v>Normal</v>
      </c>
      <c r="K36" t="str">
        <f t="shared" si="2"/>
        <v/>
      </c>
    </row>
    <row r="37" spans="1:11" x14ac:dyDescent="0.25">
      <c r="A37">
        <v>1395</v>
      </c>
      <c r="B37">
        <v>129.0487299328</v>
      </c>
      <c r="C37">
        <v>33.742663557627701</v>
      </c>
      <c r="D37">
        <v>35</v>
      </c>
      <c r="E37">
        <f>VLOOKUP(A37, Athletes_Map!A:B, 2, FALSE)</f>
        <v>35</v>
      </c>
      <c r="F37" t="str">
        <f>VLOOKUP(A37, Athletes_Map!A:C, 3, FALSE)</f>
        <v>Player 035</v>
      </c>
      <c r="G37">
        <v>93</v>
      </c>
      <c r="H37">
        <f t="shared" si="3"/>
        <v>2</v>
      </c>
      <c r="I37" t="str">
        <f t="shared" si="0"/>
        <v>Normal</v>
      </c>
      <c r="J37" t="str">
        <f t="shared" si="1"/>
        <v>Normal</v>
      </c>
      <c r="K37" t="str">
        <f t="shared" si="2"/>
        <v/>
      </c>
    </row>
    <row r="38" spans="1:11" x14ac:dyDescent="0.25">
      <c r="A38">
        <v>1404</v>
      </c>
      <c r="B38">
        <v>112.932667876522</v>
      </c>
      <c r="C38">
        <v>34.810957216085399</v>
      </c>
      <c r="D38">
        <v>36</v>
      </c>
      <c r="E38">
        <f>VLOOKUP(A38, Athletes_Map!A:B, 2, FALSE)</f>
        <v>36</v>
      </c>
      <c r="F38" t="str">
        <f>VLOOKUP(A38, Athletes_Map!A:C, 3, FALSE)</f>
        <v>Player 036</v>
      </c>
      <c r="G38">
        <v>94</v>
      </c>
      <c r="H38">
        <f t="shared" si="3"/>
        <v>1</v>
      </c>
      <c r="I38" t="str">
        <f t="shared" si="0"/>
        <v>Normal</v>
      </c>
      <c r="J38" t="str">
        <f t="shared" si="1"/>
        <v>Normal</v>
      </c>
      <c r="K38" t="str">
        <f t="shared" si="2"/>
        <v/>
      </c>
    </row>
    <row r="39" spans="1:11" x14ac:dyDescent="0.25">
      <c r="A39">
        <v>1412</v>
      </c>
      <c r="B39">
        <v>131.18635198473299</v>
      </c>
      <c r="C39">
        <v>34.375236172970403</v>
      </c>
      <c r="D39">
        <v>37</v>
      </c>
      <c r="E39">
        <f>VLOOKUP(A39, Athletes_Map!A:B, 2, FALSE)</f>
        <v>37</v>
      </c>
      <c r="F39" t="str">
        <f>VLOOKUP(A39, Athletes_Map!A:C, 3, FALSE)</f>
        <v>Player 037</v>
      </c>
      <c r="G39">
        <v>93</v>
      </c>
      <c r="H39">
        <f t="shared" si="3"/>
        <v>2</v>
      </c>
      <c r="I39" t="str">
        <f t="shared" si="0"/>
        <v>Normal</v>
      </c>
      <c r="J39" t="str">
        <f t="shared" si="1"/>
        <v>Normal</v>
      </c>
      <c r="K39" t="str">
        <f t="shared" si="2"/>
        <v/>
      </c>
    </row>
    <row r="40" spans="1:11" x14ac:dyDescent="0.25">
      <c r="A40">
        <v>1417</v>
      </c>
      <c r="B40">
        <v>176.76749409561401</v>
      </c>
      <c r="C40">
        <v>34.621287470895702</v>
      </c>
      <c r="D40">
        <v>38</v>
      </c>
      <c r="E40">
        <f>VLOOKUP(A40, Athletes_Map!A:B, 2, FALSE)</f>
        <v>38</v>
      </c>
      <c r="F40" t="str">
        <f>VLOOKUP(A40, Athletes_Map!A:C, 3, FALSE)</f>
        <v>Player 038</v>
      </c>
      <c r="G40">
        <v>92</v>
      </c>
      <c r="H40">
        <f t="shared" si="3"/>
        <v>3</v>
      </c>
      <c r="I40" t="str">
        <f t="shared" si="0"/>
        <v>Alert</v>
      </c>
      <c r="J40" t="str">
        <f t="shared" si="1"/>
        <v>Heart Rate</v>
      </c>
      <c r="K40">
        <f t="shared" si="2"/>
        <v>176.76749409561401</v>
      </c>
    </row>
    <row r="41" spans="1:11" x14ac:dyDescent="0.25">
      <c r="A41">
        <v>1419</v>
      </c>
      <c r="B41">
        <v>130.92652499645999</v>
      </c>
      <c r="C41">
        <v>34.007218937077901</v>
      </c>
      <c r="D41">
        <v>39</v>
      </c>
      <c r="E41">
        <f>VLOOKUP(A41, Athletes_Map!A:B, 2, FALSE)</f>
        <v>39</v>
      </c>
      <c r="F41" t="str">
        <f>VLOOKUP(A41, Athletes_Map!A:C, 3, FALSE)</f>
        <v>Player 039</v>
      </c>
      <c r="G41">
        <v>96</v>
      </c>
      <c r="H41">
        <f t="shared" si="3"/>
        <v>2</v>
      </c>
      <c r="I41" t="str">
        <f t="shared" si="0"/>
        <v>Normal</v>
      </c>
      <c r="J41" t="str">
        <f t="shared" si="1"/>
        <v>Normal</v>
      </c>
      <c r="K41" t="str">
        <f t="shared" si="2"/>
        <v/>
      </c>
    </row>
    <row r="42" spans="1:11" x14ac:dyDescent="0.25">
      <c r="A42">
        <v>1466</v>
      </c>
      <c r="B42">
        <v>149.433441280864</v>
      </c>
      <c r="C42">
        <v>31.656544645940102</v>
      </c>
      <c r="D42">
        <v>40</v>
      </c>
      <c r="E42">
        <f>VLOOKUP(A42, Athletes_Map!A:B, 2, FALSE)</f>
        <v>40</v>
      </c>
      <c r="F42" t="str">
        <f>VLOOKUP(A42, Athletes_Map!A:C, 3, FALSE)</f>
        <v>Player 040</v>
      </c>
      <c r="G42">
        <v>93</v>
      </c>
      <c r="H42">
        <f t="shared" si="3"/>
        <v>2</v>
      </c>
      <c r="I42" t="str">
        <f t="shared" si="0"/>
        <v>Normal</v>
      </c>
      <c r="J42" t="str">
        <f t="shared" si="1"/>
        <v>Normal</v>
      </c>
      <c r="K42" t="str">
        <f t="shared" si="2"/>
        <v/>
      </c>
    </row>
    <row r="43" spans="1:11" x14ac:dyDescent="0.25">
      <c r="A43">
        <v>1502</v>
      </c>
      <c r="B43">
        <v>147.413441951013</v>
      </c>
      <c r="C43">
        <v>32.8967163686509</v>
      </c>
      <c r="D43">
        <v>41</v>
      </c>
      <c r="E43">
        <f>VLOOKUP(A43, Athletes_Map!A:B, 2, FALSE)</f>
        <v>41</v>
      </c>
      <c r="F43" t="str">
        <f>VLOOKUP(A43, Athletes_Map!A:C, 3, FALSE)</f>
        <v>Player 041</v>
      </c>
      <c r="G43">
        <v>94</v>
      </c>
      <c r="H43">
        <f t="shared" si="3"/>
        <v>2</v>
      </c>
      <c r="I43" t="str">
        <f t="shared" si="0"/>
        <v>Normal</v>
      </c>
      <c r="J43" t="str">
        <f t="shared" si="1"/>
        <v>Normal</v>
      </c>
      <c r="K43" t="str">
        <f t="shared" si="2"/>
        <v/>
      </c>
    </row>
    <row r="44" spans="1:11" x14ac:dyDescent="0.25">
      <c r="A44">
        <v>1504</v>
      </c>
      <c r="B44">
        <v>121.14189604408099</v>
      </c>
      <c r="C44">
        <v>32.354342689811801</v>
      </c>
      <c r="D44">
        <v>42</v>
      </c>
      <c r="E44">
        <f>VLOOKUP(A44, Athletes_Map!A:B, 2, FALSE)</f>
        <v>42</v>
      </c>
      <c r="F44" t="str">
        <f>VLOOKUP(A44, Athletes_Map!A:C, 3, FALSE)</f>
        <v>Player 042</v>
      </c>
      <c r="G44">
        <v>93</v>
      </c>
      <c r="H44">
        <f t="shared" si="3"/>
        <v>2</v>
      </c>
      <c r="I44" t="str">
        <f t="shared" si="0"/>
        <v>Normal</v>
      </c>
      <c r="J44" t="str">
        <f t="shared" si="1"/>
        <v>Normal</v>
      </c>
      <c r="K44" t="str">
        <f t="shared" si="2"/>
        <v/>
      </c>
    </row>
    <row r="45" spans="1:11" x14ac:dyDescent="0.25">
      <c r="A45">
        <v>1512</v>
      </c>
      <c r="B45">
        <v>152.67319874973299</v>
      </c>
      <c r="C45">
        <v>32.501879653243897</v>
      </c>
      <c r="D45">
        <v>43</v>
      </c>
      <c r="E45">
        <f>VLOOKUP(A45, Athletes_Map!A:B, 2, FALSE)</f>
        <v>43</v>
      </c>
      <c r="F45" t="str">
        <f>VLOOKUP(A45, Athletes_Map!A:C, 3, FALSE)</f>
        <v>Player 043</v>
      </c>
      <c r="G45">
        <v>92</v>
      </c>
      <c r="H45">
        <f t="shared" si="3"/>
        <v>3</v>
      </c>
      <c r="I45" t="str">
        <f t="shared" si="0"/>
        <v>Alert</v>
      </c>
      <c r="J45" t="str">
        <f t="shared" si="1"/>
        <v>Heart Rate</v>
      </c>
      <c r="K45">
        <f t="shared" si="2"/>
        <v>152.67319874973299</v>
      </c>
    </row>
    <row r="46" spans="1:11" x14ac:dyDescent="0.25">
      <c r="A46">
        <v>1523</v>
      </c>
      <c r="B46">
        <v>178.14616426531001</v>
      </c>
      <c r="C46">
        <v>32.199781539658098</v>
      </c>
      <c r="D46">
        <v>44</v>
      </c>
      <c r="E46">
        <f>VLOOKUP(A46, Athletes_Map!A:B, 2, FALSE)</f>
        <v>44</v>
      </c>
      <c r="F46" t="str">
        <f>VLOOKUP(A46, Athletes_Map!A:C, 3, FALSE)</f>
        <v>Player 044</v>
      </c>
      <c r="G46">
        <v>90</v>
      </c>
      <c r="H46">
        <f t="shared" si="3"/>
        <v>3</v>
      </c>
      <c r="I46" t="str">
        <f t="shared" si="0"/>
        <v>Alert</v>
      </c>
      <c r="J46" t="str">
        <f t="shared" si="1"/>
        <v>Heart Rate</v>
      </c>
      <c r="K46">
        <f t="shared" si="2"/>
        <v>178.14616426531001</v>
      </c>
    </row>
    <row r="47" spans="1:11" x14ac:dyDescent="0.25">
      <c r="A47">
        <v>1536</v>
      </c>
      <c r="B47">
        <v>153.384578691504</v>
      </c>
      <c r="C47">
        <v>31.935204649372999</v>
      </c>
      <c r="D47">
        <v>45</v>
      </c>
      <c r="E47">
        <f>VLOOKUP(A47, Athletes_Map!A:B, 2, FALSE)</f>
        <v>45</v>
      </c>
      <c r="F47" t="str">
        <f>VLOOKUP(A47, Athletes_Map!A:C, 3, FALSE)</f>
        <v>Player 045</v>
      </c>
      <c r="G47">
        <v>92</v>
      </c>
      <c r="H47">
        <f t="shared" si="3"/>
        <v>3</v>
      </c>
      <c r="I47" t="str">
        <f t="shared" si="0"/>
        <v>Alert</v>
      </c>
      <c r="J47" t="str">
        <f t="shared" si="1"/>
        <v>Heart Rate</v>
      </c>
      <c r="K47">
        <f t="shared" si="2"/>
        <v>153.384578691504</v>
      </c>
    </row>
    <row r="48" spans="1:11" x14ac:dyDescent="0.25">
      <c r="A48">
        <v>1537</v>
      </c>
      <c r="B48">
        <v>130.58071652340601</v>
      </c>
      <c r="C48">
        <v>35.308134953789903</v>
      </c>
      <c r="D48">
        <v>46</v>
      </c>
      <c r="E48">
        <f>VLOOKUP(A48, Athletes_Map!A:B, 2, FALSE)</f>
        <v>46</v>
      </c>
      <c r="F48" t="str">
        <f>VLOOKUP(A48, Athletes_Map!A:C, 3, FALSE)</f>
        <v>Player 046</v>
      </c>
      <c r="G48">
        <v>94</v>
      </c>
      <c r="H48">
        <f t="shared" si="3"/>
        <v>2</v>
      </c>
      <c r="I48" t="str">
        <f t="shared" si="0"/>
        <v>Normal</v>
      </c>
      <c r="J48" t="str">
        <f t="shared" si="1"/>
        <v>Normal</v>
      </c>
      <c r="K48" t="str">
        <f t="shared" si="2"/>
        <v/>
      </c>
    </row>
    <row r="49" spans="1:11" x14ac:dyDescent="0.25">
      <c r="A49">
        <v>1539</v>
      </c>
      <c r="B49">
        <v>139.675718235814</v>
      </c>
      <c r="C49">
        <v>33.591583750217303</v>
      </c>
      <c r="D49">
        <v>47</v>
      </c>
      <c r="E49">
        <f>VLOOKUP(A49, Athletes_Map!A:B, 2, FALSE)</f>
        <v>47</v>
      </c>
      <c r="F49" t="str">
        <f>VLOOKUP(A49, Athletes_Map!A:C, 3, FALSE)</f>
        <v>Player 047</v>
      </c>
      <c r="G49">
        <v>96</v>
      </c>
      <c r="H49">
        <f t="shared" si="3"/>
        <v>2</v>
      </c>
      <c r="I49" t="str">
        <f t="shared" si="0"/>
        <v>Normal</v>
      </c>
      <c r="J49" t="str">
        <f t="shared" si="1"/>
        <v>Normal</v>
      </c>
      <c r="K49" t="str">
        <f t="shared" si="2"/>
        <v/>
      </c>
    </row>
    <row r="50" spans="1:11" x14ac:dyDescent="0.25">
      <c r="A50">
        <v>1559</v>
      </c>
      <c r="B50">
        <v>164.53080699451701</v>
      </c>
      <c r="C50">
        <v>32.874788648415702</v>
      </c>
      <c r="D50">
        <v>48</v>
      </c>
      <c r="E50">
        <f>VLOOKUP(A50, Athletes_Map!A:B, 2, FALSE)</f>
        <v>48</v>
      </c>
      <c r="F50" t="str">
        <f>VLOOKUP(A50, Athletes_Map!A:C, 3, FALSE)</f>
        <v>Player 048</v>
      </c>
      <c r="G50">
        <v>93</v>
      </c>
      <c r="H50">
        <f t="shared" si="3"/>
        <v>3</v>
      </c>
      <c r="I50" t="str">
        <f t="shared" si="0"/>
        <v>Alert</v>
      </c>
      <c r="J50" t="str">
        <f t="shared" si="1"/>
        <v>Heart Rate</v>
      </c>
      <c r="K50">
        <f t="shared" si="2"/>
        <v>164.53080699451701</v>
      </c>
    </row>
    <row r="51" spans="1:11" x14ac:dyDescent="0.25">
      <c r="A51">
        <v>1569</v>
      </c>
      <c r="B51">
        <v>134.19684098711301</v>
      </c>
      <c r="C51">
        <v>35.418330132552697</v>
      </c>
      <c r="D51">
        <v>49</v>
      </c>
      <c r="E51">
        <f>VLOOKUP(A51, Athletes_Map!A:B, 2, FALSE)</f>
        <v>49</v>
      </c>
      <c r="F51" t="str">
        <f>VLOOKUP(A51, Athletes_Map!A:C, 3, FALSE)</f>
        <v>Player 049</v>
      </c>
      <c r="G51">
        <v>93</v>
      </c>
      <c r="H51">
        <f t="shared" si="3"/>
        <v>2</v>
      </c>
      <c r="I51" t="str">
        <f t="shared" si="0"/>
        <v>Normal</v>
      </c>
      <c r="J51" t="str">
        <f t="shared" si="1"/>
        <v>Normal</v>
      </c>
      <c r="K51" t="str">
        <f t="shared" si="2"/>
        <v/>
      </c>
    </row>
    <row r="52" spans="1:11" x14ac:dyDescent="0.25">
      <c r="A52">
        <v>1574</v>
      </c>
      <c r="B52">
        <v>147.70343603363901</v>
      </c>
      <c r="C52">
        <v>32.244138537163401</v>
      </c>
      <c r="D52">
        <v>50</v>
      </c>
      <c r="E52">
        <f>VLOOKUP(A52, Athletes_Map!A:B, 2, FALSE)</f>
        <v>50</v>
      </c>
      <c r="F52" t="str">
        <f>VLOOKUP(A52, Athletes_Map!A:C, 3, FALSE)</f>
        <v>Player 050</v>
      </c>
      <c r="G52">
        <v>92</v>
      </c>
      <c r="H52">
        <f t="shared" si="3"/>
        <v>2</v>
      </c>
      <c r="I52" t="str">
        <f t="shared" si="0"/>
        <v>Normal</v>
      </c>
      <c r="J52" t="str">
        <f t="shared" si="1"/>
        <v>Normal</v>
      </c>
      <c r="K52" t="str">
        <f t="shared" si="2"/>
        <v/>
      </c>
    </row>
    <row r="53" spans="1:11" x14ac:dyDescent="0.25">
      <c r="A53">
        <v>1580</v>
      </c>
      <c r="B53">
        <v>140.213475316478</v>
      </c>
      <c r="C53">
        <v>33.233810808324101</v>
      </c>
      <c r="D53">
        <v>51</v>
      </c>
      <c r="E53">
        <f>VLOOKUP(A53, Athletes_Map!A:B, 2, FALSE)</f>
        <v>51</v>
      </c>
      <c r="F53" t="str">
        <f>VLOOKUP(A53, Athletes_Map!A:C, 3, FALSE)</f>
        <v>Player 051</v>
      </c>
      <c r="G53">
        <v>93</v>
      </c>
      <c r="H53">
        <f t="shared" si="3"/>
        <v>2</v>
      </c>
      <c r="I53" t="str">
        <f t="shared" si="0"/>
        <v>Normal</v>
      </c>
      <c r="J53" t="str">
        <f t="shared" si="1"/>
        <v>Normal</v>
      </c>
      <c r="K53" t="str">
        <f t="shared" si="2"/>
        <v/>
      </c>
    </row>
    <row r="54" spans="1:11" x14ac:dyDescent="0.25">
      <c r="A54">
        <v>1600</v>
      </c>
      <c r="B54">
        <v>130.47031802300299</v>
      </c>
      <c r="C54">
        <v>33.595680141280702</v>
      </c>
      <c r="D54">
        <v>52</v>
      </c>
      <c r="E54">
        <f>VLOOKUP(A54, Athletes_Map!A:B, 2, FALSE)</f>
        <v>52</v>
      </c>
      <c r="F54" t="str">
        <f>VLOOKUP(A54, Athletes_Map!A:C, 3, FALSE)</f>
        <v>Player 052</v>
      </c>
      <c r="G54">
        <v>93</v>
      </c>
      <c r="H54">
        <f t="shared" si="3"/>
        <v>2</v>
      </c>
      <c r="I54" t="str">
        <f t="shared" si="0"/>
        <v>Normal</v>
      </c>
      <c r="J54" t="str">
        <f t="shared" si="1"/>
        <v>Normal</v>
      </c>
      <c r="K54" t="str">
        <f t="shared" si="2"/>
        <v/>
      </c>
    </row>
    <row r="55" spans="1:11" x14ac:dyDescent="0.25">
      <c r="A55">
        <v>1606</v>
      </c>
      <c r="B55">
        <v>163.87529208146501</v>
      </c>
      <c r="C55">
        <v>33.684608650025403</v>
      </c>
      <c r="D55">
        <v>53</v>
      </c>
      <c r="E55">
        <f>VLOOKUP(A55, Athletes_Map!A:B, 2, FALSE)</f>
        <v>53</v>
      </c>
      <c r="F55" t="str">
        <f>VLOOKUP(A55, Athletes_Map!A:C, 3, FALSE)</f>
        <v>Player 053</v>
      </c>
      <c r="G55">
        <v>94</v>
      </c>
      <c r="H55">
        <f t="shared" si="3"/>
        <v>3</v>
      </c>
      <c r="I55" t="str">
        <f t="shared" si="0"/>
        <v>Alert</v>
      </c>
      <c r="J55" t="str">
        <f t="shared" si="1"/>
        <v>Heart Rate</v>
      </c>
      <c r="K55">
        <f t="shared" si="2"/>
        <v>163.87529208146501</v>
      </c>
    </row>
    <row r="56" spans="1:11" x14ac:dyDescent="0.25">
      <c r="A56">
        <v>1635</v>
      </c>
      <c r="B56">
        <v>129.85246925153299</v>
      </c>
      <c r="C56">
        <v>34.0346682142643</v>
      </c>
      <c r="D56">
        <v>54</v>
      </c>
      <c r="E56">
        <f>VLOOKUP(A56, Athletes_Map!A:B, 2, FALSE)</f>
        <v>54</v>
      </c>
      <c r="F56" t="str">
        <f>VLOOKUP(A56, Athletes_Map!A:C, 3, FALSE)</f>
        <v>Player 054</v>
      </c>
      <c r="G56">
        <v>95</v>
      </c>
      <c r="H56">
        <f t="shared" si="3"/>
        <v>2</v>
      </c>
      <c r="I56" t="str">
        <f t="shared" si="0"/>
        <v>Normal</v>
      </c>
      <c r="J56" t="str">
        <f t="shared" si="1"/>
        <v>Normal</v>
      </c>
      <c r="K56" t="str">
        <f t="shared" si="2"/>
        <v/>
      </c>
    </row>
    <row r="57" spans="1:11" x14ac:dyDescent="0.25">
      <c r="A57">
        <v>1638</v>
      </c>
      <c r="B57">
        <v>115.56771922978599</v>
      </c>
      <c r="C57">
        <v>31.842959914292098</v>
      </c>
      <c r="D57">
        <v>55</v>
      </c>
      <c r="E57">
        <f>VLOOKUP(A57, Athletes_Map!A:B, 2, FALSE)</f>
        <v>55</v>
      </c>
      <c r="F57" t="str">
        <f>VLOOKUP(A57, Athletes_Map!A:C, 3, FALSE)</f>
        <v>Player 055</v>
      </c>
      <c r="G57">
        <v>94</v>
      </c>
      <c r="H57">
        <f t="shared" si="3"/>
        <v>1</v>
      </c>
      <c r="I57" t="str">
        <f t="shared" si="0"/>
        <v>Normal</v>
      </c>
      <c r="J57" t="str">
        <f t="shared" si="1"/>
        <v>Normal</v>
      </c>
      <c r="K57" t="str">
        <f t="shared" si="2"/>
        <v/>
      </c>
    </row>
    <row r="58" spans="1:11" x14ac:dyDescent="0.25">
      <c r="A58">
        <v>1659</v>
      </c>
      <c r="B58">
        <v>140.71730781449801</v>
      </c>
      <c r="C58">
        <v>33.383429604939501</v>
      </c>
      <c r="D58">
        <v>56</v>
      </c>
      <c r="E58">
        <f>VLOOKUP(A58, Athletes_Map!A:B, 2, FALSE)</f>
        <v>56</v>
      </c>
      <c r="F58" t="str">
        <f>VLOOKUP(A58, Athletes_Map!A:C, 3, FALSE)</f>
        <v>Player 056</v>
      </c>
      <c r="G58">
        <v>93</v>
      </c>
      <c r="H58">
        <f t="shared" si="3"/>
        <v>2</v>
      </c>
      <c r="I58" t="str">
        <f t="shared" si="0"/>
        <v>Normal</v>
      </c>
      <c r="J58" t="str">
        <f t="shared" si="1"/>
        <v>Normal</v>
      </c>
      <c r="K58" t="str">
        <f t="shared" si="2"/>
        <v/>
      </c>
    </row>
    <row r="59" spans="1:11" x14ac:dyDescent="0.25">
      <c r="A59">
        <v>1663</v>
      </c>
      <c r="B59">
        <v>180.977962472385</v>
      </c>
      <c r="C59">
        <v>32.9461283638529</v>
      </c>
      <c r="D59">
        <v>57</v>
      </c>
      <c r="E59">
        <f>VLOOKUP(A59, Athletes_Map!A:B, 2, FALSE)</f>
        <v>57</v>
      </c>
      <c r="F59" t="str">
        <f>VLOOKUP(A59, Athletes_Map!A:C, 3, FALSE)</f>
        <v>Player 057</v>
      </c>
      <c r="G59">
        <v>93</v>
      </c>
      <c r="H59">
        <f t="shared" si="3"/>
        <v>3</v>
      </c>
      <c r="I59" t="str">
        <f t="shared" si="0"/>
        <v>Alert</v>
      </c>
      <c r="J59" t="str">
        <f t="shared" si="1"/>
        <v>Heart Rate</v>
      </c>
      <c r="K59">
        <f t="shared" si="2"/>
        <v>180.977962472385</v>
      </c>
    </row>
    <row r="60" spans="1:11" x14ac:dyDescent="0.25">
      <c r="A60">
        <v>1666</v>
      </c>
      <c r="B60">
        <v>117.303945719461</v>
      </c>
      <c r="C60">
        <v>33.267925003104303</v>
      </c>
      <c r="D60">
        <v>58</v>
      </c>
      <c r="E60">
        <f>VLOOKUP(A60, Athletes_Map!A:B, 2, FALSE)</f>
        <v>58</v>
      </c>
      <c r="F60" t="str">
        <f>VLOOKUP(A60, Athletes_Map!A:C, 3, FALSE)</f>
        <v>Player 058</v>
      </c>
      <c r="G60">
        <v>94</v>
      </c>
      <c r="H60">
        <f t="shared" si="3"/>
        <v>1</v>
      </c>
      <c r="I60" t="str">
        <f t="shared" si="0"/>
        <v>Normal</v>
      </c>
      <c r="J60" t="str">
        <f t="shared" si="1"/>
        <v>Normal</v>
      </c>
      <c r="K60" t="str">
        <f t="shared" si="2"/>
        <v/>
      </c>
    </row>
    <row r="61" spans="1:11" x14ac:dyDescent="0.25">
      <c r="A61">
        <v>1667</v>
      </c>
      <c r="B61">
        <v>123.366381721027</v>
      </c>
      <c r="C61">
        <v>32.292129218693198</v>
      </c>
      <c r="D61">
        <v>59</v>
      </c>
      <c r="E61">
        <f>VLOOKUP(A61, Athletes_Map!A:B, 2, FALSE)</f>
        <v>59</v>
      </c>
      <c r="F61" t="str">
        <f>VLOOKUP(A61, Athletes_Map!A:C, 3, FALSE)</f>
        <v>Player 059</v>
      </c>
      <c r="G61">
        <v>94</v>
      </c>
      <c r="H61">
        <f t="shared" si="3"/>
        <v>2</v>
      </c>
      <c r="I61" t="str">
        <f t="shared" si="0"/>
        <v>Normal</v>
      </c>
      <c r="J61" t="str">
        <f t="shared" si="1"/>
        <v>Normal</v>
      </c>
      <c r="K61" t="str">
        <f t="shared" si="2"/>
        <v/>
      </c>
    </row>
    <row r="62" spans="1:11" x14ac:dyDescent="0.25">
      <c r="A62">
        <v>1671</v>
      </c>
      <c r="B62">
        <v>169.23416960284601</v>
      </c>
      <c r="C62">
        <v>32.344749841419898</v>
      </c>
      <c r="D62">
        <v>60</v>
      </c>
      <c r="E62">
        <f>VLOOKUP(A62, Athletes_Map!A:B, 2, FALSE)</f>
        <v>60</v>
      </c>
      <c r="F62" t="str">
        <f>VLOOKUP(A62, Athletes_Map!A:C, 3, FALSE)</f>
        <v>Player 060</v>
      </c>
      <c r="G62">
        <v>94</v>
      </c>
      <c r="H62">
        <f t="shared" si="3"/>
        <v>3</v>
      </c>
      <c r="I62" t="str">
        <f t="shared" si="0"/>
        <v>Alert</v>
      </c>
      <c r="J62" t="str">
        <f t="shared" si="1"/>
        <v>Heart Rate</v>
      </c>
      <c r="K62">
        <f t="shared" si="2"/>
        <v>169.23416960284601</v>
      </c>
    </row>
    <row r="63" spans="1:11" x14ac:dyDescent="0.25">
      <c r="A63">
        <v>1688</v>
      </c>
      <c r="B63">
        <v>131.25711469990901</v>
      </c>
      <c r="C63">
        <v>31.3287174333996</v>
      </c>
      <c r="D63">
        <v>61</v>
      </c>
      <c r="E63">
        <f>VLOOKUP(A63, Athletes_Map!A:B, 2, FALSE)</f>
        <v>61</v>
      </c>
      <c r="F63" t="str">
        <f>VLOOKUP(A63, Athletes_Map!A:C, 3, FALSE)</f>
        <v>Player 061</v>
      </c>
      <c r="G63">
        <v>96</v>
      </c>
      <c r="H63">
        <f t="shared" si="3"/>
        <v>2</v>
      </c>
      <c r="I63" t="str">
        <f t="shared" si="0"/>
        <v>Normal</v>
      </c>
      <c r="J63" t="str">
        <f t="shared" si="1"/>
        <v>Normal</v>
      </c>
      <c r="K63" t="str">
        <f t="shared" si="2"/>
        <v/>
      </c>
    </row>
    <row r="64" spans="1:11" x14ac:dyDescent="0.25">
      <c r="A64">
        <v>1698</v>
      </c>
      <c r="B64">
        <v>115.032919185224</v>
      </c>
      <c r="C64">
        <v>33.455721163249002</v>
      </c>
      <c r="D64">
        <v>62</v>
      </c>
      <c r="E64">
        <f>VLOOKUP(A64, Athletes_Map!A:B, 2, FALSE)</f>
        <v>62</v>
      </c>
      <c r="F64" t="str">
        <f>VLOOKUP(A64, Athletes_Map!A:C, 3, FALSE)</f>
        <v>Player 062</v>
      </c>
      <c r="G64">
        <v>96</v>
      </c>
      <c r="H64">
        <f t="shared" si="3"/>
        <v>1</v>
      </c>
      <c r="I64" t="str">
        <f t="shared" si="0"/>
        <v>Normal</v>
      </c>
      <c r="J64" t="str">
        <f t="shared" si="1"/>
        <v>Normal</v>
      </c>
      <c r="K64" t="str">
        <f t="shared" si="2"/>
        <v/>
      </c>
    </row>
    <row r="65" spans="1:11" x14ac:dyDescent="0.25">
      <c r="A65">
        <v>1698</v>
      </c>
      <c r="B65">
        <v>146.948001396997</v>
      </c>
      <c r="C65">
        <v>34.069564424243701</v>
      </c>
      <c r="D65">
        <v>63</v>
      </c>
      <c r="E65">
        <f>VLOOKUP(A65, Athletes_Map!A:B, 2, FALSE)</f>
        <v>62</v>
      </c>
      <c r="F65" t="str">
        <f>VLOOKUP(A65, Athletes_Map!A:C, 3, FALSE)</f>
        <v>Player 062</v>
      </c>
      <c r="G65">
        <v>94</v>
      </c>
      <c r="H65">
        <f t="shared" si="3"/>
        <v>2</v>
      </c>
      <c r="I65" t="str">
        <f t="shared" si="0"/>
        <v>Normal</v>
      </c>
      <c r="J65" t="str">
        <f t="shared" si="1"/>
        <v>Normal</v>
      </c>
      <c r="K65" t="str">
        <f t="shared" si="2"/>
        <v/>
      </c>
    </row>
    <row r="66" spans="1:11" x14ac:dyDescent="0.25">
      <c r="A66">
        <v>1699</v>
      </c>
      <c r="B66">
        <v>157.34591663176201</v>
      </c>
      <c r="C66">
        <v>32.266337703133601</v>
      </c>
      <c r="D66">
        <v>64</v>
      </c>
      <c r="E66">
        <f>VLOOKUP(A66, Athletes_Map!A:B, 2, FALSE)</f>
        <v>63</v>
      </c>
      <c r="F66" t="str">
        <f>VLOOKUP(A66, Athletes_Map!A:C, 3, FALSE)</f>
        <v>Player 063</v>
      </c>
      <c r="G66">
        <v>91</v>
      </c>
      <c r="H66">
        <f t="shared" si="3"/>
        <v>3</v>
      </c>
      <c r="I66" t="str">
        <f t="shared" ref="I66:I129" si="4">IF(H66=3, "Alert", "Normal")</f>
        <v>Alert</v>
      </c>
      <c r="J66" t="str">
        <f t="shared" ref="J66:J129" si="5">IF(B66&gt;150,"Heart Rate",
IF(C66&gt;37.5,"Temperature",
IF(G66&lt;92,"Oxygen","Normal")))</f>
        <v>Heart Rate</v>
      </c>
      <c r="K66">
        <f t="shared" ref="K66:K129" si="6">IF(J66="Heart Rate",B66,IF(J66="Temperature",C66,IF(J66="Oxygen",G66,"")))</f>
        <v>157.34591663176201</v>
      </c>
    </row>
    <row r="67" spans="1:11" x14ac:dyDescent="0.25">
      <c r="A67">
        <v>1716</v>
      </c>
      <c r="B67">
        <v>119.885096810143</v>
      </c>
      <c r="C67">
        <v>33.844113500144701</v>
      </c>
      <c r="D67">
        <v>65</v>
      </c>
      <c r="E67">
        <f>VLOOKUP(A67, Athletes_Map!A:B, 2, FALSE)</f>
        <v>64</v>
      </c>
      <c r="F67" t="str">
        <f>VLOOKUP(A67, Athletes_Map!A:C, 3, FALSE)</f>
        <v>Player 064</v>
      </c>
      <c r="G67">
        <v>95</v>
      </c>
      <c r="H67">
        <f t="shared" ref="H67:H130" si="7">IF(OR(B67&gt;150, C67&gt;37.5, G67&lt;92), 3,
IF(OR(B67&gt;120, C67&gt;37, G67&lt;94), 2,
1))</f>
        <v>1</v>
      </c>
      <c r="I67" t="str">
        <f t="shared" si="4"/>
        <v>Normal</v>
      </c>
      <c r="J67" t="str">
        <f t="shared" si="5"/>
        <v>Normal</v>
      </c>
      <c r="K67" t="str">
        <f t="shared" si="6"/>
        <v/>
      </c>
    </row>
    <row r="68" spans="1:11" x14ac:dyDescent="0.25">
      <c r="A68">
        <v>1717</v>
      </c>
      <c r="B68">
        <v>113.07449826209501</v>
      </c>
      <c r="C68">
        <v>33.466050875076199</v>
      </c>
      <c r="D68">
        <v>66</v>
      </c>
      <c r="E68">
        <f>VLOOKUP(A68, Athletes_Map!A:B, 2, FALSE)</f>
        <v>65</v>
      </c>
      <c r="F68" t="str">
        <f>VLOOKUP(A68, Athletes_Map!A:C, 3, FALSE)</f>
        <v>Player 065</v>
      </c>
      <c r="G68">
        <v>95</v>
      </c>
      <c r="H68">
        <f t="shared" si="7"/>
        <v>1</v>
      </c>
      <c r="I68" t="str">
        <f t="shared" si="4"/>
        <v>Normal</v>
      </c>
      <c r="J68" t="str">
        <f t="shared" si="5"/>
        <v>Normal</v>
      </c>
      <c r="K68" t="str">
        <f t="shared" si="6"/>
        <v/>
      </c>
    </row>
    <row r="69" spans="1:11" x14ac:dyDescent="0.25">
      <c r="A69">
        <v>1728</v>
      </c>
      <c r="B69">
        <v>144.913637759452</v>
      </c>
      <c r="C69">
        <v>31.163446308307901</v>
      </c>
      <c r="D69">
        <v>67</v>
      </c>
      <c r="E69">
        <f>VLOOKUP(A69, Athletes_Map!A:B, 2, FALSE)</f>
        <v>66</v>
      </c>
      <c r="F69" t="str">
        <f>VLOOKUP(A69, Athletes_Map!A:C, 3, FALSE)</f>
        <v>Player 066</v>
      </c>
      <c r="G69">
        <v>92</v>
      </c>
      <c r="H69">
        <f t="shared" si="7"/>
        <v>2</v>
      </c>
      <c r="I69" t="str">
        <f t="shared" si="4"/>
        <v>Normal</v>
      </c>
      <c r="J69" t="str">
        <f t="shared" si="5"/>
        <v>Normal</v>
      </c>
      <c r="K69" t="str">
        <f t="shared" si="6"/>
        <v/>
      </c>
    </row>
    <row r="70" spans="1:11" x14ac:dyDescent="0.25">
      <c r="A70">
        <v>1728</v>
      </c>
      <c r="B70">
        <v>154.281743365767</v>
      </c>
      <c r="C70">
        <v>32.5341083357741</v>
      </c>
      <c r="D70">
        <v>68</v>
      </c>
      <c r="E70">
        <f>VLOOKUP(A70, Athletes_Map!A:B, 2, FALSE)</f>
        <v>66</v>
      </c>
      <c r="F70" t="str">
        <f>VLOOKUP(A70, Athletes_Map!A:C, 3, FALSE)</f>
        <v>Player 066</v>
      </c>
      <c r="G70">
        <v>94</v>
      </c>
      <c r="H70">
        <f t="shared" si="7"/>
        <v>3</v>
      </c>
      <c r="I70" t="str">
        <f t="shared" si="4"/>
        <v>Alert</v>
      </c>
      <c r="J70" t="str">
        <f t="shared" si="5"/>
        <v>Heart Rate</v>
      </c>
      <c r="K70">
        <f t="shared" si="6"/>
        <v>154.281743365767</v>
      </c>
    </row>
    <row r="71" spans="1:11" x14ac:dyDescent="0.25">
      <c r="A71">
        <v>1760</v>
      </c>
      <c r="B71">
        <v>138.667198395583</v>
      </c>
      <c r="C71">
        <v>33.816264432571998</v>
      </c>
      <c r="D71">
        <v>69</v>
      </c>
      <c r="E71">
        <f>VLOOKUP(A71, Athletes_Map!A:B, 2, FALSE)</f>
        <v>67</v>
      </c>
      <c r="F71" t="str">
        <f>VLOOKUP(A71, Athletes_Map!A:C, 3, FALSE)</f>
        <v>Player 067</v>
      </c>
      <c r="G71">
        <v>95</v>
      </c>
      <c r="H71">
        <f t="shared" si="7"/>
        <v>2</v>
      </c>
      <c r="I71" t="str">
        <f t="shared" si="4"/>
        <v>Normal</v>
      </c>
      <c r="J71" t="str">
        <f t="shared" si="5"/>
        <v>Normal</v>
      </c>
      <c r="K71" t="str">
        <f t="shared" si="6"/>
        <v/>
      </c>
    </row>
    <row r="72" spans="1:11" x14ac:dyDescent="0.25">
      <c r="A72">
        <v>1768</v>
      </c>
      <c r="B72">
        <v>134.54263875402199</v>
      </c>
      <c r="C72">
        <v>32.810703620122197</v>
      </c>
      <c r="D72">
        <v>70</v>
      </c>
      <c r="E72">
        <f>VLOOKUP(A72, Athletes_Map!A:B, 2, FALSE)</f>
        <v>68</v>
      </c>
      <c r="F72" t="str">
        <f>VLOOKUP(A72, Athletes_Map!A:C, 3, FALSE)</f>
        <v>Player 068</v>
      </c>
      <c r="G72">
        <v>96</v>
      </c>
      <c r="H72">
        <f t="shared" si="7"/>
        <v>2</v>
      </c>
      <c r="I72" t="str">
        <f t="shared" si="4"/>
        <v>Normal</v>
      </c>
      <c r="J72" t="str">
        <f t="shared" si="5"/>
        <v>Normal</v>
      </c>
      <c r="K72" t="str">
        <f t="shared" si="6"/>
        <v/>
      </c>
    </row>
    <row r="73" spans="1:11" x14ac:dyDescent="0.25">
      <c r="A73">
        <v>1769</v>
      </c>
      <c r="B73">
        <v>149.25996860344699</v>
      </c>
      <c r="C73">
        <v>31.9793576655035</v>
      </c>
      <c r="D73">
        <v>71</v>
      </c>
      <c r="E73">
        <f>VLOOKUP(A73, Athletes_Map!A:B, 2, FALSE)</f>
        <v>69</v>
      </c>
      <c r="F73" t="str">
        <f>VLOOKUP(A73, Athletes_Map!A:C, 3, FALSE)</f>
        <v>Player 069</v>
      </c>
      <c r="G73">
        <v>90</v>
      </c>
      <c r="H73">
        <f t="shared" si="7"/>
        <v>3</v>
      </c>
      <c r="I73" t="str">
        <f t="shared" si="4"/>
        <v>Alert</v>
      </c>
      <c r="J73" t="str">
        <f t="shared" si="5"/>
        <v>Oxygen</v>
      </c>
      <c r="K73">
        <f t="shared" si="6"/>
        <v>90</v>
      </c>
    </row>
    <row r="74" spans="1:11" x14ac:dyDescent="0.25">
      <c r="A74">
        <v>1770</v>
      </c>
      <c r="B74">
        <v>162.80415098034601</v>
      </c>
      <c r="C74">
        <v>33.593646784530002</v>
      </c>
      <c r="D74">
        <v>72</v>
      </c>
      <c r="E74">
        <f>VLOOKUP(A74, Athletes_Map!A:B, 2, FALSE)</f>
        <v>70</v>
      </c>
      <c r="F74" t="str">
        <f>VLOOKUP(A74, Athletes_Map!A:C, 3, FALSE)</f>
        <v>Player 070</v>
      </c>
      <c r="G74">
        <v>91</v>
      </c>
      <c r="H74">
        <f t="shared" si="7"/>
        <v>3</v>
      </c>
      <c r="I74" t="str">
        <f t="shared" si="4"/>
        <v>Alert</v>
      </c>
      <c r="J74" t="str">
        <f t="shared" si="5"/>
        <v>Heart Rate</v>
      </c>
      <c r="K74">
        <f t="shared" si="6"/>
        <v>162.80415098034601</v>
      </c>
    </row>
    <row r="75" spans="1:11" x14ac:dyDescent="0.25">
      <c r="A75">
        <v>1775</v>
      </c>
      <c r="B75">
        <v>141.15603537784099</v>
      </c>
      <c r="C75">
        <v>34.194697816802403</v>
      </c>
      <c r="D75">
        <v>73</v>
      </c>
      <c r="E75">
        <f>VLOOKUP(A75, Athletes_Map!A:B, 2, FALSE)</f>
        <v>71</v>
      </c>
      <c r="F75" t="str">
        <f>VLOOKUP(A75, Athletes_Map!A:C, 3, FALSE)</f>
        <v>Player 071</v>
      </c>
      <c r="G75">
        <v>93</v>
      </c>
      <c r="H75">
        <f t="shared" si="7"/>
        <v>2</v>
      </c>
      <c r="I75" t="str">
        <f t="shared" si="4"/>
        <v>Normal</v>
      </c>
      <c r="J75" t="str">
        <f t="shared" si="5"/>
        <v>Normal</v>
      </c>
      <c r="K75" t="str">
        <f t="shared" si="6"/>
        <v/>
      </c>
    </row>
    <row r="76" spans="1:11" x14ac:dyDescent="0.25">
      <c r="A76">
        <v>1784</v>
      </c>
      <c r="B76">
        <v>150.71600317301599</v>
      </c>
      <c r="C76">
        <v>34.635075423254897</v>
      </c>
      <c r="D76">
        <v>74</v>
      </c>
      <c r="E76">
        <f>VLOOKUP(A76, Athletes_Map!A:B, 2, FALSE)</f>
        <v>72</v>
      </c>
      <c r="F76" t="str">
        <f>VLOOKUP(A76, Athletes_Map!A:C, 3, FALSE)</f>
        <v>Player 072</v>
      </c>
      <c r="G76">
        <v>90</v>
      </c>
      <c r="H76">
        <f t="shared" si="7"/>
        <v>3</v>
      </c>
      <c r="I76" t="str">
        <f t="shared" si="4"/>
        <v>Alert</v>
      </c>
      <c r="J76" t="str">
        <f t="shared" si="5"/>
        <v>Heart Rate</v>
      </c>
      <c r="K76">
        <f t="shared" si="6"/>
        <v>150.71600317301599</v>
      </c>
    </row>
    <row r="77" spans="1:11" x14ac:dyDescent="0.25">
      <c r="A77">
        <v>1793</v>
      </c>
      <c r="B77">
        <v>134.28717035405001</v>
      </c>
      <c r="C77">
        <v>32.734156082899503</v>
      </c>
      <c r="D77">
        <v>75</v>
      </c>
      <c r="E77">
        <f>VLOOKUP(A77, Athletes_Map!A:B, 2, FALSE)</f>
        <v>73</v>
      </c>
      <c r="F77" t="str">
        <f>VLOOKUP(A77, Athletes_Map!A:C, 3, FALSE)</f>
        <v>Player 073</v>
      </c>
      <c r="G77">
        <v>94</v>
      </c>
      <c r="H77">
        <f t="shared" si="7"/>
        <v>2</v>
      </c>
      <c r="I77" t="str">
        <f t="shared" si="4"/>
        <v>Normal</v>
      </c>
      <c r="J77" t="str">
        <f t="shared" si="5"/>
        <v>Normal</v>
      </c>
      <c r="K77" t="str">
        <f t="shared" si="6"/>
        <v/>
      </c>
    </row>
    <row r="78" spans="1:11" x14ac:dyDescent="0.25">
      <c r="A78">
        <v>1814</v>
      </c>
      <c r="B78">
        <v>118.79495125971199</v>
      </c>
      <c r="C78">
        <v>33.9979401434164</v>
      </c>
      <c r="D78">
        <v>76</v>
      </c>
      <c r="E78">
        <f>VLOOKUP(A78, Athletes_Map!A:B, 2, FALSE)</f>
        <v>74</v>
      </c>
      <c r="F78" t="str">
        <f>VLOOKUP(A78, Athletes_Map!A:C, 3, FALSE)</f>
        <v>Player 074</v>
      </c>
      <c r="G78">
        <v>93</v>
      </c>
      <c r="H78">
        <f t="shared" si="7"/>
        <v>2</v>
      </c>
      <c r="I78" t="str">
        <f t="shared" si="4"/>
        <v>Normal</v>
      </c>
      <c r="J78" t="str">
        <f t="shared" si="5"/>
        <v>Normal</v>
      </c>
      <c r="K78" t="str">
        <f t="shared" si="6"/>
        <v/>
      </c>
    </row>
    <row r="79" spans="1:11" x14ac:dyDescent="0.25">
      <c r="A79">
        <v>1823</v>
      </c>
      <c r="B79">
        <v>159.95484145347399</v>
      </c>
      <c r="C79">
        <v>33.670003707854001</v>
      </c>
      <c r="D79">
        <v>77</v>
      </c>
      <c r="E79">
        <f>VLOOKUP(A79, Athletes_Map!A:B, 2, FALSE)</f>
        <v>75</v>
      </c>
      <c r="F79" t="str">
        <f>VLOOKUP(A79, Athletes_Map!A:C, 3, FALSE)</f>
        <v>Player 075</v>
      </c>
      <c r="G79">
        <v>90</v>
      </c>
      <c r="H79">
        <f t="shared" si="7"/>
        <v>3</v>
      </c>
      <c r="I79" t="str">
        <f t="shared" si="4"/>
        <v>Alert</v>
      </c>
      <c r="J79" t="str">
        <f t="shared" si="5"/>
        <v>Heart Rate</v>
      </c>
      <c r="K79">
        <f t="shared" si="6"/>
        <v>159.95484145347399</v>
      </c>
    </row>
    <row r="80" spans="1:11" x14ac:dyDescent="0.25">
      <c r="A80">
        <v>1825</v>
      </c>
      <c r="B80">
        <v>113.931688736526</v>
      </c>
      <c r="C80">
        <v>34.627900062993497</v>
      </c>
      <c r="D80">
        <v>78</v>
      </c>
      <c r="E80">
        <f>VLOOKUP(A80, Athletes_Map!A:B, 2, FALSE)</f>
        <v>76</v>
      </c>
      <c r="F80" t="str">
        <f>VLOOKUP(A80, Athletes_Map!A:C, 3, FALSE)</f>
        <v>Player 076</v>
      </c>
      <c r="G80">
        <v>95</v>
      </c>
      <c r="H80">
        <f t="shared" si="7"/>
        <v>1</v>
      </c>
      <c r="I80" t="str">
        <f t="shared" si="4"/>
        <v>Normal</v>
      </c>
      <c r="J80" t="str">
        <f t="shared" si="5"/>
        <v>Normal</v>
      </c>
      <c r="K80" t="str">
        <f t="shared" si="6"/>
        <v/>
      </c>
    </row>
    <row r="81" spans="1:11" x14ac:dyDescent="0.25">
      <c r="A81">
        <v>1827</v>
      </c>
      <c r="B81">
        <v>138.52883110554399</v>
      </c>
      <c r="C81">
        <v>34.225818471338201</v>
      </c>
      <c r="D81">
        <v>79</v>
      </c>
      <c r="E81">
        <f>VLOOKUP(A81, Athletes_Map!A:B, 2, FALSE)</f>
        <v>77</v>
      </c>
      <c r="F81" t="str">
        <f>VLOOKUP(A81, Athletes_Map!A:C, 3, FALSE)</f>
        <v>Player 077</v>
      </c>
      <c r="G81">
        <v>94</v>
      </c>
      <c r="H81">
        <f t="shared" si="7"/>
        <v>2</v>
      </c>
      <c r="I81" t="str">
        <f t="shared" si="4"/>
        <v>Normal</v>
      </c>
      <c r="J81" t="str">
        <f t="shared" si="5"/>
        <v>Normal</v>
      </c>
      <c r="K81" t="str">
        <f t="shared" si="6"/>
        <v/>
      </c>
    </row>
    <row r="82" spans="1:11" x14ac:dyDescent="0.25">
      <c r="A82">
        <v>1830</v>
      </c>
      <c r="B82">
        <v>125.33627075401201</v>
      </c>
      <c r="C82">
        <v>32.028743014700602</v>
      </c>
      <c r="D82">
        <v>80</v>
      </c>
      <c r="E82">
        <f>VLOOKUP(A82, Athletes_Map!A:B, 2, FALSE)</f>
        <v>78</v>
      </c>
      <c r="F82" t="str">
        <f>VLOOKUP(A82, Athletes_Map!A:C, 3, FALSE)</f>
        <v>Player 078</v>
      </c>
      <c r="G82">
        <v>95</v>
      </c>
      <c r="H82">
        <f t="shared" si="7"/>
        <v>2</v>
      </c>
      <c r="I82" t="str">
        <f t="shared" si="4"/>
        <v>Normal</v>
      </c>
      <c r="J82" t="str">
        <f t="shared" si="5"/>
        <v>Normal</v>
      </c>
      <c r="K82" t="str">
        <f t="shared" si="6"/>
        <v/>
      </c>
    </row>
    <row r="83" spans="1:11" x14ac:dyDescent="0.25">
      <c r="A83">
        <v>1846</v>
      </c>
      <c r="B83">
        <v>158.932629732913</v>
      </c>
      <c r="C83">
        <v>33.387822578949802</v>
      </c>
      <c r="D83">
        <v>81</v>
      </c>
      <c r="E83">
        <f>VLOOKUP(A83, Athletes_Map!A:B, 2, FALSE)</f>
        <v>79</v>
      </c>
      <c r="F83" t="str">
        <f>VLOOKUP(A83, Athletes_Map!A:C, 3, FALSE)</f>
        <v>Player 079</v>
      </c>
      <c r="G83">
        <v>92</v>
      </c>
      <c r="H83">
        <f t="shared" si="7"/>
        <v>3</v>
      </c>
      <c r="I83" t="str">
        <f t="shared" si="4"/>
        <v>Alert</v>
      </c>
      <c r="J83" t="str">
        <f t="shared" si="5"/>
        <v>Heart Rate</v>
      </c>
      <c r="K83">
        <f t="shared" si="6"/>
        <v>158.932629732913</v>
      </c>
    </row>
    <row r="84" spans="1:11" x14ac:dyDescent="0.25">
      <c r="A84">
        <v>1851</v>
      </c>
      <c r="B84">
        <v>128.02695731184201</v>
      </c>
      <c r="C84">
        <v>33.760393229728798</v>
      </c>
      <c r="D84">
        <v>82</v>
      </c>
      <c r="E84">
        <f>VLOOKUP(A84, Athletes_Map!A:B, 2, FALSE)</f>
        <v>80</v>
      </c>
      <c r="F84" t="str">
        <f>VLOOKUP(A84, Athletes_Map!A:C, 3, FALSE)</f>
        <v>Player 080</v>
      </c>
      <c r="G84">
        <v>95</v>
      </c>
      <c r="H84">
        <f t="shared" si="7"/>
        <v>2</v>
      </c>
      <c r="I84" t="str">
        <f t="shared" si="4"/>
        <v>Normal</v>
      </c>
      <c r="J84" t="str">
        <f t="shared" si="5"/>
        <v>Normal</v>
      </c>
      <c r="K84" t="str">
        <f t="shared" si="6"/>
        <v/>
      </c>
    </row>
    <row r="85" spans="1:11" x14ac:dyDescent="0.25">
      <c r="A85">
        <v>1853</v>
      </c>
      <c r="B85">
        <v>148.96446627227101</v>
      </c>
      <c r="C85">
        <v>31.359769964062998</v>
      </c>
      <c r="D85">
        <v>83</v>
      </c>
      <c r="E85">
        <f>VLOOKUP(A85, Athletes_Map!A:B, 2, FALSE)</f>
        <v>81</v>
      </c>
      <c r="F85" t="str">
        <f>VLOOKUP(A85, Athletes_Map!A:C, 3, FALSE)</f>
        <v>Player 081</v>
      </c>
      <c r="G85">
        <v>90</v>
      </c>
      <c r="H85">
        <f t="shared" si="7"/>
        <v>3</v>
      </c>
      <c r="I85" t="str">
        <f t="shared" si="4"/>
        <v>Alert</v>
      </c>
      <c r="J85" t="str">
        <f t="shared" si="5"/>
        <v>Oxygen</v>
      </c>
      <c r="K85">
        <f t="shared" si="6"/>
        <v>90</v>
      </c>
    </row>
    <row r="86" spans="1:11" x14ac:dyDescent="0.25">
      <c r="A86">
        <v>1854</v>
      </c>
      <c r="B86">
        <v>130.72022311548901</v>
      </c>
      <c r="C86">
        <v>32.627630753538099</v>
      </c>
      <c r="D86">
        <v>84</v>
      </c>
      <c r="E86">
        <f>VLOOKUP(A86, Athletes_Map!A:B, 2, FALSE)</f>
        <v>82</v>
      </c>
      <c r="F86" t="str">
        <f>VLOOKUP(A86, Athletes_Map!A:C, 3, FALSE)</f>
        <v>Player 082</v>
      </c>
      <c r="G86">
        <v>94</v>
      </c>
      <c r="H86">
        <f t="shared" si="7"/>
        <v>2</v>
      </c>
      <c r="I86" t="str">
        <f t="shared" si="4"/>
        <v>Normal</v>
      </c>
      <c r="J86" t="str">
        <f t="shared" si="5"/>
        <v>Normal</v>
      </c>
      <c r="K86" t="str">
        <f t="shared" si="6"/>
        <v/>
      </c>
    </row>
    <row r="87" spans="1:11" x14ac:dyDescent="0.25">
      <c r="A87">
        <v>1860</v>
      </c>
      <c r="B87">
        <v>119.443666248182</v>
      </c>
      <c r="C87">
        <v>33.087448917618602</v>
      </c>
      <c r="D87">
        <v>85</v>
      </c>
      <c r="E87">
        <f>VLOOKUP(A87, Athletes_Map!A:B, 2, FALSE)</f>
        <v>83</v>
      </c>
      <c r="F87" t="str">
        <f>VLOOKUP(A87, Athletes_Map!A:C, 3, FALSE)</f>
        <v>Player 083</v>
      </c>
      <c r="G87">
        <v>93</v>
      </c>
      <c r="H87">
        <f t="shared" si="7"/>
        <v>2</v>
      </c>
      <c r="I87" t="str">
        <f t="shared" si="4"/>
        <v>Normal</v>
      </c>
      <c r="J87" t="str">
        <f t="shared" si="5"/>
        <v>Normal</v>
      </c>
      <c r="K87" t="str">
        <f t="shared" si="6"/>
        <v/>
      </c>
    </row>
    <row r="88" spans="1:11" x14ac:dyDescent="0.25">
      <c r="A88">
        <v>1863</v>
      </c>
      <c r="B88">
        <v>143.592364382651</v>
      </c>
      <c r="C88">
        <v>33.703398960471297</v>
      </c>
      <c r="D88">
        <v>86</v>
      </c>
      <c r="E88">
        <f>VLOOKUP(A88, Athletes_Map!A:B, 2, FALSE)</f>
        <v>84</v>
      </c>
      <c r="F88" t="str">
        <f>VLOOKUP(A88, Athletes_Map!A:C, 3, FALSE)</f>
        <v>Player 084</v>
      </c>
      <c r="G88">
        <v>93</v>
      </c>
      <c r="H88">
        <f t="shared" si="7"/>
        <v>2</v>
      </c>
      <c r="I88" t="str">
        <f t="shared" si="4"/>
        <v>Normal</v>
      </c>
      <c r="J88" t="str">
        <f t="shared" si="5"/>
        <v>Normal</v>
      </c>
      <c r="K88" t="str">
        <f t="shared" si="6"/>
        <v/>
      </c>
    </row>
    <row r="89" spans="1:11" x14ac:dyDescent="0.25">
      <c r="A89">
        <v>1876</v>
      </c>
      <c r="B89">
        <v>134.51290815478001</v>
      </c>
      <c r="C89">
        <v>30.777788722110401</v>
      </c>
      <c r="D89">
        <v>87</v>
      </c>
      <c r="E89">
        <f>VLOOKUP(A89, Athletes_Map!A:B, 2, FALSE)</f>
        <v>85</v>
      </c>
      <c r="F89" t="str">
        <f>VLOOKUP(A89, Athletes_Map!A:C, 3, FALSE)</f>
        <v>Player 085</v>
      </c>
      <c r="G89">
        <v>95</v>
      </c>
      <c r="H89">
        <f t="shared" si="7"/>
        <v>2</v>
      </c>
      <c r="I89" t="str">
        <f t="shared" si="4"/>
        <v>Normal</v>
      </c>
      <c r="J89" t="str">
        <f t="shared" si="5"/>
        <v>Normal</v>
      </c>
      <c r="K89" t="str">
        <f t="shared" si="6"/>
        <v/>
      </c>
    </row>
    <row r="90" spans="1:11" x14ac:dyDescent="0.25">
      <c r="A90">
        <v>1876</v>
      </c>
      <c r="B90">
        <v>121.972862124163</v>
      </c>
      <c r="C90">
        <v>32.086373676229201</v>
      </c>
      <c r="D90">
        <v>88</v>
      </c>
      <c r="E90">
        <f>VLOOKUP(A90, Athletes_Map!A:B, 2, FALSE)</f>
        <v>85</v>
      </c>
      <c r="F90" t="str">
        <f>VLOOKUP(A90, Athletes_Map!A:C, 3, FALSE)</f>
        <v>Player 085</v>
      </c>
      <c r="G90">
        <v>96</v>
      </c>
      <c r="H90">
        <f t="shared" si="7"/>
        <v>2</v>
      </c>
      <c r="I90" t="str">
        <f t="shared" si="4"/>
        <v>Normal</v>
      </c>
      <c r="J90" t="str">
        <f t="shared" si="5"/>
        <v>Normal</v>
      </c>
      <c r="K90" t="str">
        <f t="shared" si="6"/>
        <v/>
      </c>
    </row>
    <row r="91" spans="1:11" x14ac:dyDescent="0.25">
      <c r="A91">
        <v>1878</v>
      </c>
      <c r="B91">
        <v>135.52182100421601</v>
      </c>
      <c r="C91">
        <v>33.2016717671601</v>
      </c>
      <c r="D91">
        <v>89</v>
      </c>
      <c r="E91">
        <f>VLOOKUP(A91, Athletes_Map!A:B, 2, FALSE)</f>
        <v>86</v>
      </c>
      <c r="F91" t="str">
        <f>VLOOKUP(A91, Athletes_Map!A:C, 3, FALSE)</f>
        <v>Player 086</v>
      </c>
      <c r="G91">
        <v>94</v>
      </c>
      <c r="H91">
        <f t="shared" si="7"/>
        <v>2</v>
      </c>
      <c r="I91" t="str">
        <f t="shared" si="4"/>
        <v>Normal</v>
      </c>
      <c r="J91" t="str">
        <f t="shared" si="5"/>
        <v>Normal</v>
      </c>
      <c r="K91" t="str">
        <f t="shared" si="6"/>
        <v/>
      </c>
    </row>
    <row r="92" spans="1:11" x14ac:dyDescent="0.25">
      <c r="A92">
        <v>1918</v>
      </c>
      <c r="B92">
        <v>128.546403223157</v>
      </c>
      <c r="C92">
        <v>33.649090222273102</v>
      </c>
      <c r="D92">
        <v>90</v>
      </c>
      <c r="E92">
        <f>VLOOKUP(A92, Athletes_Map!A:B, 2, FALSE)</f>
        <v>87</v>
      </c>
      <c r="F92" t="str">
        <f>VLOOKUP(A92, Athletes_Map!A:C, 3, FALSE)</f>
        <v>Player 087</v>
      </c>
      <c r="G92">
        <v>94</v>
      </c>
      <c r="H92">
        <f t="shared" si="7"/>
        <v>2</v>
      </c>
      <c r="I92" t="str">
        <f t="shared" si="4"/>
        <v>Normal</v>
      </c>
      <c r="J92" t="str">
        <f t="shared" si="5"/>
        <v>Normal</v>
      </c>
      <c r="K92" t="str">
        <f t="shared" si="6"/>
        <v/>
      </c>
    </row>
    <row r="93" spans="1:11" x14ac:dyDescent="0.25">
      <c r="A93">
        <v>1922</v>
      </c>
      <c r="B93">
        <v>132.9969184704</v>
      </c>
      <c r="C93">
        <v>34.671817509521802</v>
      </c>
      <c r="D93">
        <v>91</v>
      </c>
      <c r="E93">
        <f>VLOOKUP(A93, Athletes_Map!A:B, 2, FALSE)</f>
        <v>88</v>
      </c>
      <c r="F93" t="str">
        <f>VLOOKUP(A93, Athletes_Map!A:C, 3, FALSE)</f>
        <v>Player 088</v>
      </c>
      <c r="G93">
        <v>96</v>
      </c>
      <c r="H93">
        <f t="shared" si="7"/>
        <v>2</v>
      </c>
      <c r="I93" t="str">
        <f t="shared" si="4"/>
        <v>Normal</v>
      </c>
      <c r="J93" t="str">
        <f t="shared" si="5"/>
        <v>Normal</v>
      </c>
      <c r="K93" t="str">
        <f t="shared" si="6"/>
        <v/>
      </c>
    </row>
    <row r="94" spans="1:11" x14ac:dyDescent="0.25">
      <c r="A94">
        <v>1924</v>
      </c>
      <c r="B94">
        <v>133.884618446845</v>
      </c>
      <c r="C94">
        <v>31.934676586153699</v>
      </c>
      <c r="D94">
        <v>92</v>
      </c>
      <c r="E94">
        <f>VLOOKUP(A94, Athletes_Map!A:B, 2, FALSE)</f>
        <v>89</v>
      </c>
      <c r="F94" t="str">
        <f>VLOOKUP(A94, Athletes_Map!A:C, 3, FALSE)</f>
        <v>Player 089</v>
      </c>
      <c r="G94">
        <v>96</v>
      </c>
      <c r="H94">
        <f t="shared" si="7"/>
        <v>2</v>
      </c>
      <c r="I94" t="str">
        <f t="shared" si="4"/>
        <v>Normal</v>
      </c>
      <c r="J94" t="str">
        <f t="shared" si="5"/>
        <v>Normal</v>
      </c>
      <c r="K94" t="str">
        <f t="shared" si="6"/>
        <v/>
      </c>
    </row>
    <row r="95" spans="1:11" x14ac:dyDescent="0.25">
      <c r="A95">
        <v>1928</v>
      </c>
      <c r="B95">
        <v>121.53018751512199</v>
      </c>
      <c r="C95">
        <v>35.227976923874301</v>
      </c>
      <c r="D95">
        <v>93</v>
      </c>
      <c r="E95">
        <f>VLOOKUP(A95, Athletes_Map!A:B, 2, FALSE)</f>
        <v>90</v>
      </c>
      <c r="F95" t="str">
        <f>VLOOKUP(A95, Athletes_Map!A:C, 3, FALSE)</f>
        <v>Player 090</v>
      </c>
      <c r="G95">
        <v>93</v>
      </c>
      <c r="H95">
        <f t="shared" si="7"/>
        <v>2</v>
      </c>
      <c r="I95" t="str">
        <f t="shared" si="4"/>
        <v>Normal</v>
      </c>
      <c r="J95" t="str">
        <f t="shared" si="5"/>
        <v>Normal</v>
      </c>
      <c r="K95" t="str">
        <f t="shared" si="6"/>
        <v/>
      </c>
    </row>
    <row r="96" spans="1:11" x14ac:dyDescent="0.25">
      <c r="A96">
        <v>1950</v>
      </c>
      <c r="B96">
        <v>130.470422161969</v>
      </c>
      <c r="C96">
        <v>32.904733890713104</v>
      </c>
      <c r="D96">
        <v>94</v>
      </c>
      <c r="E96">
        <f>VLOOKUP(A96, Athletes_Map!A:B, 2, FALSE)</f>
        <v>91</v>
      </c>
      <c r="F96" t="str">
        <f>VLOOKUP(A96, Athletes_Map!A:C, 3, FALSE)</f>
        <v>Player 091</v>
      </c>
      <c r="G96">
        <v>96</v>
      </c>
      <c r="H96">
        <f t="shared" si="7"/>
        <v>2</v>
      </c>
      <c r="I96" t="str">
        <f t="shared" si="4"/>
        <v>Normal</v>
      </c>
      <c r="J96" t="str">
        <f t="shared" si="5"/>
        <v>Normal</v>
      </c>
      <c r="K96" t="str">
        <f t="shared" si="6"/>
        <v/>
      </c>
    </row>
    <row r="97" spans="1:11" x14ac:dyDescent="0.25">
      <c r="A97">
        <v>1951</v>
      </c>
      <c r="B97">
        <v>138.369219525392</v>
      </c>
      <c r="C97">
        <v>32.621644013656599</v>
      </c>
      <c r="D97">
        <v>95</v>
      </c>
      <c r="E97">
        <f>VLOOKUP(A97, Athletes_Map!A:B, 2, FALSE)</f>
        <v>92</v>
      </c>
      <c r="F97" t="str">
        <f>VLOOKUP(A97, Athletes_Map!A:C, 3, FALSE)</f>
        <v>Player 092</v>
      </c>
      <c r="G97">
        <v>96</v>
      </c>
      <c r="H97">
        <f t="shared" si="7"/>
        <v>2</v>
      </c>
      <c r="I97" t="str">
        <f t="shared" si="4"/>
        <v>Normal</v>
      </c>
      <c r="J97" t="str">
        <f t="shared" si="5"/>
        <v>Normal</v>
      </c>
      <c r="K97" t="str">
        <f t="shared" si="6"/>
        <v/>
      </c>
    </row>
    <row r="98" spans="1:11" x14ac:dyDescent="0.25">
      <c r="A98">
        <v>1953</v>
      </c>
      <c r="B98">
        <v>129.38649846266401</v>
      </c>
      <c r="C98">
        <v>33.589806776696101</v>
      </c>
      <c r="D98">
        <v>96</v>
      </c>
      <c r="E98">
        <f>VLOOKUP(A98, Athletes_Map!A:B, 2, FALSE)</f>
        <v>93</v>
      </c>
      <c r="F98" t="str">
        <f>VLOOKUP(A98, Athletes_Map!A:C, 3, FALSE)</f>
        <v>Player 093</v>
      </c>
      <c r="G98">
        <v>93</v>
      </c>
      <c r="H98">
        <f t="shared" si="7"/>
        <v>2</v>
      </c>
      <c r="I98" t="str">
        <f t="shared" si="4"/>
        <v>Normal</v>
      </c>
      <c r="J98" t="str">
        <f t="shared" si="5"/>
        <v>Normal</v>
      </c>
      <c r="K98" t="str">
        <f t="shared" si="6"/>
        <v/>
      </c>
    </row>
    <row r="99" spans="1:11" x14ac:dyDescent="0.25">
      <c r="A99">
        <v>1956</v>
      </c>
      <c r="B99">
        <v>140.58043051540599</v>
      </c>
      <c r="C99">
        <v>32.889786282797999</v>
      </c>
      <c r="D99">
        <v>97</v>
      </c>
      <c r="E99">
        <f>VLOOKUP(A99, Athletes_Map!A:B, 2, FALSE)</f>
        <v>94</v>
      </c>
      <c r="F99" t="str">
        <f>VLOOKUP(A99, Athletes_Map!A:C, 3, FALSE)</f>
        <v>Player 094</v>
      </c>
      <c r="G99">
        <v>94</v>
      </c>
      <c r="H99">
        <f t="shared" si="7"/>
        <v>2</v>
      </c>
      <c r="I99" t="str">
        <f t="shared" si="4"/>
        <v>Normal</v>
      </c>
      <c r="J99" t="str">
        <f t="shared" si="5"/>
        <v>Normal</v>
      </c>
      <c r="K99" t="str">
        <f t="shared" si="6"/>
        <v/>
      </c>
    </row>
    <row r="100" spans="1:11" x14ac:dyDescent="0.25">
      <c r="A100">
        <v>1966</v>
      </c>
      <c r="B100">
        <v>144.04743592499401</v>
      </c>
      <c r="C100">
        <v>34.666829235555298</v>
      </c>
      <c r="D100">
        <v>98</v>
      </c>
      <c r="E100">
        <f>VLOOKUP(A100, Athletes_Map!A:B, 2, FALSE)</f>
        <v>95</v>
      </c>
      <c r="F100" t="str">
        <f>VLOOKUP(A100, Athletes_Map!A:C, 3, FALSE)</f>
        <v>Player 095</v>
      </c>
      <c r="G100">
        <v>90</v>
      </c>
      <c r="H100">
        <f t="shared" si="7"/>
        <v>3</v>
      </c>
      <c r="I100" t="str">
        <f t="shared" si="4"/>
        <v>Alert</v>
      </c>
      <c r="J100" t="str">
        <f t="shared" si="5"/>
        <v>Oxygen</v>
      </c>
      <c r="K100">
        <f t="shared" si="6"/>
        <v>90</v>
      </c>
    </row>
    <row r="101" spans="1:11" x14ac:dyDescent="0.25">
      <c r="A101">
        <v>1980</v>
      </c>
      <c r="B101">
        <v>146.39534560464401</v>
      </c>
      <c r="C101">
        <v>34.340200530635897</v>
      </c>
      <c r="D101">
        <v>99</v>
      </c>
      <c r="E101">
        <f>VLOOKUP(A101, Athletes_Map!A:B, 2, FALSE)</f>
        <v>96</v>
      </c>
      <c r="F101" t="str">
        <f>VLOOKUP(A101, Athletes_Map!A:C, 3, FALSE)</f>
        <v>Player 096</v>
      </c>
      <c r="G101">
        <v>90</v>
      </c>
      <c r="H101">
        <f t="shared" si="7"/>
        <v>3</v>
      </c>
      <c r="I101" t="str">
        <f t="shared" si="4"/>
        <v>Alert</v>
      </c>
      <c r="J101" t="str">
        <f t="shared" si="5"/>
        <v>Oxygen</v>
      </c>
      <c r="K101">
        <f t="shared" si="6"/>
        <v>90</v>
      </c>
    </row>
    <row r="102" spans="1:11" x14ac:dyDescent="0.25">
      <c r="A102">
        <v>1984</v>
      </c>
      <c r="B102">
        <v>143.57633000661099</v>
      </c>
      <c r="C102">
        <v>32.774086397896397</v>
      </c>
      <c r="D102">
        <v>100</v>
      </c>
      <c r="E102">
        <f>VLOOKUP(A102, Athletes_Map!A:B, 2, FALSE)</f>
        <v>97</v>
      </c>
      <c r="F102" t="str">
        <f>VLOOKUP(A102, Athletes_Map!A:C, 3, FALSE)</f>
        <v>Player 097</v>
      </c>
      <c r="G102">
        <v>93</v>
      </c>
      <c r="H102">
        <f t="shared" si="7"/>
        <v>2</v>
      </c>
      <c r="I102" t="str">
        <f t="shared" si="4"/>
        <v>Normal</v>
      </c>
      <c r="J102" t="str">
        <f t="shared" si="5"/>
        <v>Normal</v>
      </c>
      <c r="K102" t="str">
        <f t="shared" si="6"/>
        <v/>
      </c>
    </row>
    <row r="103" spans="1:11" x14ac:dyDescent="0.25">
      <c r="A103">
        <v>1995</v>
      </c>
      <c r="B103">
        <v>155.583112746512</v>
      </c>
      <c r="C103">
        <v>33.951810825862403</v>
      </c>
      <c r="D103">
        <v>101</v>
      </c>
      <c r="E103">
        <f>VLOOKUP(A103, Athletes_Map!A:B, 2, FALSE)</f>
        <v>98</v>
      </c>
      <c r="F103" t="str">
        <f>VLOOKUP(A103, Athletes_Map!A:C, 3, FALSE)</f>
        <v>Player 098</v>
      </c>
      <c r="G103">
        <v>91</v>
      </c>
      <c r="H103">
        <f t="shared" si="7"/>
        <v>3</v>
      </c>
      <c r="I103" t="str">
        <f t="shared" si="4"/>
        <v>Alert</v>
      </c>
      <c r="J103" t="str">
        <f t="shared" si="5"/>
        <v>Heart Rate</v>
      </c>
      <c r="K103">
        <f t="shared" si="6"/>
        <v>155.583112746512</v>
      </c>
    </row>
    <row r="104" spans="1:11" x14ac:dyDescent="0.25">
      <c r="A104">
        <v>2015</v>
      </c>
      <c r="B104">
        <v>159.261953999583</v>
      </c>
      <c r="C104">
        <v>30.5738416320456</v>
      </c>
      <c r="D104">
        <v>102</v>
      </c>
      <c r="E104">
        <f>VLOOKUP(A104, Athletes_Map!A:B, 2, FALSE)</f>
        <v>99</v>
      </c>
      <c r="F104" t="str">
        <f>VLOOKUP(A104, Athletes_Map!A:C, 3, FALSE)</f>
        <v>Player 099</v>
      </c>
      <c r="G104">
        <v>92</v>
      </c>
      <c r="H104">
        <f t="shared" si="7"/>
        <v>3</v>
      </c>
      <c r="I104" t="str">
        <f t="shared" si="4"/>
        <v>Alert</v>
      </c>
      <c r="J104" t="str">
        <f t="shared" si="5"/>
        <v>Heart Rate</v>
      </c>
      <c r="K104">
        <f t="shared" si="6"/>
        <v>159.261953999583</v>
      </c>
    </row>
    <row r="105" spans="1:11" x14ac:dyDescent="0.25">
      <c r="A105">
        <v>2016</v>
      </c>
      <c r="B105">
        <v>140.120594686277</v>
      </c>
      <c r="C105">
        <v>32.450581936581003</v>
      </c>
      <c r="D105">
        <v>103</v>
      </c>
      <c r="E105">
        <f>VLOOKUP(A105, Athletes_Map!A:B, 2, FALSE)</f>
        <v>100</v>
      </c>
      <c r="F105" t="str">
        <f>VLOOKUP(A105, Athletes_Map!A:C, 3, FALSE)</f>
        <v>Player 100</v>
      </c>
      <c r="G105">
        <v>93</v>
      </c>
      <c r="H105">
        <f t="shared" si="7"/>
        <v>2</v>
      </c>
      <c r="I105" t="str">
        <f t="shared" si="4"/>
        <v>Normal</v>
      </c>
      <c r="J105" t="str">
        <f t="shared" si="5"/>
        <v>Normal</v>
      </c>
      <c r="K105" t="str">
        <f t="shared" si="6"/>
        <v/>
      </c>
    </row>
    <row r="106" spans="1:11" x14ac:dyDescent="0.25">
      <c r="A106">
        <v>2021</v>
      </c>
      <c r="B106">
        <v>141.95163410723299</v>
      </c>
      <c r="C106">
        <v>34.283725745980597</v>
      </c>
      <c r="D106">
        <v>104</v>
      </c>
      <c r="E106">
        <f>VLOOKUP(A106, Athletes_Map!A:B, 2, FALSE)</f>
        <v>101</v>
      </c>
      <c r="F106" t="str">
        <f>VLOOKUP(A106, Athletes_Map!A:C, 3, FALSE)</f>
        <v>Player 101</v>
      </c>
      <c r="G106">
        <v>91</v>
      </c>
      <c r="H106">
        <f t="shared" si="7"/>
        <v>3</v>
      </c>
      <c r="I106" t="str">
        <f t="shared" si="4"/>
        <v>Alert</v>
      </c>
      <c r="J106" t="str">
        <f t="shared" si="5"/>
        <v>Oxygen</v>
      </c>
      <c r="K106">
        <f t="shared" si="6"/>
        <v>91</v>
      </c>
    </row>
    <row r="107" spans="1:11" x14ac:dyDescent="0.25">
      <c r="A107">
        <v>2028</v>
      </c>
      <c r="B107">
        <v>130.04962728896899</v>
      </c>
      <c r="C107">
        <v>31.525867402481001</v>
      </c>
      <c r="D107">
        <v>105</v>
      </c>
      <c r="E107">
        <f>VLOOKUP(A107, Athletes_Map!A:B, 2, FALSE)</f>
        <v>102</v>
      </c>
      <c r="F107" t="str">
        <f>VLOOKUP(A107, Athletes_Map!A:C, 3, FALSE)</f>
        <v>Player 102</v>
      </c>
      <c r="G107">
        <v>94</v>
      </c>
      <c r="H107">
        <f t="shared" si="7"/>
        <v>2</v>
      </c>
      <c r="I107" t="str">
        <f t="shared" si="4"/>
        <v>Normal</v>
      </c>
      <c r="J107" t="str">
        <f t="shared" si="5"/>
        <v>Normal</v>
      </c>
      <c r="K107" t="str">
        <f t="shared" si="6"/>
        <v/>
      </c>
    </row>
    <row r="108" spans="1:11" x14ac:dyDescent="0.25">
      <c r="A108">
        <v>2045</v>
      </c>
      <c r="B108">
        <v>133.68499477853999</v>
      </c>
      <c r="C108">
        <v>33.206705263693202</v>
      </c>
      <c r="D108">
        <v>106</v>
      </c>
      <c r="E108">
        <f>VLOOKUP(A108, Athletes_Map!A:B, 2, FALSE)</f>
        <v>103</v>
      </c>
      <c r="F108" t="str">
        <f>VLOOKUP(A108, Athletes_Map!A:C, 3, FALSE)</f>
        <v>Player 103</v>
      </c>
      <c r="G108">
        <v>94</v>
      </c>
      <c r="H108">
        <f t="shared" si="7"/>
        <v>2</v>
      </c>
      <c r="I108" t="str">
        <f t="shared" si="4"/>
        <v>Normal</v>
      </c>
      <c r="J108" t="str">
        <f t="shared" si="5"/>
        <v>Normal</v>
      </c>
      <c r="K108" t="str">
        <f t="shared" si="6"/>
        <v/>
      </c>
    </row>
    <row r="109" spans="1:11" x14ac:dyDescent="0.25">
      <c r="A109">
        <v>2059</v>
      </c>
      <c r="B109">
        <v>125.75449422589899</v>
      </c>
      <c r="C109">
        <v>33.191355008164898</v>
      </c>
      <c r="D109">
        <v>107</v>
      </c>
      <c r="E109">
        <f>VLOOKUP(A109, Athletes_Map!A:B, 2, FALSE)</f>
        <v>104</v>
      </c>
      <c r="F109" t="str">
        <f>VLOOKUP(A109, Athletes_Map!A:C, 3, FALSE)</f>
        <v>Player 104</v>
      </c>
      <c r="G109">
        <v>96</v>
      </c>
      <c r="H109">
        <f t="shared" si="7"/>
        <v>2</v>
      </c>
      <c r="I109" t="str">
        <f t="shared" si="4"/>
        <v>Normal</v>
      </c>
      <c r="J109" t="str">
        <f t="shared" si="5"/>
        <v>Normal</v>
      </c>
      <c r="K109" t="str">
        <f t="shared" si="6"/>
        <v/>
      </c>
    </row>
    <row r="110" spans="1:11" x14ac:dyDescent="0.25">
      <c r="A110">
        <v>2060</v>
      </c>
      <c r="B110">
        <v>139.866788986453</v>
      </c>
      <c r="C110">
        <v>31.4651631165362</v>
      </c>
      <c r="D110">
        <v>108</v>
      </c>
      <c r="E110">
        <f>VLOOKUP(A110, Athletes_Map!A:B, 2, FALSE)</f>
        <v>105</v>
      </c>
      <c r="F110" t="str">
        <f>VLOOKUP(A110, Athletes_Map!A:C, 3, FALSE)</f>
        <v>Player 105</v>
      </c>
      <c r="G110">
        <v>95</v>
      </c>
      <c r="H110">
        <f t="shared" si="7"/>
        <v>2</v>
      </c>
      <c r="I110" t="str">
        <f t="shared" si="4"/>
        <v>Normal</v>
      </c>
      <c r="J110" t="str">
        <f t="shared" si="5"/>
        <v>Normal</v>
      </c>
      <c r="K110" t="str">
        <f t="shared" si="6"/>
        <v/>
      </c>
    </row>
    <row r="111" spans="1:11" x14ac:dyDescent="0.25">
      <c r="A111">
        <v>2062</v>
      </c>
      <c r="B111">
        <v>128.50337232982699</v>
      </c>
      <c r="C111">
        <v>33.101001876222803</v>
      </c>
      <c r="D111">
        <v>109</v>
      </c>
      <c r="E111">
        <f>VLOOKUP(A111, Athletes_Map!A:B, 2, FALSE)</f>
        <v>106</v>
      </c>
      <c r="F111" t="str">
        <f>VLOOKUP(A111, Athletes_Map!A:C, 3, FALSE)</f>
        <v>Player 106</v>
      </c>
      <c r="G111">
        <v>94</v>
      </c>
      <c r="H111">
        <f t="shared" si="7"/>
        <v>2</v>
      </c>
      <c r="I111" t="str">
        <f t="shared" si="4"/>
        <v>Normal</v>
      </c>
      <c r="J111" t="str">
        <f t="shared" si="5"/>
        <v>Normal</v>
      </c>
      <c r="K111" t="str">
        <f t="shared" si="6"/>
        <v/>
      </c>
    </row>
    <row r="112" spans="1:11" x14ac:dyDescent="0.25">
      <c r="A112">
        <v>2062</v>
      </c>
      <c r="B112">
        <v>118.215806653219</v>
      </c>
      <c r="C112">
        <v>34.135043572420898</v>
      </c>
      <c r="D112">
        <v>110</v>
      </c>
      <c r="E112">
        <f>VLOOKUP(A112, Athletes_Map!A:B, 2, FALSE)</f>
        <v>106</v>
      </c>
      <c r="F112" t="str">
        <f>VLOOKUP(A112, Athletes_Map!A:C, 3, FALSE)</f>
        <v>Player 106</v>
      </c>
      <c r="G112">
        <v>96</v>
      </c>
      <c r="H112">
        <f t="shared" si="7"/>
        <v>1</v>
      </c>
      <c r="I112" t="str">
        <f t="shared" si="4"/>
        <v>Normal</v>
      </c>
      <c r="J112" t="str">
        <f t="shared" si="5"/>
        <v>Normal</v>
      </c>
      <c r="K112" t="str">
        <f t="shared" si="6"/>
        <v/>
      </c>
    </row>
    <row r="113" spans="1:11" x14ac:dyDescent="0.25">
      <c r="A113">
        <v>2063</v>
      </c>
      <c r="B113">
        <v>142.62316769765499</v>
      </c>
      <c r="C113">
        <v>31.4002459742666</v>
      </c>
      <c r="D113">
        <v>111</v>
      </c>
      <c r="E113">
        <f>VLOOKUP(A113, Athletes_Map!A:B, 2, FALSE)</f>
        <v>107</v>
      </c>
      <c r="F113" t="str">
        <f>VLOOKUP(A113, Athletes_Map!A:C, 3, FALSE)</f>
        <v>Player 107</v>
      </c>
      <c r="G113">
        <v>92</v>
      </c>
      <c r="H113">
        <f t="shared" si="7"/>
        <v>2</v>
      </c>
      <c r="I113" t="str">
        <f t="shared" si="4"/>
        <v>Normal</v>
      </c>
      <c r="J113" t="str">
        <f t="shared" si="5"/>
        <v>Normal</v>
      </c>
      <c r="K113" t="str">
        <f t="shared" si="6"/>
        <v/>
      </c>
    </row>
    <row r="114" spans="1:11" x14ac:dyDescent="0.25">
      <c r="A114">
        <v>2065</v>
      </c>
      <c r="B114">
        <v>115.81121526553</v>
      </c>
      <c r="C114">
        <v>35.490078047218198</v>
      </c>
      <c r="D114">
        <v>112</v>
      </c>
      <c r="E114">
        <f>VLOOKUP(A114, Athletes_Map!A:B, 2, FALSE)</f>
        <v>108</v>
      </c>
      <c r="F114" t="str">
        <f>VLOOKUP(A114, Athletes_Map!A:C, 3, FALSE)</f>
        <v>Player 108</v>
      </c>
      <c r="G114">
        <v>93</v>
      </c>
      <c r="H114">
        <f t="shared" si="7"/>
        <v>2</v>
      </c>
      <c r="I114" t="str">
        <f t="shared" si="4"/>
        <v>Normal</v>
      </c>
      <c r="J114" t="str">
        <f t="shared" si="5"/>
        <v>Normal</v>
      </c>
      <c r="K114" t="str">
        <f t="shared" si="6"/>
        <v/>
      </c>
    </row>
    <row r="115" spans="1:11" x14ac:dyDescent="0.25">
      <c r="A115">
        <v>2066</v>
      </c>
      <c r="B115">
        <v>149.55259087273899</v>
      </c>
      <c r="C115">
        <v>32.863823224941399</v>
      </c>
      <c r="D115">
        <v>113</v>
      </c>
      <c r="E115">
        <f>VLOOKUP(A115, Athletes_Map!A:B, 2, FALSE)</f>
        <v>109</v>
      </c>
      <c r="F115" t="str">
        <f>VLOOKUP(A115, Athletes_Map!A:C, 3, FALSE)</f>
        <v>Player 109</v>
      </c>
      <c r="G115">
        <v>90</v>
      </c>
      <c r="H115">
        <f t="shared" si="7"/>
        <v>3</v>
      </c>
      <c r="I115" t="str">
        <f t="shared" si="4"/>
        <v>Alert</v>
      </c>
      <c r="J115" t="str">
        <f t="shared" si="5"/>
        <v>Oxygen</v>
      </c>
      <c r="K115">
        <f t="shared" si="6"/>
        <v>90</v>
      </c>
    </row>
    <row r="116" spans="1:11" x14ac:dyDescent="0.25">
      <c r="A116">
        <v>2069</v>
      </c>
      <c r="B116">
        <v>121.161838602375</v>
      </c>
      <c r="C116">
        <v>33.513823497372599</v>
      </c>
      <c r="D116">
        <v>114</v>
      </c>
      <c r="E116">
        <f>VLOOKUP(A116, Athletes_Map!A:B, 2, FALSE)</f>
        <v>110</v>
      </c>
      <c r="F116" t="str">
        <f>VLOOKUP(A116, Athletes_Map!A:C, 3, FALSE)</f>
        <v>Player 110</v>
      </c>
      <c r="G116">
        <v>94</v>
      </c>
      <c r="H116">
        <f t="shared" si="7"/>
        <v>2</v>
      </c>
      <c r="I116" t="str">
        <f t="shared" si="4"/>
        <v>Normal</v>
      </c>
      <c r="J116" t="str">
        <f t="shared" si="5"/>
        <v>Normal</v>
      </c>
      <c r="K116" t="str">
        <f t="shared" si="6"/>
        <v/>
      </c>
    </row>
    <row r="117" spans="1:11" x14ac:dyDescent="0.25">
      <c r="A117">
        <v>2077</v>
      </c>
      <c r="B117">
        <v>135.207052396867</v>
      </c>
      <c r="C117">
        <v>32.508829831085102</v>
      </c>
      <c r="D117">
        <v>115</v>
      </c>
      <c r="E117">
        <f>VLOOKUP(A117, Athletes_Map!A:B, 2, FALSE)</f>
        <v>111</v>
      </c>
      <c r="F117" t="str">
        <f>VLOOKUP(A117, Athletes_Map!A:C, 3, FALSE)</f>
        <v>Player 111</v>
      </c>
      <c r="G117">
        <v>96</v>
      </c>
      <c r="H117">
        <f t="shared" si="7"/>
        <v>2</v>
      </c>
      <c r="I117" t="str">
        <f t="shared" si="4"/>
        <v>Normal</v>
      </c>
      <c r="J117" t="str">
        <f t="shared" si="5"/>
        <v>Normal</v>
      </c>
      <c r="K117" t="str">
        <f t="shared" si="6"/>
        <v/>
      </c>
    </row>
    <row r="118" spans="1:11" x14ac:dyDescent="0.25">
      <c r="A118">
        <v>2081</v>
      </c>
      <c r="B118">
        <v>131.54745400118301</v>
      </c>
      <c r="C118">
        <v>34.1189218451456</v>
      </c>
      <c r="D118">
        <v>116</v>
      </c>
      <c r="E118">
        <f>VLOOKUP(A118, Athletes_Map!A:B, 2, FALSE)</f>
        <v>112</v>
      </c>
      <c r="F118" t="str">
        <f>VLOOKUP(A118, Athletes_Map!A:C, 3, FALSE)</f>
        <v>Player 112</v>
      </c>
      <c r="G118">
        <v>96</v>
      </c>
      <c r="H118">
        <f t="shared" si="7"/>
        <v>2</v>
      </c>
      <c r="I118" t="str">
        <f t="shared" si="4"/>
        <v>Normal</v>
      </c>
      <c r="J118" t="str">
        <f t="shared" si="5"/>
        <v>Normal</v>
      </c>
      <c r="K118" t="str">
        <f t="shared" si="6"/>
        <v/>
      </c>
    </row>
    <row r="119" spans="1:11" x14ac:dyDescent="0.25">
      <c r="A119">
        <v>2120</v>
      </c>
      <c r="B119">
        <v>118.462392919202</v>
      </c>
      <c r="C119">
        <v>31.8406119319555</v>
      </c>
      <c r="D119">
        <v>117</v>
      </c>
      <c r="E119">
        <f>VLOOKUP(A119, Athletes_Map!A:B, 2, FALSE)</f>
        <v>113</v>
      </c>
      <c r="F119" t="str">
        <f>VLOOKUP(A119, Athletes_Map!A:C, 3, FALSE)</f>
        <v>Player 113</v>
      </c>
      <c r="G119">
        <v>95</v>
      </c>
      <c r="H119">
        <f t="shared" si="7"/>
        <v>1</v>
      </c>
      <c r="I119" t="str">
        <f t="shared" si="4"/>
        <v>Normal</v>
      </c>
      <c r="J119" t="str">
        <f t="shared" si="5"/>
        <v>Normal</v>
      </c>
      <c r="K119" t="str">
        <f t="shared" si="6"/>
        <v/>
      </c>
    </row>
    <row r="120" spans="1:11" x14ac:dyDescent="0.25">
      <c r="A120">
        <v>2122</v>
      </c>
      <c r="B120">
        <v>157.110518659159</v>
      </c>
      <c r="C120">
        <v>32.270824385551798</v>
      </c>
      <c r="D120">
        <v>118</v>
      </c>
      <c r="E120">
        <f>VLOOKUP(A120, Athletes_Map!A:B, 2, FALSE)</f>
        <v>114</v>
      </c>
      <c r="F120" t="str">
        <f>VLOOKUP(A120, Athletes_Map!A:C, 3, FALSE)</f>
        <v>Player 114</v>
      </c>
      <c r="G120">
        <v>93</v>
      </c>
      <c r="H120">
        <f t="shared" si="7"/>
        <v>3</v>
      </c>
      <c r="I120" t="str">
        <f t="shared" si="4"/>
        <v>Alert</v>
      </c>
      <c r="J120" t="str">
        <f t="shared" si="5"/>
        <v>Heart Rate</v>
      </c>
      <c r="K120">
        <f t="shared" si="6"/>
        <v>157.110518659159</v>
      </c>
    </row>
    <row r="121" spans="1:11" x14ac:dyDescent="0.25">
      <c r="A121">
        <v>2148</v>
      </c>
      <c r="B121">
        <v>155.99105430638599</v>
      </c>
      <c r="C121">
        <v>32.414071389058101</v>
      </c>
      <c r="D121">
        <v>119</v>
      </c>
      <c r="E121">
        <f>VLOOKUP(A121, Athletes_Map!A:B, 2, FALSE)</f>
        <v>115</v>
      </c>
      <c r="F121" t="str">
        <f>VLOOKUP(A121, Athletes_Map!A:C, 3, FALSE)</f>
        <v>Player 115</v>
      </c>
      <c r="G121">
        <v>94</v>
      </c>
      <c r="H121">
        <f t="shared" si="7"/>
        <v>3</v>
      </c>
      <c r="I121" t="str">
        <f t="shared" si="4"/>
        <v>Alert</v>
      </c>
      <c r="J121" t="str">
        <f t="shared" si="5"/>
        <v>Heart Rate</v>
      </c>
      <c r="K121">
        <f t="shared" si="6"/>
        <v>155.99105430638599</v>
      </c>
    </row>
    <row r="122" spans="1:11" x14ac:dyDescent="0.25">
      <c r="A122">
        <v>2150</v>
      </c>
      <c r="B122">
        <v>168.67855382915701</v>
      </c>
      <c r="C122">
        <v>33.245710658882103</v>
      </c>
      <c r="D122">
        <v>120</v>
      </c>
      <c r="E122">
        <f>VLOOKUP(A122, Athletes_Map!A:B, 2, FALSE)</f>
        <v>116</v>
      </c>
      <c r="F122" t="str">
        <f>VLOOKUP(A122, Athletes_Map!A:C, 3, FALSE)</f>
        <v>Player 116</v>
      </c>
      <c r="G122">
        <v>93</v>
      </c>
      <c r="H122">
        <f t="shared" si="7"/>
        <v>3</v>
      </c>
      <c r="I122" t="str">
        <f t="shared" si="4"/>
        <v>Alert</v>
      </c>
      <c r="J122" t="str">
        <f t="shared" si="5"/>
        <v>Heart Rate</v>
      </c>
      <c r="K122">
        <f t="shared" si="6"/>
        <v>168.67855382915701</v>
      </c>
    </row>
    <row r="123" spans="1:11" x14ac:dyDescent="0.25">
      <c r="A123">
        <v>2154</v>
      </c>
      <c r="B123">
        <v>118.66128658025499</v>
      </c>
      <c r="C123">
        <v>33.455567578063103</v>
      </c>
      <c r="D123">
        <v>121</v>
      </c>
      <c r="E123">
        <f>VLOOKUP(A123, Athletes_Map!A:B, 2, FALSE)</f>
        <v>117</v>
      </c>
      <c r="F123" t="str">
        <f>VLOOKUP(A123, Athletes_Map!A:C, 3, FALSE)</f>
        <v>Player 117</v>
      </c>
      <c r="G123">
        <v>94</v>
      </c>
      <c r="H123">
        <f t="shared" si="7"/>
        <v>1</v>
      </c>
      <c r="I123" t="str">
        <f t="shared" si="4"/>
        <v>Normal</v>
      </c>
      <c r="J123" t="str">
        <f t="shared" si="5"/>
        <v>Normal</v>
      </c>
      <c r="K123" t="str">
        <f t="shared" si="6"/>
        <v/>
      </c>
    </row>
    <row r="124" spans="1:11" x14ac:dyDescent="0.25">
      <c r="A124">
        <v>2167</v>
      </c>
      <c r="B124">
        <v>154.635309739831</v>
      </c>
      <c r="C124">
        <v>32.220207737403001</v>
      </c>
      <c r="D124">
        <v>122</v>
      </c>
      <c r="E124">
        <f>VLOOKUP(A124, Athletes_Map!A:B, 2, FALSE)</f>
        <v>118</v>
      </c>
      <c r="F124" t="str">
        <f>VLOOKUP(A124, Athletes_Map!A:C, 3, FALSE)</f>
        <v>Player 118</v>
      </c>
      <c r="G124">
        <v>94</v>
      </c>
      <c r="H124">
        <f t="shared" si="7"/>
        <v>3</v>
      </c>
      <c r="I124" t="str">
        <f t="shared" si="4"/>
        <v>Alert</v>
      </c>
      <c r="J124" t="str">
        <f t="shared" si="5"/>
        <v>Heart Rate</v>
      </c>
      <c r="K124">
        <f t="shared" si="6"/>
        <v>154.635309739831</v>
      </c>
    </row>
    <row r="125" spans="1:11" x14ac:dyDescent="0.25">
      <c r="A125">
        <v>2184</v>
      </c>
      <c r="B125">
        <v>158.186596067284</v>
      </c>
      <c r="C125">
        <v>34.007362205421998</v>
      </c>
      <c r="D125">
        <v>123</v>
      </c>
      <c r="E125">
        <f>VLOOKUP(A125, Athletes_Map!A:B, 2, FALSE)</f>
        <v>119</v>
      </c>
      <c r="F125" t="str">
        <f>VLOOKUP(A125, Athletes_Map!A:C, 3, FALSE)</f>
        <v>Player 119</v>
      </c>
      <c r="G125">
        <v>92</v>
      </c>
      <c r="H125">
        <f t="shared" si="7"/>
        <v>3</v>
      </c>
      <c r="I125" t="str">
        <f t="shared" si="4"/>
        <v>Alert</v>
      </c>
      <c r="J125" t="str">
        <f t="shared" si="5"/>
        <v>Heart Rate</v>
      </c>
      <c r="K125">
        <f t="shared" si="6"/>
        <v>158.186596067284</v>
      </c>
    </row>
    <row r="126" spans="1:11" x14ac:dyDescent="0.25">
      <c r="A126">
        <v>2184</v>
      </c>
      <c r="B126">
        <v>161.583050602648</v>
      </c>
      <c r="C126">
        <v>35.268528822186902</v>
      </c>
      <c r="D126">
        <v>124</v>
      </c>
      <c r="E126">
        <f>VLOOKUP(A126, Athletes_Map!A:B, 2, FALSE)</f>
        <v>119</v>
      </c>
      <c r="F126" t="str">
        <f>VLOOKUP(A126, Athletes_Map!A:C, 3, FALSE)</f>
        <v>Player 119</v>
      </c>
      <c r="G126">
        <v>90</v>
      </c>
      <c r="H126">
        <f t="shared" si="7"/>
        <v>3</v>
      </c>
      <c r="I126" t="str">
        <f t="shared" si="4"/>
        <v>Alert</v>
      </c>
      <c r="J126" t="str">
        <f t="shared" si="5"/>
        <v>Heart Rate</v>
      </c>
      <c r="K126">
        <f t="shared" si="6"/>
        <v>161.583050602648</v>
      </c>
    </row>
    <row r="127" spans="1:11" x14ac:dyDescent="0.25">
      <c r="A127">
        <v>2191</v>
      </c>
      <c r="B127">
        <v>138.59788302306899</v>
      </c>
      <c r="C127">
        <v>33.334018361573598</v>
      </c>
      <c r="D127">
        <v>125</v>
      </c>
      <c r="E127">
        <f>VLOOKUP(A127, Athletes_Map!A:B, 2, FALSE)</f>
        <v>120</v>
      </c>
      <c r="F127" t="str">
        <f>VLOOKUP(A127, Athletes_Map!A:C, 3, FALSE)</f>
        <v>Player 120</v>
      </c>
      <c r="G127">
        <v>94</v>
      </c>
      <c r="H127">
        <f t="shared" si="7"/>
        <v>2</v>
      </c>
      <c r="I127" t="str">
        <f t="shared" si="4"/>
        <v>Normal</v>
      </c>
      <c r="J127" t="str">
        <f t="shared" si="5"/>
        <v>Normal</v>
      </c>
      <c r="K127" t="str">
        <f t="shared" si="6"/>
        <v/>
      </c>
    </row>
    <row r="128" spans="1:11" x14ac:dyDescent="0.25">
      <c r="A128">
        <v>2202</v>
      </c>
      <c r="B128">
        <v>168.225184290957</v>
      </c>
      <c r="C128">
        <v>30.814696716846601</v>
      </c>
      <c r="D128">
        <v>126</v>
      </c>
      <c r="E128">
        <f>VLOOKUP(A128, Athletes_Map!A:B, 2, FALSE)</f>
        <v>121</v>
      </c>
      <c r="F128" t="str">
        <f>VLOOKUP(A128, Athletes_Map!A:C, 3, FALSE)</f>
        <v>Player 121</v>
      </c>
      <c r="G128">
        <v>90</v>
      </c>
      <c r="H128">
        <f t="shared" si="7"/>
        <v>3</v>
      </c>
      <c r="I128" t="str">
        <f t="shared" si="4"/>
        <v>Alert</v>
      </c>
      <c r="J128" t="str">
        <f t="shared" si="5"/>
        <v>Heart Rate</v>
      </c>
      <c r="K128">
        <f t="shared" si="6"/>
        <v>168.225184290957</v>
      </c>
    </row>
    <row r="129" spans="1:11" x14ac:dyDescent="0.25">
      <c r="A129">
        <v>2205</v>
      </c>
      <c r="B129">
        <v>155.599216351623</v>
      </c>
      <c r="C129">
        <v>34.005317065855898</v>
      </c>
      <c r="D129">
        <v>127</v>
      </c>
      <c r="E129">
        <f>VLOOKUP(A129, Athletes_Map!A:B, 2, FALSE)</f>
        <v>122</v>
      </c>
      <c r="F129" t="str">
        <f>VLOOKUP(A129, Athletes_Map!A:C, 3, FALSE)</f>
        <v>Player 122</v>
      </c>
      <c r="G129">
        <v>94</v>
      </c>
      <c r="H129">
        <f t="shared" si="7"/>
        <v>3</v>
      </c>
      <c r="I129" t="str">
        <f t="shared" si="4"/>
        <v>Alert</v>
      </c>
      <c r="J129" t="str">
        <f t="shared" si="5"/>
        <v>Heart Rate</v>
      </c>
      <c r="K129">
        <f t="shared" si="6"/>
        <v>155.599216351623</v>
      </c>
    </row>
    <row r="130" spans="1:11" x14ac:dyDescent="0.25">
      <c r="A130">
        <v>2214</v>
      </c>
      <c r="B130">
        <v>120.631854688616</v>
      </c>
      <c r="C130">
        <v>33.957412535874901</v>
      </c>
      <c r="D130">
        <v>128</v>
      </c>
      <c r="E130">
        <f>VLOOKUP(A130, Athletes_Map!A:B, 2, FALSE)</f>
        <v>123</v>
      </c>
      <c r="F130" t="str">
        <f>VLOOKUP(A130, Athletes_Map!A:C, 3, FALSE)</f>
        <v>Player 123</v>
      </c>
      <c r="G130">
        <v>95</v>
      </c>
      <c r="H130">
        <f t="shared" si="7"/>
        <v>2</v>
      </c>
      <c r="I130" t="str">
        <f t="shared" ref="I130:I193" si="8">IF(H130=3, "Alert", "Normal")</f>
        <v>Normal</v>
      </c>
      <c r="J130" t="str">
        <f t="shared" ref="J130:J193" si="9">IF(B130&gt;150,"Heart Rate",
IF(C130&gt;37.5,"Temperature",
IF(G130&lt;92,"Oxygen","Normal")))</f>
        <v>Normal</v>
      </c>
      <c r="K130" t="str">
        <f t="shared" ref="K130:K193" si="10">IF(J130="Heart Rate",B130,IF(J130="Temperature",C130,IF(J130="Oxygen",G130,"")))</f>
        <v/>
      </c>
    </row>
    <row r="131" spans="1:11" x14ac:dyDescent="0.25">
      <c r="A131">
        <v>2218</v>
      </c>
      <c r="B131">
        <v>120.997583701216</v>
      </c>
      <c r="C131">
        <v>31.0661191690766</v>
      </c>
      <c r="D131">
        <v>129</v>
      </c>
      <c r="E131">
        <f>VLOOKUP(A131, Athletes_Map!A:B, 2, FALSE)</f>
        <v>124</v>
      </c>
      <c r="F131" t="str">
        <f>VLOOKUP(A131, Athletes_Map!A:C, 3, FALSE)</f>
        <v>Player 124</v>
      </c>
      <c r="G131">
        <v>96</v>
      </c>
      <c r="H131">
        <f t="shared" ref="H131:H194" si="11">IF(OR(B131&gt;150, C131&gt;37.5, G131&lt;92), 3,
IF(OR(B131&gt;120, C131&gt;37, G131&lt;94), 2,
1))</f>
        <v>2</v>
      </c>
      <c r="I131" t="str">
        <f t="shared" si="8"/>
        <v>Normal</v>
      </c>
      <c r="J131" t="str">
        <f t="shared" si="9"/>
        <v>Normal</v>
      </c>
      <c r="K131" t="str">
        <f t="shared" si="10"/>
        <v/>
      </c>
    </row>
    <row r="132" spans="1:11" x14ac:dyDescent="0.25">
      <c r="A132">
        <v>2248</v>
      </c>
      <c r="B132">
        <v>125.679269962635</v>
      </c>
      <c r="C132">
        <v>33.890950696311101</v>
      </c>
      <c r="D132">
        <v>130</v>
      </c>
      <c r="E132">
        <f>VLOOKUP(A132, Athletes_Map!A:B, 2, FALSE)</f>
        <v>125</v>
      </c>
      <c r="F132" t="str">
        <f>VLOOKUP(A132, Athletes_Map!A:C, 3, FALSE)</f>
        <v>Player 125</v>
      </c>
      <c r="G132">
        <v>95</v>
      </c>
      <c r="H132">
        <f t="shared" si="11"/>
        <v>2</v>
      </c>
      <c r="I132" t="str">
        <f t="shared" si="8"/>
        <v>Normal</v>
      </c>
      <c r="J132" t="str">
        <f t="shared" si="9"/>
        <v>Normal</v>
      </c>
      <c r="K132" t="str">
        <f t="shared" si="10"/>
        <v/>
      </c>
    </row>
    <row r="133" spans="1:11" x14ac:dyDescent="0.25">
      <c r="A133">
        <v>2252</v>
      </c>
      <c r="B133">
        <v>144.73003287652401</v>
      </c>
      <c r="C133">
        <v>31.7079850470347</v>
      </c>
      <c r="D133">
        <v>131</v>
      </c>
      <c r="E133">
        <f>VLOOKUP(A133, Athletes_Map!A:B, 2, FALSE)</f>
        <v>126</v>
      </c>
      <c r="F133" t="str">
        <f>VLOOKUP(A133, Athletes_Map!A:C, 3, FALSE)</f>
        <v>Player 126</v>
      </c>
      <c r="G133">
        <v>92</v>
      </c>
      <c r="H133">
        <f t="shared" si="11"/>
        <v>2</v>
      </c>
      <c r="I133" t="str">
        <f t="shared" si="8"/>
        <v>Normal</v>
      </c>
      <c r="J133" t="str">
        <f t="shared" si="9"/>
        <v>Normal</v>
      </c>
      <c r="K133" t="str">
        <f t="shared" si="10"/>
        <v/>
      </c>
    </row>
    <row r="134" spans="1:11" x14ac:dyDescent="0.25">
      <c r="A134">
        <v>2256</v>
      </c>
      <c r="B134">
        <v>132.05995996742999</v>
      </c>
      <c r="C134">
        <v>33.503646730028699</v>
      </c>
      <c r="D134">
        <v>132</v>
      </c>
      <c r="E134">
        <f>VLOOKUP(A134, Athletes_Map!A:B, 2, FALSE)</f>
        <v>127</v>
      </c>
      <c r="F134" t="str">
        <f>VLOOKUP(A134, Athletes_Map!A:C, 3, FALSE)</f>
        <v>Player 127</v>
      </c>
      <c r="G134">
        <v>96</v>
      </c>
      <c r="H134">
        <f t="shared" si="11"/>
        <v>2</v>
      </c>
      <c r="I134" t="str">
        <f t="shared" si="8"/>
        <v>Normal</v>
      </c>
      <c r="J134" t="str">
        <f t="shared" si="9"/>
        <v>Normal</v>
      </c>
      <c r="K134" t="str">
        <f t="shared" si="10"/>
        <v/>
      </c>
    </row>
    <row r="135" spans="1:11" x14ac:dyDescent="0.25">
      <c r="A135">
        <v>2267</v>
      </c>
      <c r="B135">
        <v>109.391412950074</v>
      </c>
      <c r="C135">
        <v>32.370519583479499</v>
      </c>
      <c r="D135">
        <v>133</v>
      </c>
      <c r="E135">
        <f>VLOOKUP(A135, Athletes_Map!A:B, 2, FALSE)</f>
        <v>128</v>
      </c>
      <c r="F135" t="str">
        <f>VLOOKUP(A135, Athletes_Map!A:C, 3, FALSE)</f>
        <v>Player 128</v>
      </c>
      <c r="G135">
        <v>96</v>
      </c>
      <c r="H135">
        <f t="shared" si="11"/>
        <v>1</v>
      </c>
      <c r="I135" t="str">
        <f t="shared" si="8"/>
        <v>Normal</v>
      </c>
      <c r="J135" t="str">
        <f t="shared" si="9"/>
        <v>Normal</v>
      </c>
      <c r="K135" t="str">
        <f t="shared" si="10"/>
        <v/>
      </c>
    </row>
    <row r="136" spans="1:11" x14ac:dyDescent="0.25">
      <c r="A136">
        <v>2276</v>
      </c>
      <c r="B136">
        <v>127.693568973757</v>
      </c>
      <c r="C136">
        <v>34.007596637317398</v>
      </c>
      <c r="D136">
        <v>134</v>
      </c>
      <c r="E136">
        <f>VLOOKUP(A136, Athletes_Map!A:B, 2, FALSE)</f>
        <v>129</v>
      </c>
      <c r="F136" t="str">
        <f>VLOOKUP(A136, Athletes_Map!A:C, 3, FALSE)</f>
        <v>Player 129</v>
      </c>
      <c r="G136">
        <v>95</v>
      </c>
      <c r="H136">
        <f t="shared" si="11"/>
        <v>2</v>
      </c>
      <c r="I136" t="str">
        <f t="shared" si="8"/>
        <v>Normal</v>
      </c>
      <c r="J136" t="str">
        <f t="shared" si="9"/>
        <v>Normal</v>
      </c>
      <c r="K136" t="str">
        <f t="shared" si="10"/>
        <v/>
      </c>
    </row>
    <row r="137" spans="1:11" x14ac:dyDescent="0.25">
      <c r="A137">
        <v>2291</v>
      </c>
      <c r="B137">
        <v>116.626961070316</v>
      </c>
      <c r="C137">
        <v>32.366043544004398</v>
      </c>
      <c r="D137">
        <v>135</v>
      </c>
      <c r="E137">
        <f>VLOOKUP(A137, Athletes_Map!A:B, 2, FALSE)</f>
        <v>130</v>
      </c>
      <c r="F137" t="str">
        <f>VLOOKUP(A137, Athletes_Map!A:C, 3, FALSE)</f>
        <v>Player 130</v>
      </c>
      <c r="G137">
        <v>93</v>
      </c>
      <c r="H137">
        <f t="shared" si="11"/>
        <v>2</v>
      </c>
      <c r="I137" t="str">
        <f t="shared" si="8"/>
        <v>Normal</v>
      </c>
      <c r="J137" t="str">
        <f t="shared" si="9"/>
        <v>Normal</v>
      </c>
      <c r="K137" t="str">
        <f t="shared" si="10"/>
        <v/>
      </c>
    </row>
    <row r="138" spans="1:11" x14ac:dyDescent="0.25">
      <c r="A138">
        <v>2296</v>
      </c>
      <c r="B138">
        <v>95.672868212479898</v>
      </c>
      <c r="C138">
        <v>31.640658058478699</v>
      </c>
      <c r="D138">
        <v>136</v>
      </c>
      <c r="E138">
        <f>VLOOKUP(A138, Athletes_Map!A:B, 2, FALSE)</f>
        <v>131</v>
      </c>
      <c r="F138" t="str">
        <f>VLOOKUP(A138, Athletes_Map!A:C, 3, FALSE)</f>
        <v>Player 131</v>
      </c>
      <c r="G138">
        <v>99</v>
      </c>
      <c r="H138">
        <f t="shared" si="11"/>
        <v>1</v>
      </c>
      <c r="I138" t="str">
        <f t="shared" si="8"/>
        <v>Normal</v>
      </c>
      <c r="J138" t="str">
        <f t="shared" si="9"/>
        <v>Normal</v>
      </c>
      <c r="K138" t="str">
        <f t="shared" si="10"/>
        <v/>
      </c>
    </row>
    <row r="139" spans="1:11" x14ac:dyDescent="0.25">
      <c r="A139">
        <v>2306</v>
      </c>
      <c r="B139">
        <v>138.931095530231</v>
      </c>
      <c r="C139">
        <v>33.117204452098001</v>
      </c>
      <c r="D139">
        <v>137</v>
      </c>
      <c r="E139">
        <f>VLOOKUP(A139, Athletes_Map!A:B, 2, FALSE)</f>
        <v>132</v>
      </c>
      <c r="F139" t="str">
        <f>VLOOKUP(A139, Athletes_Map!A:C, 3, FALSE)</f>
        <v>Player 132</v>
      </c>
      <c r="G139">
        <v>95</v>
      </c>
      <c r="H139">
        <f t="shared" si="11"/>
        <v>2</v>
      </c>
      <c r="I139" t="str">
        <f t="shared" si="8"/>
        <v>Normal</v>
      </c>
      <c r="J139" t="str">
        <f t="shared" si="9"/>
        <v>Normal</v>
      </c>
      <c r="K139" t="str">
        <f t="shared" si="10"/>
        <v/>
      </c>
    </row>
    <row r="140" spans="1:11" x14ac:dyDescent="0.25">
      <c r="A140">
        <v>2324</v>
      </c>
      <c r="B140">
        <v>122.972647120975</v>
      </c>
      <c r="C140">
        <v>34.540914952737701</v>
      </c>
      <c r="D140">
        <v>138</v>
      </c>
      <c r="E140">
        <f>VLOOKUP(A140, Athletes_Map!A:B, 2, FALSE)</f>
        <v>133</v>
      </c>
      <c r="F140" t="str">
        <f>VLOOKUP(A140, Athletes_Map!A:C, 3, FALSE)</f>
        <v>Player 133</v>
      </c>
      <c r="G140">
        <v>94</v>
      </c>
      <c r="H140">
        <f t="shared" si="11"/>
        <v>2</v>
      </c>
      <c r="I140" t="str">
        <f t="shared" si="8"/>
        <v>Normal</v>
      </c>
      <c r="J140" t="str">
        <f t="shared" si="9"/>
        <v>Normal</v>
      </c>
      <c r="K140" t="str">
        <f t="shared" si="10"/>
        <v/>
      </c>
    </row>
    <row r="141" spans="1:11" x14ac:dyDescent="0.25">
      <c r="A141">
        <v>2331</v>
      </c>
      <c r="B141">
        <v>164.81452273699901</v>
      </c>
      <c r="C141">
        <v>33.2393087831841</v>
      </c>
      <c r="D141">
        <v>139</v>
      </c>
      <c r="E141">
        <f>VLOOKUP(A141, Athletes_Map!A:B, 2, FALSE)</f>
        <v>134</v>
      </c>
      <c r="F141" t="str">
        <f>VLOOKUP(A141, Athletes_Map!A:C, 3, FALSE)</f>
        <v>Player 134</v>
      </c>
      <c r="G141">
        <v>91</v>
      </c>
      <c r="H141">
        <f t="shared" si="11"/>
        <v>3</v>
      </c>
      <c r="I141" t="str">
        <f t="shared" si="8"/>
        <v>Alert</v>
      </c>
      <c r="J141" t="str">
        <f t="shared" si="9"/>
        <v>Heart Rate</v>
      </c>
      <c r="K141">
        <f t="shared" si="10"/>
        <v>164.81452273699901</v>
      </c>
    </row>
    <row r="142" spans="1:11" x14ac:dyDescent="0.25">
      <c r="A142">
        <v>2342</v>
      </c>
      <c r="B142">
        <v>165.842199051357</v>
      </c>
      <c r="C142">
        <v>34.028042976290998</v>
      </c>
      <c r="D142">
        <v>140</v>
      </c>
      <c r="E142">
        <f>VLOOKUP(A142, Athletes_Map!A:B, 2, FALSE)</f>
        <v>135</v>
      </c>
      <c r="F142" t="str">
        <f>VLOOKUP(A142, Athletes_Map!A:C, 3, FALSE)</f>
        <v>Player 135</v>
      </c>
      <c r="G142">
        <v>94</v>
      </c>
      <c r="H142">
        <f t="shared" si="11"/>
        <v>3</v>
      </c>
      <c r="I142" t="str">
        <f t="shared" si="8"/>
        <v>Alert</v>
      </c>
      <c r="J142" t="str">
        <f t="shared" si="9"/>
        <v>Heart Rate</v>
      </c>
      <c r="K142">
        <f t="shared" si="10"/>
        <v>165.842199051357</v>
      </c>
    </row>
    <row r="143" spans="1:11" x14ac:dyDescent="0.25">
      <c r="A143">
        <v>2353</v>
      </c>
      <c r="B143">
        <v>146.379661583705</v>
      </c>
      <c r="C143">
        <v>34.743930571250999</v>
      </c>
      <c r="D143">
        <v>141</v>
      </c>
      <c r="E143">
        <f>VLOOKUP(A143, Athletes_Map!A:B, 2, FALSE)</f>
        <v>136</v>
      </c>
      <c r="F143" t="str">
        <f>VLOOKUP(A143, Athletes_Map!A:C, 3, FALSE)</f>
        <v>Player 136</v>
      </c>
      <c r="G143">
        <v>90</v>
      </c>
      <c r="H143">
        <f t="shared" si="11"/>
        <v>3</v>
      </c>
      <c r="I143" t="str">
        <f t="shared" si="8"/>
        <v>Alert</v>
      </c>
      <c r="J143" t="str">
        <f t="shared" si="9"/>
        <v>Oxygen</v>
      </c>
      <c r="K143">
        <f t="shared" si="10"/>
        <v>90</v>
      </c>
    </row>
    <row r="144" spans="1:11" x14ac:dyDescent="0.25">
      <c r="A144">
        <v>2365</v>
      </c>
      <c r="B144">
        <v>158.789409778492</v>
      </c>
      <c r="C144">
        <v>32.932895461773299</v>
      </c>
      <c r="D144">
        <v>142</v>
      </c>
      <c r="E144">
        <f>VLOOKUP(A144, Athletes_Map!A:B, 2, FALSE)</f>
        <v>137</v>
      </c>
      <c r="F144" t="str">
        <f>VLOOKUP(A144, Athletes_Map!A:C, 3, FALSE)</f>
        <v>Player 137</v>
      </c>
      <c r="G144">
        <v>91</v>
      </c>
      <c r="H144">
        <f t="shared" si="11"/>
        <v>3</v>
      </c>
      <c r="I144" t="str">
        <f t="shared" si="8"/>
        <v>Alert</v>
      </c>
      <c r="J144" t="str">
        <f t="shared" si="9"/>
        <v>Heart Rate</v>
      </c>
      <c r="K144">
        <f t="shared" si="10"/>
        <v>158.789409778492</v>
      </c>
    </row>
    <row r="145" spans="1:11" x14ac:dyDescent="0.25">
      <c r="A145">
        <v>2365</v>
      </c>
      <c r="B145">
        <v>130.50733700005901</v>
      </c>
      <c r="C145">
        <v>32.1407478764689</v>
      </c>
      <c r="D145">
        <v>143</v>
      </c>
      <c r="E145">
        <f>VLOOKUP(A145, Athletes_Map!A:B, 2, FALSE)</f>
        <v>137</v>
      </c>
      <c r="F145" t="str">
        <f>VLOOKUP(A145, Athletes_Map!A:C, 3, FALSE)</f>
        <v>Player 137</v>
      </c>
      <c r="G145">
        <v>96</v>
      </c>
      <c r="H145">
        <f t="shared" si="11"/>
        <v>2</v>
      </c>
      <c r="I145" t="str">
        <f t="shared" si="8"/>
        <v>Normal</v>
      </c>
      <c r="J145" t="str">
        <f t="shared" si="9"/>
        <v>Normal</v>
      </c>
      <c r="K145" t="str">
        <f t="shared" si="10"/>
        <v/>
      </c>
    </row>
    <row r="146" spans="1:11" x14ac:dyDescent="0.25">
      <c r="A146">
        <v>2409</v>
      </c>
      <c r="B146">
        <v>150.20829312288501</v>
      </c>
      <c r="C146">
        <v>31.740413401308</v>
      </c>
      <c r="D146">
        <v>144</v>
      </c>
      <c r="E146">
        <f>VLOOKUP(A146, Athletes_Map!A:B, 2, FALSE)</f>
        <v>138</v>
      </c>
      <c r="F146" t="str">
        <f>VLOOKUP(A146, Athletes_Map!A:C, 3, FALSE)</f>
        <v>Player 138</v>
      </c>
      <c r="G146">
        <v>92</v>
      </c>
      <c r="H146">
        <f t="shared" si="11"/>
        <v>3</v>
      </c>
      <c r="I146" t="str">
        <f t="shared" si="8"/>
        <v>Alert</v>
      </c>
      <c r="J146" t="str">
        <f t="shared" si="9"/>
        <v>Heart Rate</v>
      </c>
      <c r="K146">
        <f t="shared" si="10"/>
        <v>150.20829312288501</v>
      </c>
    </row>
    <row r="147" spans="1:11" x14ac:dyDescent="0.25">
      <c r="A147">
        <v>2460</v>
      </c>
      <c r="B147">
        <v>134.87858176920199</v>
      </c>
      <c r="C147">
        <v>31.219132002090799</v>
      </c>
      <c r="D147">
        <v>145</v>
      </c>
      <c r="E147">
        <f>VLOOKUP(A147, Athletes_Map!A:B, 2, FALSE)</f>
        <v>139</v>
      </c>
      <c r="F147" t="str">
        <f>VLOOKUP(A147, Athletes_Map!A:C, 3, FALSE)</f>
        <v>Player 139</v>
      </c>
      <c r="G147">
        <v>95</v>
      </c>
      <c r="H147">
        <f t="shared" si="11"/>
        <v>2</v>
      </c>
      <c r="I147" t="str">
        <f t="shared" si="8"/>
        <v>Normal</v>
      </c>
      <c r="J147" t="str">
        <f t="shared" si="9"/>
        <v>Normal</v>
      </c>
      <c r="K147" t="str">
        <f t="shared" si="10"/>
        <v/>
      </c>
    </row>
    <row r="148" spans="1:11" x14ac:dyDescent="0.25">
      <c r="A148">
        <v>2460</v>
      </c>
      <c r="B148">
        <v>146.727280375101</v>
      </c>
      <c r="C148">
        <v>33.119864345290999</v>
      </c>
      <c r="D148">
        <v>146</v>
      </c>
      <c r="E148">
        <f>VLOOKUP(A148, Athletes_Map!A:B, 2, FALSE)</f>
        <v>139</v>
      </c>
      <c r="F148" t="str">
        <f>VLOOKUP(A148, Athletes_Map!A:C, 3, FALSE)</f>
        <v>Player 139</v>
      </c>
      <c r="G148">
        <v>94</v>
      </c>
      <c r="H148">
        <f t="shared" si="11"/>
        <v>2</v>
      </c>
      <c r="I148" t="str">
        <f t="shared" si="8"/>
        <v>Normal</v>
      </c>
      <c r="J148" t="str">
        <f t="shared" si="9"/>
        <v>Normal</v>
      </c>
      <c r="K148" t="str">
        <f t="shared" si="10"/>
        <v/>
      </c>
    </row>
    <row r="149" spans="1:11" x14ac:dyDescent="0.25">
      <c r="A149">
        <v>2484</v>
      </c>
      <c r="B149">
        <v>133.59668577082701</v>
      </c>
      <c r="C149">
        <v>33.217275291325301</v>
      </c>
      <c r="D149">
        <v>147</v>
      </c>
      <c r="E149">
        <f>VLOOKUP(A149, Athletes_Map!A:B, 2, FALSE)</f>
        <v>140</v>
      </c>
      <c r="F149" t="str">
        <f>VLOOKUP(A149, Athletes_Map!A:C, 3, FALSE)</f>
        <v>Player 140</v>
      </c>
      <c r="G149">
        <v>95</v>
      </c>
      <c r="H149">
        <f t="shared" si="11"/>
        <v>2</v>
      </c>
      <c r="I149" t="str">
        <f t="shared" si="8"/>
        <v>Normal</v>
      </c>
      <c r="J149" t="str">
        <f t="shared" si="9"/>
        <v>Normal</v>
      </c>
      <c r="K149" t="str">
        <f t="shared" si="10"/>
        <v/>
      </c>
    </row>
    <row r="150" spans="1:11" x14ac:dyDescent="0.25">
      <c r="A150">
        <v>2495</v>
      </c>
      <c r="B150">
        <v>164.067689542354</v>
      </c>
      <c r="C150">
        <v>34.406061497659302</v>
      </c>
      <c r="D150">
        <v>148</v>
      </c>
      <c r="E150">
        <f>VLOOKUP(A150, Athletes_Map!A:B, 2, FALSE)</f>
        <v>141</v>
      </c>
      <c r="F150" t="str">
        <f>VLOOKUP(A150, Athletes_Map!A:C, 3, FALSE)</f>
        <v>Player 141</v>
      </c>
      <c r="G150">
        <v>93</v>
      </c>
      <c r="H150">
        <f t="shared" si="11"/>
        <v>3</v>
      </c>
      <c r="I150" t="str">
        <f t="shared" si="8"/>
        <v>Alert</v>
      </c>
      <c r="J150" t="str">
        <f t="shared" si="9"/>
        <v>Heart Rate</v>
      </c>
      <c r="K150">
        <f t="shared" si="10"/>
        <v>164.067689542354</v>
      </c>
    </row>
    <row r="151" spans="1:11" x14ac:dyDescent="0.25">
      <c r="A151">
        <v>2528</v>
      </c>
      <c r="B151">
        <v>170.095883639687</v>
      </c>
      <c r="C151">
        <v>34.622643214640497</v>
      </c>
      <c r="D151">
        <v>149</v>
      </c>
      <c r="E151">
        <f>VLOOKUP(A151, Athletes_Map!A:B, 2, FALSE)</f>
        <v>142</v>
      </c>
      <c r="F151" t="str">
        <f>VLOOKUP(A151, Athletes_Map!A:C, 3, FALSE)</f>
        <v>Player 142</v>
      </c>
      <c r="G151">
        <v>92</v>
      </c>
      <c r="H151">
        <f t="shared" si="11"/>
        <v>3</v>
      </c>
      <c r="I151" t="str">
        <f t="shared" si="8"/>
        <v>Alert</v>
      </c>
      <c r="J151" t="str">
        <f t="shared" si="9"/>
        <v>Heart Rate</v>
      </c>
      <c r="K151">
        <f t="shared" si="10"/>
        <v>170.095883639687</v>
      </c>
    </row>
    <row r="152" spans="1:11" x14ac:dyDescent="0.25">
      <c r="A152">
        <v>2531</v>
      </c>
      <c r="B152">
        <v>152.89848753888799</v>
      </c>
      <c r="C152">
        <v>30.7687958740079</v>
      </c>
      <c r="D152">
        <v>150</v>
      </c>
      <c r="E152">
        <f>VLOOKUP(A152, Athletes_Map!A:B, 2, FALSE)</f>
        <v>143</v>
      </c>
      <c r="F152" t="str">
        <f>VLOOKUP(A152, Athletes_Map!A:C, 3, FALSE)</f>
        <v>Player 143</v>
      </c>
      <c r="G152">
        <v>91</v>
      </c>
      <c r="H152">
        <f t="shared" si="11"/>
        <v>3</v>
      </c>
      <c r="I152" t="str">
        <f t="shared" si="8"/>
        <v>Alert</v>
      </c>
      <c r="J152" t="str">
        <f t="shared" si="9"/>
        <v>Heart Rate</v>
      </c>
      <c r="K152">
        <f t="shared" si="10"/>
        <v>152.89848753888799</v>
      </c>
    </row>
    <row r="153" spans="1:11" x14ac:dyDescent="0.25">
      <c r="A153">
        <v>2531</v>
      </c>
      <c r="B153">
        <v>144.117755441632</v>
      </c>
      <c r="C153">
        <v>31.72987123963</v>
      </c>
      <c r="D153">
        <v>151</v>
      </c>
      <c r="E153">
        <f>VLOOKUP(A153, Athletes_Map!A:B, 2, FALSE)</f>
        <v>143</v>
      </c>
      <c r="F153" t="str">
        <f>VLOOKUP(A153, Athletes_Map!A:C, 3, FALSE)</f>
        <v>Player 143</v>
      </c>
      <c r="G153">
        <v>93</v>
      </c>
      <c r="H153">
        <f t="shared" si="11"/>
        <v>2</v>
      </c>
      <c r="I153" t="str">
        <f t="shared" si="8"/>
        <v>Normal</v>
      </c>
      <c r="J153" t="str">
        <f t="shared" si="9"/>
        <v>Normal</v>
      </c>
      <c r="K153" t="str">
        <f t="shared" si="10"/>
        <v/>
      </c>
    </row>
    <row r="154" spans="1:11" x14ac:dyDescent="0.25">
      <c r="A154">
        <v>2540</v>
      </c>
      <c r="B154">
        <v>115.207437268593</v>
      </c>
      <c r="C154">
        <v>32.425489714173899</v>
      </c>
      <c r="D154">
        <v>152</v>
      </c>
      <c r="E154">
        <f>VLOOKUP(A154, Athletes_Map!A:B, 2, FALSE)</f>
        <v>144</v>
      </c>
      <c r="F154" t="str">
        <f>VLOOKUP(A154, Athletes_Map!A:C, 3, FALSE)</f>
        <v>Player 144</v>
      </c>
      <c r="G154">
        <v>93</v>
      </c>
      <c r="H154">
        <f t="shared" si="11"/>
        <v>2</v>
      </c>
      <c r="I154" t="str">
        <f t="shared" si="8"/>
        <v>Normal</v>
      </c>
      <c r="J154" t="str">
        <f t="shared" si="9"/>
        <v>Normal</v>
      </c>
      <c r="K154" t="str">
        <f t="shared" si="10"/>
        <v/>
      </c>
    </row>
    <row r="155" spans="1:11" x14ac:dyDescent="0.25">
      <c r="A155">
        <v>2542</v>
      </c>
      <c r="B155">
        <v>115.22817785698101</v>
      </c>
      <c r="C155">
        <v>35.176089238218502</v>
      </c>
      <c r="D155">
        <v>153</v>
      </c>
      <c r="E155">
        <f>VLOOKUP(A155, Athletes_Map!A:B, 2, FALSE)</f>
        <v>145</v>
      </c>
      <c r="F155" t="str">
        <f>VLOOKUP(A155, Athletes_Map!A:C, 3, FALSE)</f>
        <v>Player 145</v>
      </c>
      <c r="G155">
        <v>95</v>
      </c>
      <c r="H155">
        <f t="shared" si="11"/>
        <v>1</v>
      </c>
      <c r="I155" t="str">
        <f t="shared" si="8"/>
        <v>Normal</v>
      </c>
      <c r="J155" t="str">
        <f t="shared" si="9"/>
        <v>Normal</v>
      </c>
      <c r="K155" t="str">
        <f t="shared" si="10"/>
        <v/>
      </c>
    </row>
    <row r="156" spans="1:11" x14ac:dyDescent="0.25">
      <c r="A156">
        <v>2571</v>
      </c>
      <c r="B156">
        <v>147.774604440583</v>
      </c>
      <c r="C156">
        <v>34.149349937367397</v>
      </c>
      <c r="D156">
        <v>154</v>
      </c>
      <c r="E156">
        <f>VLOOKUP(A156, Athletes_Map!A:B, 2, FALSE)</f>
        <v>146</v>
      </c>
      <c r="F156" t="str">
        <f>VLOOKUP(A156, Athletes_Map!A:C, 3, FALSE)</f>
        <v>Player 146</v>
      </c>
      <c r="G156">
        <v>91</v>
      </c>
      <c r="H156">
        <f t="shared" si="11"/>
        <v>3</v>
      </c>
      <c r="I156" t="str">
        <f t="shared" si="8"/>
        <v>Alert</v>
      </c>
      <c r="J156" t="str">
        <f t="shared" si="9"/>
        <v>Oxygen</v>
      </c>
      <c r="K156">
        <f t="shared" si="10"/>
        <v>91</v>
      </c>
    </row>
    <row r="157" spans="1:11" x14ac:dyDescent="0.25">
      <c r="A157">
        <v>2581</v>
      </c>
      <c r="B157">
        <v>146.166538250434</v>
      </c>
      <c r="C157">
        <v>34.197158492304297</v>
      </c>
      <c r="D157">
        <v>155</v>
      </c>
      <c r="E157">
        <f>VLOOKUP(A157, Athletes_Map!A:B, 2, FALSE)</f>
        <v>147</v>
      </c>
      <c r="F157" t="str">
        <f>VLOOKUP(A157, Athletes_Map!A:C, 3, FALSE)</f>
        <v>Player 147</v>
      </c>
      <c r="G157">
        <v>94</v>
      </c>
      <c r="H157">
        <f t="shared" si="11"/>
        <v>2</v>
      </c>
      <c r="I157" t="str">
        <f t="shared" si="8"/>
        <v>Normal</v>
      </c>
      <c r="J157" t="str">
        <f t="shared" si="9"/>
        <v>Normal</v>
      </c>
      <c r="K157" t="str">
        <f t="shared" si="10"/>
        <v/>
      </c>
    </row>
    <row r="158" spans="1:11" x14ac:dyDescent="0.25">
      <c r="A158">
        <v>2585</v>
      </c>
      <c r="B158">
        <v>149.86528188045401</v>
      </c>
      <c r="C158">
        <v>30.856349441574299</v>
      </c>
      <c r="D158">
        <v>156</v>
      </c>
      <c r="E158">
        <f>VLOOKUP(A158, Athletes_Map!A:B, 2, FALSE)</f>
        <v>148</v>
      </c>
      <c r="F158" t="str">
        <f>VLOOKUP(A158, Athletes_Map!A:C, 3, FALSE)</f>
        <v>Player 148</v>
      </c>
      <c r="G158">
        <v>91</v>
      </c>
      <c r="H158">
        <f t="shared" si="11"/>
        <v>3</v>
      </c>
      <c r="I158" t="str">
        <f t="shared" si="8"/>
        <v>Alert</v>
      </c>
      <c r="J158" t="str">
        <f t="shared" si="9"/>
        <v>Oxygen</v>
      </c>
      <c r="K158">
        <f t="shared" si="10"/>
        <v>91</v>
      </c>
    </row>
    <row r="159" spans="1:11" x14ac:dyDescent="0.25">
      <c r="A159">
        <v>2604</v>
      </c>
      <c r="B159">
        <v>150.56722152333199</v>
      </c>
      <c r="C159">
        <v>31.849465852575801</v>
      </c>
      <c r="D159">
        <v>157</v>
      </c>
      <c r="E159">
        <f>VLOOKUP(A159, Athletes_Map!A:B, 2, FALSE)</f>
        <v>149</v>
      </c>
      <c r="F159" t="str">
        <f>VLOOKUP(A159, Athletes_Map!A:C, 3, FALSE)</f>
        <v>Player 149</v>
      </c>
      <c r="G159">
        <v>94</v>
      </c>
      <c r="H159">
        <f t="shared" si="11"/>
        <v>3</v>
      </c>
      <c r="I159" t="str">
        <f t="shared" si="8"/>
        <v>Alert</v>
      </c>
      <c r="J159" t="str">
        <f t="shared" si="9"/>
        <v>Heart Rate</v>
      </c>
      <c r="K159">
        <f t="shared" si="10"/>
        <v>150.56722152333199</v>
      </c>
    </row>
    <row r="160" spans="1:11" x14ac:dyDescent="0.25">
      <c r="A160">
        <v>2605</v>
      </c>
      <c r="B160">
        <v>135.42543153472101</v>
      </c>
      <c r="C160">
        <v>34.796052488935103</v>
      </c>
      <c r="D160">
        <v>158</v>
      </c>
      <c r="E160">
        <f>VLOOKUP(A160, Athletes_Map!A:B, 2, FALSE)</f>
        <v>150</v>
      </c>
      <c r="F160" t="str">
        <f>VLOOKUP(A160, Athletes_Map!A:C, 3, FALSE)</f>
        <v>Player 150</v>
      </c>
      <c r="G160">
        <v>93</v>
      </c>
      <c r="H160">
        <f t="shared" si="11"/>
        <v>2</v>
      </c>
      <c r="I160" t="str">
        <f t="shared" si="8"/>
        <v>Normal</v>
      </c>
      <c r="J160" t="str">
        <f t="shared" si="9"/>
        <v>Normal</v>
      </c>
      <c r="K160" t="str">
        <f t="shared" si="10"/>
        <v/>
      </c>
    </row>
    <row r="161" spans="1:11" x14ac:dyDescent="0.25">
      <c r="A161">
        <v>2619</v>
      </c>
      <c r="B161">
        <v>123.715048026852</v>
      </c>
      <c r="C161">
        <v>32.292801322287097</v>
      </c>
      <c r="D161">
        <v>159</v>
      </c>
      <c r="E161">
        <f>VLOOKUP(A161, Athletes_Map!A:B, 2, FALSE)</f>
        <v>151</v>
      </c>
      <c r="F161" t="str">
        <f>VLOOKUP(A161, Athletes_Map!A:C, 3, FALSE)</f>
        <v>Player 151</v>
      </c>
      <c r="G161">
        <v>94</v>
      </c>
      <c r="H161">
        <f t="shared" si="11"/>
        <v>2</v>
      </c>
      <c r="I161" t="str">
        <f t="shared" si="8"/>
        <v>Normal</v>
      </c>
      <c r="J161" t="str">
        <f t="shared" si="9"/>
        <v>Normal</v>
      </c>
      <c r="K161" t="str">
        <f t="shared" si="10"/>
        <v/>
      </c>
    </row>
    <row r="162" spans="1:11" x14ac:dyDescent="0.25">
      <c r="A162">
        <v>2625</v>
      </c>
      <c r="B162">
        <v>121.63711828922</v>
      </c>
      <c r="C162">
        <v>33.926155412682697</v>
      </c>
      <c r="D162">
        <v>160</v>
      </c>
      <c r="E162">
        <f>VLOOKUP(A162, Athletes_Map!A:B, 2, FALSE)</f>
        <v>152</v>
      </c>
      <c r="F162" t="str">
        <f>VLOOKUP(A162, Athletes_Map!A:C, 3, FALSE)</f>
        <v>Player 152</v>
      </c>
      <c r="G162">
        <v>95</v>
      </c>
      <c r="H162">
        <f t="shared" si="11"/>
        <v>2</v>
      </c>
      <c r="I162" t="str">
        <f t="shared" si="8"/>
        <v>Normal</v>
      </c>
      <c r="J162" t="str">
        <f t="shared" si="9"/>
        <v>Normal</v>
      </c>
      <c r="K162" t="str">
        <f t="shared" si="10"/>
        <v/>
      </c>
    </row>
    <row r="163" spans="1:11" x14ac:dyDescent="0.25">
      <c r="A163">
        <v>2633</v>
      </c>
      <c r="B163">
        <v>119.28021078984099</v>
      </c>
      <c r="C163">
        <v>32.065088712747901</v>
      </c>
      <c r="D163">
        <v>161</v>
      </c>
      <c r="E163">
        <f>VLOOKUP(A163, Athletes_Map!A:B, 2, FALSE)</f>
        <v>153</v>
      </c>
      <c r="F163" t="str">
        <f>VLOOKUP(A163, Athletes_Map!A:C, 3, FALSE)</f>
        <v>Player 153</v>
      </c>
      <c r="G163">
        <v>94</v>
      </c>
      <c r="H163">
        <f t="shared" si="11"/>
        <v>1</v>
      </c>
      <c r="I163" t="str">
        <f t="shared" si="8"/>
        <v>Normal</v>
      </c>
      <c r="J163" t="str">
        <f t="shared" si="9"/>
        <v>Normal</v>
      </c>
      <c r="K163" t="str">
        <f t="shared" si="10"/>
        <v/>
      </c>
    </row>
    <row r="164" spans="1:11" x14ac:dyDescent="0.25">
      <c r="A164">
        <v>2636</v>
      </c>
      <c r="B164">
        <v>139.68429465073001</v>
      </c>
      <c r="C164">
        <v>32.522930681409903</v>
      </c>
      <c r="D164">
        <v>162</v>
      </c>
      <c r="E164">
        <f>VLOOKUP(A164, Athletes_Map!A:B, 2, FALSE)</f>
        <v>154</v>
      </c>
      <c r="F164" t="str">
        <f>VLOOKUP(A164, Athletes_Map!A:C, 3, FALSE)</f>
        <v>Player 154</v>
      </c>
      <c r="G164">
        <v>95</v>
      </c>
      <c r="H164">
        <f t="shared" si="11"/>
        <v>2</v>
      </c>
      <c r="I164" t="str">
        <f t="shared" si="8"/>
        <v>Normal</v>
      </c>
      <c r="J164" t="str">
        <f t="shared" si="9"/>
        <v>Normal</v>
      </c>
      <c r="K164" t="str">
        <f t="shared" si="10"/>
        <v/>
      </c>
    </row>
    <row r="165" spans="1:11" x14ac:dyDescent="0.25">
      <c r="A165">
        <v>2645</v>
      </c>
      <c r="B165">
        <v>115.933427834825</v>
      </c>
      <c r="C165">
        <v>32.695588706949103</v>
      </c>
      <c r="D165">
        <v>163</v>
      </c>
      <c r="E165">
        <f>VLOOKUP(A165, Athletes_Map!A:B, 2, FALSE)</f>
        <v>155</v>
      </c>
      <c r="F165" t="str">
        <f>VLOOKUP(A165, Athletes_Map!A:C, 3, FALSE)</f>
        <v>Player 155</v>
      </c>
      <c r="G165">
        <v>93</v>
      </c>
      <c r="H165">
        <f t="shared" si="11"/>
        <v>2</v>
      </c>
      <c r="I165" t="str">
        <f t="shared" si="8"/>
        <v>Normal</v>
      </c>
      <c r="J165" t="str">
        <f t="shared" si="9"/>
        <v>Normal</v>
      </c>
      <c r="K165" t="str">
        <f t="shared" si="10"/>
        <v/>
      </c>
    </row>
    <row r="166" spans="1:11" x14ac:dyDescent="0.25">
      <c r="A166">
        <v>2646</v>
      </c>
      <c r="B166">
        <v>165.026673039109</v>
      </c>
      <c r="C166">
        <v>32.538068533907897</v>
      </c>
      <c r="D166">
        <v>164</v>
      </c>
      <c r="E166">
        <f>VLOOKUP(A166, Athletes_Map!A:B, 2, FALSE)</f>
        <v>156</v>
      </c>
      <c r="F166" t="str">
        <f>VLOOKUP(A166, Athletes_Map!A:C, 3, FALSE)</f>
        <v>Player 156</v>
      </c>
      <c r="G166">
        <v>91</v>
      </c>
      <c r="H166">
        <f t="shared" si="11"/>
        <v>3</v>
      </c>
      <c r="I166" t="str">
        <f t="shared" si="8"/>
        <v>Alert</v>
      </c>
      <c r="J166" t="str">
        <f t="shared" si="9"/>
        <v>Heart Rate</v>
      </c>
      <c r="K166">
        <f t="shared" si="10"/>
        <v>165.026673039109</v>
      </c>
    </row>
    <row r="167" spans="1:11" x14ac:dyDescent="0.25">
      <c r="A167">
        <v>2648</v>
      </c>
      <c r="B167">
        <v>160.56903725214499</v>
      </c>
      <c r="C167">
        <v>31.868930393049698</v>
      </c>
      <c r="D167">
        <v>165</v>
      </c>
      <c r="E167">
        <f>VLOOKUP(A167, Athletes_Map!A:B, 2, FALSE)</f>
        <v>157</v>
      </c>
      <c r="F167" t="str">
        <f>VLOOKUP(A167, Athletes_Map!A:C, 3, FALSE)</f>
        <v>Player 157</v>
      </c>
      <c r="G167">
        <v>93</v>
      </c>
      <c r="H167">
        <f t="shared" si="11"/>
        <v>3</v>
      </c>
      <c r="I167" t="str">
        <f t="shared" si="8"/>
        <v>Alert</v>
      </c>
      <c r="J167" t="str">
        <f t="shared" si="9"/>
        <v>Heart Rate</v>
      </c>
      <c r="K167">
        <f t="shared" si="10"/>
        <v>160.56903725214499</v>
      </c>
    </row>
    <row r="168" spans="1:11" x14ac:dyDescent="0.25">
      <c r="A168">
        <v>2663</v>
      </c>
      <c r="B168">
        <v>131.262567116772</v>
      </c>
      <c r="C168">
        <v>31.8073647901981</v>
      </c>
      <c r="D168">
        <v>166</v>
      </c>
      <c r="E168">
        <f>VLOOKUP(A168, Athletes_Map!A:B, 2, FALSE)</f>
        <v>158</v>
      </c>
      <c r="F168" t="str">
        <f>VLOOKUP(A168, Athletes_Map!A:C, 3, FALSE)</f>
        <v>Player 158</v>
      </c>
      <c r="G168">
        <v>95</v>
      </c>
      <c r="H168">
        <f t="shared" si="11"/>
        <v>2</v>
      </c>
      <c r="I168" t="str">
        <f t="shared" si="8"/>
        <v>Normal</v>
      </c>
      <c r="J168" t="str">
        <f t="shared" si="9"/>
        <v>Normal</v>
      </c>
      <c r="K168" t="str">
        <f t="shared" si="10"/>
        <v/>
      </c>
    </row>
    <row r="169" spans="1:11" x14ac:dyDescent="0.25">
      <c r="A169">
        <v>2664</v>
      </c>
      <c r="B169">
        <v>134.22983060998499</v>
      </c>
      <c r="C169">
        <v>33.359577225404799</v>
      </c>
      <c r="D169">
        <v>167</v>
      </c>
      <c r="E169">
        <f>VLOOKUP(A169, Athletes_Map!A:B, 2, FALSE)</f>
        <v>159</v>
      </c>
      <c r="F169" t="str">
        <f>VLOOKUP(A169, Athletes_Map!A:C, 3, FALSE)</f>
        <v>Player 159</v>
      </c>
      <c r="G169">
        <v>94</v>
      </c>
      <c r="H169">
        <f t="shared" si="11"/>
        <v>2</v>
      </c>
      <c r="I169" t="str">
        <f t="shared" si="8"/>
        <v>Normal</v>
      </c>
      <c r="J169" t="str">
        <f t="shared" si="9"/>
        <v>Normal</v>
      </c>
      <c r="K169" t="str">
        <f t="shared" si="10"/>
        <v/>
      </c>
    </row>
    <row r="170" spans="1:11" x14ac:dyDescent="0.25">
      <c r="A170">
        <v>2678</v>
      </c>
      <c r="B170">
        <v>153.76567611951899</v>
      </c>
      <c r="C170">
        <v>31.3337489354025</v>
      </c>
      <c r="D170">
        <v>168</v>
      </c>
      <c r="E170">
        <f>VLOOKUP(A170, Athletes_Map!A:B, 2, FALSE)</f>
        <v>160</v>
      </c>
      <c r="F170" t="str">
        <f>VLOOKUP(A170, Athletes_Map!A:C, 3, FALSE)</f>
        <v>Player 160</v>
      </c>
      <c r="G170">
        <v>90</v>
      </c>
      <c r="H170">
        <f t="shared" si="11"/>
        <v>3</v>
      </c>
      <c r="I170" t="str">
        <f t="shared" si="8"/>
        <v>Alert</v>
      </c>
      <c r="J170" t="str">
        <f t="shared" si="9"/>
        <v>Heart Rate</v>
      </c>
      <c r="K170">
        <f t="shared" si="10"/>
        <v>153.76567611951899</v>
      </c>
    </row>
    <row r="171" spans="1:11" x14ac:dyDescent="0.25">
      <c r="A171">
        <v>2679</v>
      </c>
      <c r="B171">
        <v>145.87200309188799</v>
      </c>
      <c r="C171">
        <v>34.154384626886198</v>
      </c>
      <c r="D171">
        <v>169</v>
      </c>
      <c r="E171">
        <f>VLOOKUP(A171, Athletes_Map!A:B, 2, FALSE)</f>
        <v>161</v>
      </c>
      <c r="F171" t="str">
        <f>VLOOKUP(A171, Athletes_Map!A:C, 3, FALSE)</f>
        <v>Player 161</v>
      </c>
      <c r="G171">
        <v>91</v>
      </c>
      <c r="H171">
        <f t="shared" si="11"/>
        <v>3</v>
      </c>
      <c r="I171" t="str">
        <f t="shared" si="8"/>
        <v>Alert</v>
      </c>
      <c r="J171" t="str">
        <f t="shared" si="9"/>
        <v>Oxygen</v>
      </c>
      <c r="K171">
        <f t="shared" si="10"/>
        <v>91</v>
      </c>
    </row>
    <row r="172" spans="1:11" x14ac:dyDescent="0.25">
      <c r="A172">
        <v>2685</v>
      </c>
      <c r="B172">
        <v>110.55744382216101</v>
      </c>
      <c r="C172">
        <v>33.7237136219386</v>
      </c>
      <c r="D172">
        <v>170</v>
      </c>
      <c r="E172">
        <f>VLOOKUP(A172, Athletes_Map!A:B, 2, FALSE)</f>
        <v>162</v>
      </c>
      <c r="F172" t="str">
        <f>VLOOKUP(A172, Athletes_Map!A:C, 3, FALSE)</f>
        <v>Player 162</v>
      </c>
      <c r="G172">
        <v>94</v>
      </c>
      <c r="H172">
        <f t="shared" si="11"/>
        <v>1</v>
      </c>
      <c r="I172" t="str">
        <f t="shared" si="8"/>
        <v>Normal</v>
      </c>
      <c r="J172" t="str">
        <f t="shared" si="9"/>
        <v>Normal</v>
      </c>
      <c r="K172" t="str">
        <f t="shared" si="10"/>
        <v/>
      </c>
    </row>
    <row r="173" spans="1:11" x14ac:dyDescent="0.25">
      <c r="A173">
        <v>2686</v>
      </c>
      <c r="B173">
        <v>97.209185381089299</v>
      </c>
      <c r="C173">
        <v>33.229892875432903</v>
      </c>
      <c r="D173">
        <v>171</v>
      </c>
      <c r="E173">
        <f>VLOOKUP(A173, Athletes_Map!A:B, 2, FALSE)</f>
        <v>163</v>
      </c>
      <c r="F173" t="str">
        <f>VLOOKUP(A173, Athletes_Map!A:C, 3, FALSE)</f>
        <v>Player 163</v>
      </c>
      <c r="G173">
        <v>99</v>
      </c>
      <c r="H173">
        <f t="shared" si="11"/>
        <v>1</v>
      </c>
      <c r="I173" t="str">
        <f t="shared" si="8"/>
        <v>Normal</v>
      </c>
      <c r="J173" t="str">
        <f t="shared" si="9"/>
        <v>Normal</v>
      </c>
      <c r="K173" t="str">
        <f t="shared" si="10"/>
        <v/>
      </c>
    </row>
    <row r="174" spans="1:11" x14ac:dyDescent="0.25">
      <c r="A174">
        <v>2687</v>
      </c>
      <c r="B174">
        <v>128.01484591363101</v>
      </c>
      <c r="C174">
        <v>32.162160390466703</v>
      </c>
      <c r="D174">
        <v>172</v>
      </c>
      <c r="E174">
        <f>VLOOKUP(A174, Athletes_Map!A:B, 2, FALSE)</f>
        <v>164</v>
      </c>
      <c r="F174" t="str">
        <f>VLOOKUP(A174, Athletes_Map!A:C, 3, FALSE)</f>
        <v>Player 164</v>
      </c>
      <c r="G174">
        <v>93</v>
      </c>
      <c r="H174">
        <f t="shared" si="11"/>
        <v>2</v>
      </c>
      <c r="I174" t="str">
        <f t="shared" si="8"/>
        <v>Normal</v>
      </c>
      <c r="J174" t="str">
        <f t="shared" si="9"/>
        <v>Normal</v>
      </c>
      <c r="K174" t="str">
        <f t="shared" si="10"/>
        <v/>
      </c>
    </row>
    <row r="175" spans="1:11" x14ac:dyDescent="0.25">
      <c r="A175">
        <v>2693</v>
      </c>
      <c r="B175">
        <v>172.62314138881101</v>
      </c>
      <c r="C175">
        <v>34.833637631265397</v>
      </c>
      <c r="D175">
        <v>173</v>
      </c>
      <c r="E175">
        <f>VLOOKUP(A175, Athletes_Map!A:B, 2, FALSE)</f>
        <v>165</v>
      </c>
      <c r="F175" t="str">
        <f>VLOOKUP(A175, Athletes_Map!A:C, 3, FALSE)</f>
        <v>Player 165</v>
      </c>
      <c r="G175">
        <v>91</v>
      </c>
      <c r="H175">
        <f t="shared" si="11"/>
        <v>3</v>
      </c>
      <c r="I175" t="str">
        <f t="shared" si="8"/>
        <v>Alert</v>
      </c>
      <c r="J175" t="str">
        <f t="shared" si="9"/>
        <v>Heart Rate</v>
      </c>
      <c r="K175">
        <f t="shared" si="10"/>
        <v>172.62314138881101</v>
      </c>
    </row>
    <row r="176" spans="1:11" x14ac:dyDescent="0.25">
      <c r="A176">
        <v>2693</v>
      </c>
      <c r="B176">
        <v>101.628318522448</v>
      </c>
      <c r="C176">
        <v>31.3005275330488</v>
      </c>
      <c r="D176">
        <v>174</v>
      </c>
      <c r="E176">
        <f>VLOOKUP(A176, Athletes_Map!A:B, 2, FALSE)</f>
        <v>165</v>
      </c>
      <c r="F176" t="str">
        <f>VLOOKUP(A176, Athletes_Map!A:C, 3, FALSE)</f>
        <v>Player 165</v>
      </c>
      <c r="G176">
        <v>97</v>
      </c>
      <c r="H176">
        <f t="shared" si="11"/>
        <v>1</v>
      </c>
      <c r="I176" t="str">
        <f t="shared" si="8"/>
        <v>Normal</v>
      </c>
      <c r="J176" t="str">
        <f t="shared" si="9"/>
        <v>Normal</v>
      </c>
      <c r="K176" t="str">
        <f t="shared" si="10"/>
        <v/>
      </c>
    </row>
    <row r="177" spans="1:11" x14ac:dyDescent="0.25">
      <c r="A177">
        <v>2707</v>
      </c>
      <c r="B177">
        <v>140.783372878156</v>
      </c>
      <c r="C177">
        <v>34.309034004724403</v>
      </c>
      <c r="D177">
        <v>175</v>
      </c>
      <c r="E177">
        <f>VLOOKUP(A177, Athletes_Map!A:B, 2, FALSE)</f>
        <v>166</v>
      </c>
      <c r="F177" t="str">
        <f>VLOOKUP(A177, Athletes_Map!A:C, 3, FALSE)</f>
        <v>Player 166</v>
      </c>
      <c r="G177">
        <v>90</v>
      </c>
      <c r="H177">
        <f t="shared" si="11"/>
        <v>3</v>
      </c>
      <c r="I177" t="str">
        <f t="shared" si="8"/>
        <v>Alert</v>
      </c>
      <c r="J177" t="str">
        <f t="shared" si="9"/>
        <v>Oxygen</v>
      </c>
      <c r="K177">
        <f t="shared" si="10"/>
        <v>90</v>
      </c>
    </row>
    <row r="178" spans="1:11" x14ac:dyDescent="0.25">
      <c r="A178">
        <v>2733</v>
      </c>
      <c r="B178">
        <v>159.76566142867199</v>
      </c>
      <c r="C178">
        <v>33.5768934957215</v>
      </c>
      <c r="D178">
        <v>176</v>
      </c>
      <c r="E178">
        <f>VLOOKUP(A178, Athletes_Map!A:B, 2, FALSE)</f>
        <v>167</v>
      </c>
      <c r="F178" t="str">
        <f>VLOOKUP(A178, Athletes_Map!A:C, 3, FALSE)</f>
        <v>Player 167</v>
      </c>
      <c r="G178">
        <v>90</v>
      </c>
      <c r="H178">
        <f t="shared" si="11"/>
        <v>3</v>
      </c>
      <c r="I178" t="str">
        <f t="shared" si="8"/>
        <v>Alert</v>
      </c>
      <c r="J178" t="str">
        <f t="shared" si="9"/>
        <v>Heart Rate</v>
      </c>
      <c r="K178">
        <f t="shared" si="10"/>
        <v>159.76566142867199</v>
      </c>
    </row>
    <row r="179" spans="1:11" x14ac:dyDescent="0.25">
      <c r="A179">
        <v>2734</v>
      </c>
      <c r="B179">
        <v>120.381399201161</v>
      </c>
      <c r="C179">
        <v>31.227690086961701</v>
      </c>
      <c r="D179">
        <v>177</v>
      </c>
      <c r="E179">
        <f>VLOOKUP(A179, Athletes_Map!A:B, 2, FALSE)</f>
        <v>168</v>
      </c>
      <c r="F179" t="str">
        <f>VLOOKUP(A179, Athletes_Map!A:C, 3, FALSE)</f>
        <v>Player 168</v>
      </c>
      <c r="G179">
        <v>93</v>
      </c>
      <c r="H179">
        <f t="shared" si="11"/>
        <v>2</v>
      </c>
      <c r="I179" t="str">
        <f t="shared" si="8"/>
        <v>Normal</v>
      </c>
      <c r="J179" t="str">
        <f t="shared" si="9"/>
        <v>Normal</v>
      </c>
      <c r="K179" t="str">
        <f t="shared" si="10"/>
        <v/>
      </c>
    </row>
    <row r="180" spans="1:11" x14ac:dyDescent="0.25">
      <c r="A180">
        <v>2757</v>
      </c>
      <c r="B180">
        <v>134.20889692286599</v>
      </c>
      <c r="C180">
        <v>32.802797752937501</v>
      </c>
      <c r="D180">
        <v>178</v>
      </c>
      <c r="E180">
        <f>VLOOKUP(A180, Athletes_Map!A:B, 2, FALSE)</f>
        <v>169</v>
      </c>
      <c r="F180" t="str">
        <f>VLOOKUP(A180, Athletes_Map!A:C, 3, FALSE)</f>
        <v>Player 169</v>
      </c>
      <c r="G180">
        <v>95</v>
      </c>
      <c r="H180">
        <f t="shared" si="11"/>
        <v>2</v>
      </c>
      <c r="I180" t="str">
        <f t="shared" si="8"/>
        <v>Normal</v>
      </c>
      <c r="J180" t="str">
        <f t="shared" si="9"/>
        <v>Normal</v>
      </c>
      <c r="K180" t="str">
        <f t="shared" si="10"/>
        <v/>
      </c>
    </row>
    <row r="181" spans="1:11" x14ac:dyDescent="0.25">
      <c r="A181">
        <v>2759</v>
      </c>
      <c r="B181">
        <v>127.93667414378601</v>
      </c>
      <c r="C181">
        <v>33.748088565935902</v>
      </c>
      <c r="D181">
        <v>179</v>
      </c>
      <c r="E181">
        <f>VLOOKUP(A181, Athletes_Map!A:B, 2, FALSE)</f>
        <v>170</v>
      </c>
      <c r="F181" t="str">
        <f>VLOOKUP(A181, Athletes_Map!A:C, 3, FALSE)</f>
        <v>Player 170</v>
      </c>
      <c r="G181">
        <v>94</v>
      </c>
      <c r="H181">
        <f t="shared" si="11"/>
        <v>2</v>
      </c>
      <c r="I181" t="str">
        <f t="shared" si="8"/>
        <v>Normal</v>
      </c>
      <c r="J181" t="str">
        <f t="shared" si="9"/>
        <v>Normal</v>
      </c>
      <c r="K181" t="str">
        <f t="shared" si="10"/>
        <v/>
      </c>
    </row>
    <row r="182" spans="1:11" x14ac:dyDescent="0.25">
      <c r="A182">
        <v>2761</v>
      </c>
      <c r="B182">
        <v>142.99375903505199</v>
      </c>
      <c r="C182">
        <v>30.675896756996998</v>
      </c>
      <c r="D182">
        <v>180</v>
      </c>
      <c r="E182">
        <f>VLOOKUP(A182, Athletes_Map!A:B, 2, FALSE)</f>
        <v>171</v>
      </c>
      <c r="F182" t="str">
        <f>VLOOKUP(A182, Athletes_Map!A:C, 3, FALSE)</f>
        <v>Player 171</v>
      </c>
      <c r="G182">
        <v>90</v>
      </c>
      <c r="H182">
        <f t="shared" si="11"/>
        <v>3</v>
      </c>
      <c r="I182" t="str">
        <f t="shared" si="8"/>
        <v>Alert</v>
      </c>
      <c r="J182" t="str">
        <f t="shared" si="9"/>
        <v>Oxygen</v>
      </c>
      <c r="K182">
        <f t="shared" si="10"/>
        <v>90</v>
      </c>
    </row>
    <row r="183" spans="1:11" x14ac:dyDescent="0.25">
      <c r="A183">
        <v>2792</v>
      </c>
      <c r="B183">
        <v>162.497528382963</v>
      </c>
      <c r="C183">
        <v>34.124972991008299</v>
      </c>
      <c r="D183">
        <v>181</v>
      </c>
      <c r="E183">
        <f>VLOOKUP(A183, Athletes_Map!A:B, 2, FALSE)</f>
        <v>172</v>
      </c>
      <c r="F183" t="str">
        <f>VLOOKUP(A183, Athletes_Map!A:C, 3, FALSE)</f>
        <v>Player 172</v>
      </c>
      <c r="G183">
        <v>92</v>
      </c>
      <c r="H183">
        <f t="shared" si="11"/>
        <v>3</v>
      </c>
      <c r="I183" t="str">
        <f t="shared" si="8"/>
        <v>Alert</v>
      </c>
      <c r="J183" t="str">
        <f t="shared" si="9"/>
        <v>Heart Rate</v>
      </c>
      <c r="K183">
        <f t="shared" si="10"/>
        <v>162.497528382963</v>
      </c>
    </row>
    <row r="184" spans="1:11" x14ac:dyDescent="0.25">
      <c r="A184">
        <v>2802</v>
      </c>
      <c r="B184">
        <v>125.21121114963501</v>
      </c>
      <c r="C184">
        <v>30.787447699823101</v>
      </c>
      <c r="D184">
        <v>182</v>
      </c>
      <c r="E184">
        <f>VLOOKUP(A184, Athletes_Map!A:B, 2, FALSE)</f>
        <v>173</v>
      </c>
      <c r="F184" t="str">
        <f>VLOOKUP(A184, Athletes_Map!A:C, 3, FALSE)</f>
        <v>Player 173</v>
      </c>
      <c r="G184">
        <v>96</v>
      </c>
      <c r="H184">
        <f t="shared" si="11"/>
        <v>2</v>
      </c>
      <c r="I184" t="str">
        <f t="shared" si="8"/>
        <v>Normal</v>
      </c>
      <c r="J184" t="str">
        <f t="shared" si="9"/>
        <v>Normal</v>
      </c>
      <c r="K184" t="str">
        <f t="shared" si="10"/>
        <v/>
      </c>
    </row>
    <row r="185" spans="1:11" x14ac:dyDescent="0.25">
      <c r="A185">
        <v>2810</v>
      </c>
      <c r="B185">
        <v>134.60724402146599</v>
      </c>
      <c r="C185">
        <v>34.316760225052398</v>
      </c>
      <c r="D185">
        <v>183</v>
      </c>
      <c r="E185">
        <f>VLOOKUP(A185, Athletes_Map!A:B, 2, FALSE)</f>
        <v>174</v>
      </c>
      <c r="F185" t="str">
        <f>VLOOKUP(A185, Athletes_Map!A:C, 3, FALSE)</f>
        <v>Player 174</v>
      </c>
      <c r="G185">
        <v>94</v>
      </c>
      <c r="H185">
        <f t="shared" si="11"/>
        <v>2</v>
      </c>
      <c r="I185" t="str">
        <f t="shared" si="8"/>
        <v>Normal</v>
      </c>
      <c r="J185" t="str">
        <f t="shared" si="9"/>
        <v>Normal</v>
      </c>
      <c r="K185" t="str">
        <f t="shared" si="10"/>
        <v/>
      </c>
    </row>
    <row r="186" spans="1:11" x14ac:dyDescent="0.25">
      <c r="A186">
        <v>2816</v>
      </c>
      <c r="B186">
        <v>163.80234430898901</v>
      </c>
      <c r="C186">
        <v>33.4357387532934</v>
      </c>
      <c r="D186">
        <v>184</v>
      </c>
      <c r="E186">
        <f>VLOOKUP(A186, Athletes_Map!A:B, 2, FALSE)</f>
        <v>175</v>
      </c>
      <c r="F186" t="str">
        <f>VLOOKUP(A186, Athletes_Map!A:C, 3, FALSE)</f>
        <v>Player 175</v>
      </c>
      <c r="G186">
        <v>92</v>
      </c>
      <c r="H186">
        <f t="shared" si="11"/>
        <v>3</v>
      </c>
      <c r="I186" t="str">
        <f t="shared" si="8"/>
        <v>Alert</v>
      </c>
      <c r="J186" t="str">
        <f t="shared" si="9"/>
        <v>Heart Rate</v>
      </c>
      <c r="K186">
        <f t="shared" si="10"/>
        <v>163.80234430898901</v>
      </c>
    </row>
    <row r="187" spans="1:11" x14ac:dyDescent="0.25">
      <c r="A187">
        <v>2828</v>
      </c>
      <c r="B187">
        <v>126.250833993531</v>
      </c>
      <c r="C187">
        <v>34.264669862754999</v>
      </c>
      <c r="D187">
        <v>185</v>
      </c>
      <c r="E187">
        <f>VLOOKUP(A187, Athletes_Map!A:B, 2, FALSE)</f>
        <v>176</v>
      </c>
      <c r="F187" t="str">
        <f>VLOOKUP(A187, Athletes_Map!A:C, 3, FALSE)</f>
        <v>Player 176</v>
      </c>
      <c r="G187">
        <v>93</v>
      </c>
      <c r="H187">
        <f t="shared" si="11"/>
        <v>2</v>
      </c>
      <c r="I187" t="str">
        <f t="shared" si="8"/>
        <v>Normal</v>
      </c>
      <c r="J187" t="str">
        <f t="shared" si="9"/>
        <v>Normal</v>
      </c>
      <c r="K187" t="str">
        <f t="shared" si="10"/>
        <v/>
      </c>
    </row>
    <row r="188" spans="1:11" x14ac:dyDescent="0.25">
      <c r="A188">
        <v>2838</v>
      </c>
      <c r="B188">
        <v>116.921847170704</v>
      </c>
      <c r="C188">
        <v>30.605361863457901</v>
      </c>
      <c r="D188">
        <v>186</v>
      </c>
      <c r="E188">
        <f>VLOOKUP(A188, Athletes_Map!A:B, 2, FALSE)</f>
        <v>177</v>
      </c>
      <c r="F188" t="str">
        <f>VLOOKUP(A188, Athletes_Map!A:C, 3, FALSE)</f>
        <v>Player 177</v>
      </c>
      <c r="G188">
        <v>93</v>
      </c>
      <c r="H188">
        <f t="shared" si="11"/>
        <v>2</v>
      </c>
      <c r="I188" t="str">
        <f t="shared" si="8"/>
        <v>Normal</v>
      </c>
      <c r="J188" t="str">
        <f t="shared" si="9"/>
        <v>Normal</v>
      </c>
      <c r="K188" t="str">
        <f t="shared" si="10"/>
        <v/>
      </c>
    </row>
    <row r="189" spans="1:11" x14ac:dyDescent="0.25">
      <c r="A189">
        <v>2841</v>
      </c>
      <c r="B189">
        <v>139.16765615895099</v>
      </c>
      <c r="C189">
        <v>30.972980354439201</v>
      </c>
      <c r="D189">
        <v>187</v>
      </c>
      <c r="E189">
        <f>VLOOKUP(A189, Athletes_Map!A:B, 2, FALSE)</f>
        <v>178</v>
      </c>
      <c r="F189" t="str">
        <f>VLOOKUP(A189, Athletes_Map!A:C, 3, FALSE)</f>
        <v>Player 178</v>
      </c>
      <c r="G189">
        <v>96</v>
      </c>
      <c r="H189">
        <f t="shared" si="11"/>
        <v>2</v>
      </c>
      <c r="I189" t="str">
        <f t="shared" si="8"/>
        <v>Normal</v>
      </c>
      <c r="J189" t="str">
        <f t="shared" si="9"/>
        <v>Normal</v>
      </c>
      <c r="K189" t="str">
        <f t="shared" si="10"/>
        <v/>
      </c>
    </row>
    <row r="190" spans="1:11" x14ac:dyDescent="0.25">
      <c r="A190">
        <v>2843</v>
      </c>
      <c r="B190">
        <v>134.33746054252401</v>
      </c>
      <c r="C190">
        <v>32.112754311049102</v>
      </c>
      <c r="D190">
        <v>188</v>
      </c>
      <c r="E190">
        <f>VLOOKUP(A190, Athletes_Map!A:B, 2, FALSE)</f>
        <v>179</v>
      </c>
      <c r="F190" t="str">
        <f>VLOOKUP(A190, Athletes_Map!A:C, 3, FALSE)</f>
        <v>Player 179</v>
      </c>
      <c r="G190">
        <v>95</v>
      </c>
      <c r="H190">
        <f t="shared" si="11"/>
        <v>2</v>
      </c>
      <c r="I190" t="str">
        <f t="shared" si="8"/>
        <v>Normal</v>
      </c>
      <c r="J190" t="str">
        <f t="shared" si="9"/>
        <v>Normal</v>
      </c>
      <c r="K190" t="str">
        <f t="shared" si="10"/>
        <v/>
      </c>
    </row>
    <row r="191" spans="1:11" x14ac:dyDescent="0.25">
      <c r="A191">
        <v>2852</v>
      </c>
      <c r="B191">
        <v>147.67553761864099</v>
      </c>
      <c r="C191">
        <v>32.993327647622301</v>
      </c>
      <c r="D191">
        <v>189</v>
      </c>
      <c r="E191">
        <f>VLOOKUP(A191, Athletes_Map!A:B, 2, FALSE)</f>
        <v>180</v>
      </c>
      <c r="F191" t="str">
        <f>VLOOKUP(A191, Athletes_Map!A:C, 3, FALSE)</f>
        <v>Player 180</v>
      </c>
      <c r="G191">
        <v>91</v>
      </c>
      <c r="H191">
        <f t="shared" si="11"/>
        <v>3</v>
      </c>
      <c r="I191" t="str">
        <f t="shared" si="8"/>
        <v>Alert</v>
      </c>
      <c r="J191" t="str">
        <f t="shared" si="9"/>
        <v>Oxygen</v>
      </c>
      <c r="K191">
        <f t="shared" si="10"/>
        <v>91</v>
      </c>
    </row>
    <row r="192" spans="1:11" x14ac:dyDescent="0.25">
      <c r="A192">
        <v>2853</v>
      </c>
      <c r="B192">
        <v>129.36430782278899</v>
      </c>
      <c r="C192">
        <v>33.577089711298598</v>
      </c>
      <c r="D192">
        <v>190</v>
      </c>
      <c r="E192">
        <f>VLOOKUP(A192, Athletes_Map!A:B, 2, FALSE)</f>
        <v>181</v>
      </c>
      <c r="F192" t="str">
        <f>VLOOKUP(A192, Athletes_Map!A:C, 3, FALSE)</f>
        <v>Player 181</v>
      </c>
      <c r="G192">
        <v>94</v>
      </c>
      <c r="H192">
        <f t="shared" si="11"/>
        <v>2</v>
      </c>
      <c r="I192" t="str">
        <f t="shared" si="8"/>
        <v>Normal</v>
      </c>
      <c r="J192" t="str">
        <f t="shared" si="9"/>
        <v>Normal</v>
      </c>
      <c r="K192" t="str">
        <f t="shared" si="10"/>
        <v/>
      </c>
    </row>
    <row r="193" spans="1:11" x14ac:dyDescent="0.25">
      <c r="A193">
        <v>2854</v>
      </c>
      <c r="B193">
        <v>129.952929957474</v>
      </c>
      <c r="C193">
        <v>31.993328791169098</v>
      </c>
      <c r="D193">
        <v>191</v>
      </c>
      <c r="E193">
        <f>VLOOKUP(A193, Athletes_Map!A:B, 2, FALSE)</f>
        <v>182</v>
      </c>
      <c r="F193" t="str">
        <f>VLOOKUP(A193, Athletes_Map!A:C, 3, FALSE)</f>
        <v>Player 182</v>
      </c>
      <c r="G193">
        <v>96</v>
      </c>
      <c r="H193">
        <f t="shared" si="11"/>
        <v>2</v>
      </c>
      <c r="I193" t="str">
        <f t="shared" si="8"/>
        <v>Normal</v>
      </c>
      <c r="J193" t="str">
        <f t="shared" si="9"/>
        <v>Normal</v>
      </c>
      <c r="K193" t="str">
        <f t="shared" si="10"/>
        <v/>
      </c>
    </row>
    <row r="194" spans="1:11" x14ac:dyDescent="0.25">
      <c r="A194">
        <v>2865</v>
      </c>
      <c r="B194">
        <v>134.57265411303101</v>
      </c>
      <c r="C194">
        <v>31.715770124526799</v>
      </c>
      <c r="D194">
        <v>192</v>
      </c>
      <c r="E194">
        <f>VLOOKUP(A194, Athletes_Map!A:B, 2, FALSE)</f>
        <v>183</v>
      </c>
      <c r="F194" t="str">
        <f>VLOOKUP(A194, Athletes_Map!A:C, 3, FALSE)</f>
        <v>Player 183</v>
      </c>
      <c r="G194">
        <v>96</v>
      </c>
      <c r="H194">
        <f t="shared" si="11"/>
        <v>2</v>
      </c>
      <c r="I194" t="str">
        <f t="shared" ref="I194:I257" si="12">IF(H194=3, "Alert", "Normal")</f>
        <v>Normal</v>
      </c>
      <c r="J194" t="str">
        <f t="shared" ref="J194:J257" si="13">IF(B194&gt;150,"Heart Rate",
IF(C194&gt;37.5,"Temperature",
IF(G194&lt;92,"Oxygen","Normal")))</f>
        <v>Normal</v>
      </c>
      <c r="K194" t="str">
        <f t="shared" ref="K194:K257" si="14">IF(J194="Heart Rate",B194,IF(J194="Temperature",C194,IF(J194="Oxygen",G194,"")))</f>
        <v/>
      </c>
    </row>
    <row r="195" spans="1:11" x14ac:dyDescent="0.25">
      <c r="A195">
        <v>2887</v>
      </c>
      <c r="B195">
        <v>116.334640818536</v>
      </c>
      <c r="C195">
        <v>33.038888416008099</v>
      </c>
      <c r="D195">
        <v>193</v>
      </c>
      <c r="E195">
        <f>VLOOKUP(A195, Athletes_Map!A:B, 2, FALSE)</f>
        <v>184</v>
      </c>
      <c r="F195" t="str">
        <f>VLOOKUP(A195, Athletes_Map!A:C, 3, FALSE)</f>
        <v>Player 184</v>
      </c>
      <c r="G195">
        <v>93</v>
      </c>
      <c r="H195">
        <f t="shared" ref="H195:H258" si="15">IF(OR(B195&gt;150, C195&gt;37.5, G195&lt;92), 3,
IF(OR(B195&gt;120, C195&gt;37, G195&lt;94), 2,
1))</f>
        <v>2</v>
      </c>
      <c r="I195" t="str">
        <f t="shared" si="12"/>
        <v>Normal</v>
      </c>
      <c r="J195" t="str">
        <f t="shared" si="13"/>
        <v>Normal</v>
      </c>
      <c r="K195" t="str">
        <f t="shared" si="14"/>
        <v/>
      </c>
    </row>
    <row r="196" spans="1:11" x14ac:dyDescent="0.25">
      <c r="A196">
        <v>2895</v>
      </c>
      <c r="B196">
        <v>137.562088298215</v>
      </c>
      <c r="C196">
        <v>32.523365620624801</v>
      </c>
      <c r="D196">
        <v>194</v>
      </c>
      <c r="E196">
        <f>VLOOKUP(A196, Athletes_Map!A:B, 2, FALSE)</f>
        <v>185</v>
      </c>
      <c r="F196" t="str">
        <f>VLOOKUP(A196, Athletes_Map!A:C, 3, FALSE)</f>
        <v>Player 185</v>
      </c>
      <c r="G196">
        <v>96</v>
      </c>
      <c r="H196">
        <f t="shared" si="15"/>
        <v>2</v>
      </c>
      <c r="I196" t="str">
        <f t="shared" si="12"/>
        <v>Normal</v>
      </c>
      <c r="J196" t="str">
        <f t="shared" si="13"/>
        <v>Normal</v>
      </c>
      <c r="K196" t="str">
        <f t="shared" si="14"/>
        <v/>
      </c>
    </row>
    <row r="197" spans="1:11" x14ac:dyDescent="0.25">
      <c r="A197">
        <v>2899</v>
      </c>
      <c r="B197">
        <v>103.86741652952099</v>
      </c>
      <c r="C197">
        <v>32.831549929313503</v>
      </c>
      <c r="D197">
        <v>195</v>
      </c>
      <c r="E197">
        <f>VLOOKUP(A197, Athletes_Map!A:B, 2, FALSE)</f>
        <v>186</v>
      </c>
      <c r="F197" t="str">
        <f>VLOOKUP(A197, Athletes_Map!A:C, 3, FALSE)</f>
        <v>Player 186</v>
      </c>
      <c r="G197">
        <v>99</v>
      </c>
      <c r="H197">
        <f t="shared" si="15"/>
        <v>1</v>
      </c>
      <c r="I197" t="str">
        <f t="shared" si="12"/>
        <v>Normal</v>
      </c>
      <c r="J197" t="str">
        <f t="shared" si="13"/>
        <v>Normal</v>
      </c>
      <c r="K197" t="str">
        <f t="shared" si="14"/>
        <v/>
      </c>
    </row>
    <row r="198" spans="1:11" x14ac:dyDescent="0.25">
      <c r="A198">
        <v>2906</v>
      </c>
      <c r="B198">
        <v>142.83608010805</v>
      </c>
      <c r="C198">
        <v>32.611118189749199</v>
      </c>
      <c r="D198">
        <v>196</v>
      </c>
      <c r="E198">
        <f>VLOOKUP(A198, Athletes_Map!A:B, 2, FALSE)</f>
        <v>187</v>
      </c>
      <c r="F198" t="str">
        <f>VLOOKUP(A198, Athletes_Map!A:C, 3, FALSE)</f>
        <v>Player 187</v>
      </c>
      <c r="G198">
        <v>91</v>
      </c>
      <c r="H198">
        <f t="shared" si="15"/>
        <v>3</v>
      </c>
      <c r="I198" t="str">
        <f t="shared" si="12"/>
        <v>Alert</v>
      </c>
      <c r="J198" t="str">
        <f t="shared" si="13"/>
        <v>Oxygen</v>
      </c>
      <c r="K198">
        <f t="shared" si="14"/>
        <v>91</v>
      </c>
    </row>
    <row r="199" spans="1:11" x14ac:dyDescent="0.25">
      <c r="A199">
        <v>2906</v>
      </c>
      <c r="B199">
        <v>165.56936852825001</v>
      </c>
      <c r="C199">
        <v>32.578980683908199</v>
      </c>
      <c r="D199">
        <v>197</v>
      </c>
      <c r="E199">
        <f>VLOOKUP(A199, Athletes_Map!A:B, 2, FALSE)</f>
        <v>187</v>
      </c>
      <c r="F199" t="str">
        <f>VLOOKUP(A199, Athletes_Map!A:C, 3, FALSE)</f>
        <v>Player 187</v>
      </c>
      <c r="G199">
        <v>91</v>
      </c>
      <c r="H199">
        <f t="shared" si="15"/>
        <v>3</v>
      </c>
      <c r="I199" t="str">
        <f t="shared" si="12"/>
        <v>Alert</v>
      </c>
      <c r="J199" t="str">
        <f t="shared" si="13"/>
        <v>Heart Rate</v>
      </c>
      <c r="K199">
        <f t="shared" si="14"/>
        <v>165.56936852825001</v>
      </c>
    </row>
    <row r="200" spans="1:11" x14ac:dyDescent="0.25">
      <c r="A200">
        <v>2908</v>
      </c>
      <c r="B200">
        <v>118.63602233155299</v>
      </c>
      <c r="C200">
        <v>31.099693932254901</v>
      </c>
      <c r="D200">
        <v>198</v>
      </c>
      <c r="E200">
        <f>VLOOKUP(A200, Athletes_Map!A:B, 2, FALSE)</f>
        <v>188</v>
      </c>
      <c r="F200" t="str">
        <f>VLOOKUP(A200, Athletes_Map!A:C, 3, FALSE)</f>
        <v>Player 188</v>
      </c>
      <c r="G200">
        <v>93</v>
      </c>
      <c r="H200">
        <f t="shared" si="15"/>
        <v>2</v>
      </c>
      <c r="I200" t="str">
        <f t="shared" si="12"/>
        <v>Normal</v>
      </c>
      <c r="J200" t="str">
        <f t="shared" si="13"/>
        <v>Normal</v>
      </c>
      <c r="K200" t="str">
        <f t="shared" si="14"/>
        <v/>
      </c>
    </row>
    <row r="201" spans="1:11" x14ac:dyDescent="0.25">
      <c r="A201">
        <v>2917</v>
      </c>
      <c r="B201">
        <v>149.447627156555</v>
      </c>
      <c r="C201">
        <v>31.566572472280701</v>
      </c>
      <c r="D201">
        <v>199</v>
      </c>
      <c r="E201">
        <f>VLOOKUP(A201, Athletes_Map!A:B, 2, FALSE)</f>
        <v>189</v>
      </c>
      <c r="F201" t="str">
        <f>VLOOKUP(A201, Athletes_Map!A:C, 3, FALSE)</f>
        <v>Player 189</v>
      </c>
      <c r="G201">
        <v>92</v>
      </c>
      <c r="H201">
        <f t="shared" si="15"/>
        <v>2</v>
      </c>
      <c r="I201" t="str">
        <f t="shared" si="12"/>
        <v>Normal</v>
      </c>
      <c r="J201" t="str">
        <f t="shared" si="13"/>
        <v>Normal</v>
      </c>
      <c r="K201" t="str">
        <f t="shared" si="14"/>
        <v/>
      </c>
    </row>
    <row r="202" spans="1:11" x14ac:dyDescent="0.25">
      <c r="A202">
        <v>2930</v>
      </c>
      <c r="B202">
        <v>104.685117700055</v>
      </c>
      <c r="C202">
        <v>32.052793793136303</v>
      </c>
      <c r="D202">
        <v>200</v>
      </c>
      <c r="E202">
        <f>VLOOKUP(A202, Athletes_Map!A:B, 2, FALSE)</f>
        <v>190</v>
      </c>
      <c r="F202" t="str">
        <f>VLOOKUP(A202, Athletes_Map!A:C, 3, FALSE)</f>
        <v>Player 190</v>
      </c>
      <c r="G202">
        <v>98</v>
      </c>
      <c r="H202">
        <f t="shared" si="15"/>
        <v>1</v>
      </c>
      <c r="I202" t="str">
        <f t="shared" si="12"/>
        <v>Normal</v>
      </c>
      <c r="J202" t="str">
        <f t="shared" si="13"/>
        <v>Normal</v>
      </c>
      <c r="K202" t="str">
        <f t="shared" si="14"/>
        <v/>
      </c>
    </row>
    <row r="203" spans="1:11" x14ac:dyDescent="0.25">
      <c r="A203">
        <v>2931</v>
      </c>
      <c r="B203">
        <v>156.57361666862499</v>
      </c>
      <c r="C203">
        <v>31.060935855107399</v>
      </c>
      <c r="D203">
        <v>201</v>
      </c>
      <c r="E203">
        <f>VLOOKUP(A203, Athletes_Map!A:B, 2, FALSE)</f>
        <v>191</v>
      </c>
      <c r="F203" t="str">
        <f>VLOOKUP(A203, Athletes_Map!A:C, 3, FALSE)</f>
        <v>Player 191</v>
      </c>
      <c r="G203">
        <v>90</v>
      </c>
      <c r="H203">
        <f t="shared" si="15"/>
        <v>3</v>
      </c>
      <c r="I203" t="str">
        <f t="shared" si="12"/>
        <v>Alert</v>
      </c>
      <c r="J203" t="str">
        <f t="shared" si="13"/>
        <v>Heart Rate</v>
      </c>
      <c r="K203">
        <f t="shared" si="14"/>
        <v>156.57361666862499</v>
      </c>
    </row>
    <row r="204" spans="1:11" x14ac:dyDescent="0.25">
      <c r="A204">
        <v>2959</v>
      </c>
      <c r="B204">
        <v>139.47575903277701</v>
      </c>
      <c r="C204">
        <v>33.291605666465202</v>
      </c>
      <c r="D204">
        <v>202</v>
      </c>
      <c r="E204">
        <f>VLOOKUP(A204, Athletes_Map!A:B, 2, FALSE)</f>
        <v>192</v>
      </c>
      <c r="F204" t="str">
        <f>VLOOKUP(A204, Athletes_Map!A:C, 3, FALSE)</f>
        <v>Player 192</v>
      </c>
      <c r="G204">
        <v>94</v>
      </c>
      <c r="H204">
        <f t="shared" si="15"/>
        <v>2</v>
      </c>
      <c r="I204" t="str">
        <f t="shared" si="12"/>
        <v>Normal</v>
      </c>
      <c r="J204" t="str">
        <f t="shared" si="13"/>
        <v>Normal</v>
      </c>
      <c r="K204" t="str">
        <f t="shared" si="14"/>
        <v/>
      </c>
    </row>
    <row r="205" spans="1:11" x14ac:dyDescent="0.25">
      <c r="A205">
        <v>2970</v>
      </c>
      <c r="B205">
        <v>77.554755734367006</v>
      </c>
      <c r="C205">
        <v>33.919491570048599</v>
      </c>
      <c r="D205">
        <v>203</v>
      </c>
      <c r="E205">
        <f>VLOOKUP(A205, Athletes_Map!A:B, 2, FALSE)</f>
        <v>193</v>
      </c>
      <c r="F205" t="str">
        <f>VLOOKUP(A205, Athletes_Map!A:C, 3, FALSE)</f>
        <v>Player 193</v>
      </c>
      <c r="G205">
        <v>96</v>
      </c>
      <c r="H205">
        <f t="shared" si="15"/>
        <v>1</v>
      </c>
      <c r="I205" t="str">
        <f t="shared" si="12"/>
        <v>Normal</v>
      </c>
      <c r="J205" t="str">
        <f t="shared" si="13"/>
        <v>Normal</v>
      </c>
      <c r="K205" t="str">
        <f t="shared" si="14"/>
        <v/>
      </c>
    </row>
    <row r="206" spans="1:11" x14ac:dyDescent="0.25">
      <c r="A206">
        <v>2976</v>
      </c>
      <c r="B206">
        <v>114.10381611957899</v>
      </c>
      <c r="C206">
        <v>31.919291576956699</v>
      </c>
      <c r="D206">
        <v>204</v>
      </c>
      <c r="E206">
        <f>VLOOKUP(A206, Athletes_Map!A:B, 2, FALSE)</f>
        <v>194</v>
      </c>
      <c r="F206" t="str">
        <f>VLOOKUP(A206, Athletes_Map!A:C, 3, FALSE)</f>
        <v>Player 194</v>
      </c>
      <c r="G206">
        <v>96</v>
      </c>
      <c r="H206">
        <f t="shared" si="15"/>
        <v>1</v>
      </c>
      <c r="I206" t="str">
        <f t="shared" si="12"/>
        <v>Normal</v>
      </c>
      <c r="J206" t="str">
        <f t="shared" si="13"/>
        <v>Normal</v>
      </c>
      <c r="K206" t="str">
        <f t="shared" si="14"/>
        <v/>
      </c>
    </row>
    <row r="207" spans="1:11" x14ac:dyDescent="0.25">
      <c r="A207">
        <v>2986</v>
      </c>
      <c r="B207">
        <v>131.46105545011901</v>
      </c>
      <c r="C207">
        <v>31.331733689815799</v>
      </c>
      <c r="D207">
        <v>205</v>
      </c>
      <c r="E207">
        <f>VLOOKUP(A207, Athletes_Map!A:B, 2, FALSE)</f>
        <v>195</v>
      </c>
      <c r="F207" t="str">
        <f>VLOOKUP(A207, Athletes_Map!A:C, 3, FALSE)</f>
        <v>Player 195</v>
      </c>
      <c r="G207">
        <v>94</v>
      </c>
      <c r="H207">
        <f t="shared" si="15"/>
        <v>2</v>
      </c>
      <c r="I207" t="str">
        <f t="shared" si="12"/>
        <v>Normal</v>
      </c>
      <c r="J207" t="str">
        <f t="shared" si="13"/>
        <v>Normal</v>
      </c>
      <c r="K207" t="str">
        <f t="shared" si="14"/>
        <v/>
      </c>
    </row>
    <row r="208" spans="1:11" x14ac:dyDescent="0.25">
      <c r="A208">
        <v>2990</v>
      </c>
      <c r="B208">
        <v>128.30449335786901</v>
      </c>
      <c r="C208">
        <v>32.1849232161684</v>
      </c>
      <c r="D208">
        <v>206</v>
      </c>
      <c r="E208">
        <f>VLOOKUP(A208, Athletes_Map!A:B, 2, FALSE)</f>
        <v>196</v>
      </c>
      <c r="F208" t="str">
        <f>VLOOKUP(A208, Athletes_Map!A:C, 3, FALSE)</f>
        <v>Player 196</v>
      </c>
      <c r="G208">
        <v>95</v>
      </c>
      <c r="H208">
        <f t="shared" si="15"/>
        <v>2</v>
      </c>
      <c r="I208" t="str">
        <f t="shared" si="12"/>
        <v>Normal</v>
      </c>
      <c r="J208" t="str">
        <f t="shared" si="13"/>
        <v>Normal</v>
      </c>
      <c r="K208" t="str">
        <f t="shared" si="14"/>
        <v/>
      </c>
    </row>
    <row r="209" spans="1:11" x14ac:dyDescent="0.25">
      <c r="A209">
        <v>2994</v>
      </c>
      <c r="B209">
        <v>159.167324611862</v>
      </c>
      <c r="C209">
        <v>34.292217773589201</v>
      </c>
      <c r="D209">
        <v>207</v>
      </c>
      <c r="E209">
        <f>VLOOKUP(A209, Athletes_Map!A:B, 2, FALSE)</f>
        <v>197</v>
      </c>
      <c r="F209" t="str">
        <f>VLOOKUP(A209, Athletes_Map!A:C, 3, FALSE)</f>
        <v>Player 197</v>
      </c>
      <c r="G209">
        <v>93</v>
      </c>
      <c r="H209">
        <f t="shared" si="15"/>
        <v>3</v>
      </c>
      <c r="I209" t="str">
        <f t="shared" si="12"/>
        <v>Alert</v>
      </c>
      <c r="J209" t="str">
        <f t="shared" si="13"/>
        <v>Heart Rate</v>
      </c>
      <c r="K209">
        <f t="shared" si="14"/>
        <v>159.167324611862</v>
      </c>
    </row>
    <row r="210" spans="1:11" x14ac:dyDescent="0.25">
      <c r="A210">
        <v>2997</v>
      </c>
      <c r="B210">
        <v>145.272002131394</v>
      </c>
      <c r="C210">
        <v>33.260019742757102</v>
      </c>
      <c r="D210">
        <v>208</v>
      </c>
      <c r="E210">
        <f>VLOOKUP(A210, Athletes_Map!A:B, 2, FALSE)</f>
        <v>198</v>
      </c>
      <c r="F210" t="str">
        <f>VLOOKUP(A210, Athletes_Map!A:C, 3, FALSE)</f>
        <v>Player 198</v>
      </c>
      <c r="G210">
        <v>92</v>
      </c>
      <c r="H210">
        <f t="shared" si="15"/>
        <v>2</v>
      </c>
      <c r="I210" t="str">
        <f t="shared" si="12"/>
        <v>Normal</v>
      </c>
      <c r="J210" t="str">
        <f t="shared" si="13"/>
        <v>Normal</v>
      </c>
      <c r="K210" t="str">
        <f t="shared" si="14"/>
        <v/>
      </c>
    </row>
    <row r="211" spans="1:11" x14ac:dyDescent="0.25">
      <c r="A211">
        <v>2998</v>
      </c>
      <c r="B211">
        <v>127.74322879120599</v>
      </c>
      <c r="C211">
        <v>33.219001236719002</v>
      </c>
      <c r="D211">
        <v>209</v>
      </c>
      <c r="E211">
        <f>VLOOKUP(A211, Athletes_Map!A:B, 2, FALSE)</f>
        <v>199</v>
      </c>
      <c r="F211" t="str">
        <f>VLOOKUP(A211, Athletes_Map!A:C, 3, FALSE)</f>
        <v>Player 199</v>
      </c>
      <c r="G211">
        <v>94</v>
      </c>
      <c r="H211">
        <f t="shared" si="15"/>
        <v>2</v>
      </c>
      <c r="I211" t="str">
        <f t="shared" si="12"/>
        <v>Normal</v>
      </c>
      <c r="J211" t="str">
        <f t="shared" si="13"/>
        <v>Normal</v>
      </c>
      <c r="K211" t="str">
        <f t="shared" si="14"/>
        <v/>
      </c>
    </row>
    <row r="212" spans="1:11" x14ac:dyDescent="0.25">
      <c r="A212">
        <v>3000</v>
      </c>
      <c r="B212">
        <v>142.771572090619</v>
      </c>
      <c r="C212">
        <v>33.610330047880097</v>
      </c>
      <c r="D212">
        <v>210</v>
      </c>
      <c r="E212">
        <f>VLOOKUP(A212, Athletes_Map!A:B, 2, FALSE)</f>
        <v>200</v>
      </c>
      <c r="F212" t="str">
        <f>VLOOKUP(A212, Athletes_Map!A:C, 3, FALSE)</f>
        <v>Player 200</v>
      </c>
      <c r="G212">
        <v>91</v>
      </c>
      <c r="H212">
        <f t="shared" si="15"/>
        <v>3</v>
      </c>
      <c r="I212" t="str">
        <f t="shared" si="12"/>
        <v>Alert</v>
      </c>
      <c r="J212" t="str">
        <f t="shared" si="13"/>
        <v>Oxygen</v>
      </c>
      <c r="K212">
        <f t="shared" si="14"/>
        <v>91</v>
      </c>
    </row>
    <row r="213" spans="1:11" x14ac:dyDescent="0.25">
      <c r="A213">
        <v>3026</v>
      </c>
      <c r="B213">
        <v>127.007276287707</v>
      </c>
      <c r="C213">
        <v>33.6640667796893</v>
      </c>
      <c r="D213">
        <v>211</v>
      </c>
      <c r="E213">
        <f>VLOOKUP(A213, Athletes_Map!A:B, 2, FALSE)</f>
        <v>201</v>
      </c>
      <c r="F213" t="str">
        <f>VLOOKUP(A213, Athletes_Map!A:C, 3, FALSE)</f>
        <v>Player 201</v>
      </c>
      <c r="G213">
        <v>94</v>
      </c>
      <c r="H213">
        <f t="shared" si="15"/>
        <v>2</v>
      </c>
      <c r="I213" t="str">
        <f t="shared" si="12"/>
        <v>Normal</v>
      </c>
      <c r="J213" t="str">
        <f t="shared" si="13"/>
        <v>Normal</v>
      </c>
      <c r="K213" t="str">
        <f t="shared" si="14"/>
        <v/>
      </c>
    </row>
    <row r="214" spans="1:11" x14ac:dyDescent="0.25">
      <c r="A214">
        <v>3027</v>
      </c>
      <c r="B214">
        <v>144.86635801761699</v>
      </c>
      <c r="C214">
        <v>33.1241257551697</v>
      </c>
      <c r="D214">
        <v>212</v>
      </c>
      <c r="E214">
        <f>VLOOKUP(A214, Athletes_Map!A:B, 2, FALSE)</f>
        <v>202</v>
      </c>
      <c r="F214" t="str">
        <f>VLOOKUP(A214, Athletes_Map!A:C, 3, FALSE)</f>
        <v>Player 202</v>
      </c>
      <c r="G214">
        <v>94</v>
      </c>
      <c r="H214">
        <f t="shared" si="15"/>
        <v>2</v>
      </c>
      <c r="I214" t="str">
        <f t="shared" si="12"/>
        <v>Normal</v>
      </c>
      <c r="J214" t="str">
        <f t="shared" si="13"/>
        <v>Normal</v>
      </c>
      <c r="K214" t="str">
        <f t="shared" si="14"/>
        <v/>
      </c>
    </row>
    <row r="215" spans="1:11" x14ac:dyDescent="0.25">
      <c r="A215">
        <v>3047</v>
      </c>
      <c r="B215">
        <v>153.48054038413801</v>
      </c>
      <c r="C215">
        <v>34.119753686809197</v>
      </c>
      <c r="D215">
        <v>213</v>
      </c>
      <c r="E215">
        <f>VLOOKUP(A215, Athletes_Map!A:B, 2, FALSE)</f>
        <v>203</v>
      </c>
      <c r="F215" t="str">
        <f>VLOOKUP(A215, Athletes_Map!A:C, 3, FALSE)</f>
        <v>Player 203</v>
      </c>
      <c r="G215">
        <v>91</v>
      </c>
      <c r="H215">
        <f t="shared" si="15"/>
        <v>3</v>
      </c>
      <c r="I215" t="str">
        <f t="shared" si="12"/>
        <v>Alert</v>
      </c>
      <c r="J215" t="str">
        <f t="shared" si="13"/>
        <v>Heart Rate</v>
      </c>
      <c r="K215">
        <f t="shared" si="14"/>
        <v>153.48054038413801</v>
      </c>
    </row>
    <row r="216" spans="1:11" x14ac:dyDescent="0.25">
      <c r="A216">
        <v>3048</v>
      </c>
      <c r="B216">
        <v>154.84084699073</v>
      </c>
      <c r="C216">
        <v>31.361259114971801</v>
      </c>
      <c r="D216">
        <v>214</v>
      </c>
      <c r="E216">
        <f>VLOOKUP(A216, Athletes_Map!A:B, 2, FALSE)</f>
        <v>204</v>
      </c>
      <c r="F216" t="str">
        <f>VLOOKUP(A216, Athletes_Map!A:C, 3, FALSE)</f>
        <v>Player 204</v>
      </c>
      <c r="G216">
        <v>92</v>
      </c>
      <c r="H216">
        <f t="shared" si="15"/>
        <v>3</v>
      </c>
      <c r="I216" t="str">
        <f t="shared" si="12"/>
        <v>Alert</v>
      </c>
      <c r="J216" t="str">
        <f t="shared" si="13"/>
        <v>Heart Rate</v>
      </c>
      <c r="K216">
        <f t="shared" si="14"/>
        <v>154.84084699073</v>
      </c>
    </row>
    <row r="217" spans="1:11" x14ac:dyDescent="0.25">
      <c r="A217">
        <v>3048</v>
      </c>
      <c r="B217">
        <v>143.39064887814001</v>
      </c>
      <c r="C217">
        <v>33.907877609895699</v>
      </c>
      <c r="D217">
        <v>215</v>
      </c>
      <c r="E217">
        <f>VLOOKUP(A217, Athletes_Map!A:B, 2, FALSE)</f>
        <v>204</v>
      </c>
      <c r="F217" t="str">
        <f>VLOOKUP(A217, Athletes_Map!A:C, 3, FALSE)</f>
        <v>Player 204</v>
      </c>
      <c r="G217">
        <v>94</v>
      </c>
      <c r="H217">
        <f t="shared" si="15"/>
        <v>2</v>
      </c>
      <c r="I217" t="str">
        <f t="shared" si="12"/>
        <v>Normal</v>
      </c>
      <c r="J217" t="str">
        <f t="shared" si="13"/>
        <v>Normal</v>
      </c>
      <c r="K217" t="str">
        <f t="shared" si="14"/>
        <v/>
      </c>
    </row>
    <row r="218" spans="1:11" x14ac:dyDescent="0.25">
      <c r="A218">
        <v>3049</v>
      </c>
      <c r="B218">
        <v>145.14548062214499</v>
      </c>
      <c r="C218">
        <v>33.699085582570497</v>
      </c>
      <c r="D218">
        <v>216</v>
      </c>
      <c r="E218">
        <f>VLOOKUP(A218, Athletes_Map!A:B, 2, FALSE)</f>
        <v>205</v>
      </c>
      <c r="F218" t="str">
        <f>VLOOKUP(A218, Athletes_Map!A:C, 3, FALSE)</f>
        <v>Player 205</v>
      </c>
      <c r="G218">
        <v>92</v>
      </c>
      <c r="H218">
        <f t="shared" si="15"/>
        <v>2</v>
      </c>
      <c r="I218" t="str">
        <f t="shared" si="12"/>
        <v>Normal</v>
      </c>
      <c r="J218" t="str">
        <f t="shared" si="13"/>
        <v>Normal</v>
      </c>
      <c r="K218" t="str">
        <f t="shared" si="14"/>
        <v/>
      </c>
    </row>
    <row r="219" spans="1:11" x14ac:dyDescent="0.25">
      <c r="A219">
        <v>3060</v>
      </c>
      <c r="B219">
        <v>123.962837082151</v>
      </c>
      <c r="C219">
        <v>33.474505182465599</v>
      </c>
      <c r="D219">
        <v>217</v>
      </c>
      <c r="E219">
        <f>VLOOKUP(A219, Athletes_Map!A:B, 2, FALSE)</f>
        <v>206</v>
      </c>
      <c r="F219" t="str">
        <f>VLOOKUP(A219, Athletes_Map!A:C, 3, FALSE)</f>
        <v>Player 206</v>
      </c>
      <c r="G219">
        <v>95</v>
      </c>
      <c r="H219">
        <f t="shared" si="15"/>
        <v>2</v>
      </c>
      <c r="I219" t="str">
        <f t="shared" si="12"/>
        <v>Normal</v>
      </c>
      <c r="J219" t="str">
        <f t="shared" si="13"/>
        <v>Normal</v>
      </c>
      <c r="K219" t="str">
        <f t="shared" si="14"/>
        <v/>
      </c>
    </row>
    <row r="220" spans="1:11" x14ac:dyDescent="0.25">
      <c r="A220">
        <v>3062</v>
      </c>
      <c r="B220">
        <v>107.966307887673</v>
      </c>
      <c r="C220">
        <v>33.394928134452101</v>
      </c>
      <c r="D220">
        <v>218</v>
      </c>
      <c r="E220">
        <f>VLOOKUP(A220, Athletes_Map!A:B, 2, FALSE)</f>
        <v>207</v>
      </c>
      <c r="F220" t="str">
        <f>VLOOKUP(A220, Athletes_Map!A:C, 3, FALSE)</f>
        <v>Player 207</v>
      </c>
      <c r="G220">
        <v>98</v>
      </c>
      <c r="H220">
        <f t="shared" si="15"/>
        <v>1</v>
      </c>
      <c r="I220" t="str">
        <f t="shared" si="12"/>
        <v>Normal</v>
      </c>
      <c r="J220" t="str">
        <f t="shared" si="13"/>
        <v>Normal</v>
      </c>
      <c r="K220" t="str">
        <f t="shared" si="14"/>
        <v/>
      </c>
    </row>
    <row r="221" spans="1:11" x14ac:dyDescent="0.25">
      <c r="A221">
        <v>3065</v>
      </c>
      <c r="B221">
        <v>160.93989093122201</v>
      </c>
      <c r="C221">
        <v>33.8621009081659</v>
      </c>
      <c r="D221">
        <v>219</v>
      </c>
      <c r="E221">
        <f>VLOOKUP(A221, Athletes_Map!A:B, 2, FALSE)</f>
        <v>208</v>
      </c>
      <c r="F221" t="str">
        <f>VLOOKUP(A221, Athletes_Map!A:C, 3, FALSE)</f>
        <v>Player 208</v>
      </c>
      <c r="G221">
        <v>94</v>
      </c>
      <c r="H221">
        <f t="shared" si="15"/>
        <v>3</v>
      </c>
      <c r="I221" t="str">
        <f t="shared" si="12"/>
        <v>Alert</v>
      </c>
      <c r="J221" t="str">
        <f t="shared" si="13"/>
        <v>Heart Rate</v>
      </c>
      <c r="K221">
        <f t="shared" si="14"/>
        <v>160.93989093122201</v>
      </c>
    </row>
    <row r="222" spans="1:11" x14ac:dyDescent="0.25">
      <c r="A222">
        <v>3079</v>
      </c>
      <c r="B222">
        <v>114.869148694407</v>
      </c>
      <c r="C222">
        <v>33.295300338379597</v>
      </c>
      <c r="D222">
        <v>220</v>
      </c>
      <c r="E222">
        <f>VLOOKUP(A222, Athletes_Map!A:B, 2, FALSE)</f>
        <v>209</v>
      </c>
      <c r="F222" t="str">
        <f>VLOOKUP(A222, Athletes_Map!A:C, 3, FALSE)</f>
        <v>Player 209</v>
      </c>
      <c r="G222">
        <v>96</v>
      </c>
      <c r="H222">
        <f t="shared" si="15"/>
        <v>1</v>
      </c>
      <c r="I222" t="str">
        <f t="shared" si="12"/>
        <v>Normal</v>
      </c>
      <c r="J222" t="str">
        <f t="shared" si="13"/>
        <v>Normal</v>
      </c>
      <c r="K222" t="str">
        <f t="shared" si="14"/>
        <v/>
      </c>
    </row>
    <row r="223" spans="1:11" x14ac:dyDescent="0.25">
      <c r="A223">
        <v>3082</v>
      </c>
      <c r="B223">
        <v>141.92976951795899</v>
      </c>
      <c r="C223">
        <v>33.086734758461098</v>
      </c>
      <c r="D223">
        <v>221</v>
      </c>
      <c r="E223">
        <f>VLOOKUP(A223, Athletes_Map!A:B, 2, FALSE)</f>
        <v>210</v>
      </c>
      <c r="F223" t="str">
        <f>VLOOKUP(A223, Athletes_Map!A:C, 3, FALSE)</f>
        <v>Player 210</v>
      </c>
      <c r="G223">
        <v>92</v>
      </c>
      <c r="H223">
        <f t="shared" si="15"/>
        <v>2</v>
      </c>
      <c r="I223" t="str">
        <f t="shared" si="12"/>
        <v>Normal</v>
      </c>
      <c r="J223" t="str">
        <f t="shared" si="13"/>
        <v>Normal</v>
      </c>
      <c r="K223" t="str">
        <f t="shared" si="14"/>
        <v/>
      </c>
    </row>
    <row r="224" spans="1:11" x14ac:dyDescent="0.25">
      <c r="A224">
        <v>3105</v>
      </c>
      <c r="B224">
        <v>177.90298255546699</v>
      </c>
      <c r="C224">
        <v>30.835364648925101</v>
      </c>
      <c r="D224">
        <v>222</v>
      </c>
      <c r="E224">
        <f>VLOOKUP(A224, Athletes_Map!A:B, 2, FALSE)</f>
        <v>211</v>
      </c>
      <c r="F224" t="str">
        <f>VLOOKUP(A224, Athletes_Map!A:C, 3, FALSE)</f>
        <v>Player 211</v>
      </c>
      <c r="G224">
        <v>92</v>
      </c>
      <c r="H224">
        <f t="shared" si="15"/>
        <v>3</v>
      </c>
      <c r="I224" t="str">
        <f t="shared" si="12"/>
        <v>Alert</v>
      </c>
      <c r="J224" t="str">
        <f t="shared" si="13"/>
        <v>Heart Rate</v>
      </c>
      <c r="K224">
        <f t="shared" si="14"/>
        <v>177.90298255546699</v>
      </c>
    </row>
    <row r="225" spans="1:11" x14ac:dyDescent="0.25">
      <c r="A225">
        <v>3116</v>
      </c>
      <c r="B225">
        <v>102.697363681889</v>
      </c>
      <c r="C225">
        <v>31.587645464676001</v>
      </c>
      <c r="D225">
        <v>223</v>
      </c>
      <c r="E225">
        <f>VLOOKUP(A225, Athletes_Map!A:B, 2, FALSE)</f>
        <v>212</v>
      </c>
      <c r="F225" t="str">
        <f>VLOOKUP(A225, Athletes_Map!A:C, 3, FALSE)</f>
        <v>Player 212</v>
      </c>
      <c r="G225">
        <v>100</v>
      </c>
      <c r="H225">
        <f t="shared" si="15"/>
        <v>1</v>
      </c>
      <c r="I225" t="str">
        <f t="shared" si="12"/>
        <v>Normal</v>
      </c>
      <c r="J225" t="str">
        <f t="shared" si="13"/>
        <v>Normal</v>
      </c>
      <c r="K225" t="str">
        <f t="shared" si="14"/>
        <v/>
      </c>
    </row>
    <row r="226" spans="1:11" x14ac:dyDescent="0.25">
      <c r="A226">
        <v>3125</v>
      </c>
      <c r="B226">
        <v>145.733055050545</v>
      </c>
      <c r="C226">
        <v>34.286315838254097</v>
      </c>
      <c r="D226">
        <v>224</v>
      </c>
      <c r="E226">
        <f>VLOOKUP(A226, Athletes_Map!A:B, 2, FALSE)</f>
        <v>213</v>
      </c>
      <c r="F226" t="str">
        <f>VLOOKUP(A226, Athletes_Map!A:C, 3, FALSE)</f>
        <v>Player 213</v>
      </c>
      <c r="G226">
        <v>93</v>
      </c>
      <c r="H226">
        <f t="shared" si="15"/>
        <v>2</v>
      </c>
      <c r="I226" t="str">
        <f t="shared" si="12"/>
        <v>Normal</v>
      </c>
      <c r="J226" t="str">
        <f t="shared" si="13"/>
        <v>Normal</v>
      </c>
      <c r="K226" t="str">
        <f t="shared" si="14"/>
        <v/>
      </c>
    </row>
    <row r="227" spans="1:11" x14ac:dyDescent="0.25">
      <c r="A227">
        <v>3136</v>
      </c>
      <c r="B227">
        <v>127.555864478578</v>
      </c>
      <c r="C227">
        <v>34.416153808489803</v>
      </c>
      <c r="D227">
        <v>225</v>
      </c>
      <c r="E227">
        <f>VLOOKUP(A227, Athletes_Map!A:B, 2, FALSE)</f>
        <v>214</v>
      </c>
      <c r="F227" t="str">
        <f>VLOOKUP(A227, Athletes_Map!A:C, 3, FALSE)</f>
        <v>Player 214</v>
      </c>
      <c r="G227">
        <v>94</v>
      </c>
      <c r="H227">
        <f t="shared" si="15"/>
        <v>2</v>
      </c>
      <c r="I227" t="str">
        <f t="shared" si="12"/>
        <v>Normal</v>
      </c>
      <c r="J227" t="str">
        <f t="shared" si="13"/>
        <v>Normal</v>
      </c>
      <c r="K227" t="str">
        <f t="shared" si="14"/>
        <v/>
      </c>
    </row>
    <row r="228" spans="1:11" x14ac:dyDescent="0.25">
      <c r="A228">
        <v>3141</v>
      </c>
      <c r="B228">
        <v>100.205724424438</v>
      </c>
      <c r="C228">
        <v>33.382225205758601</v>
      </c>
      <c r="D228">
        <v>226</v>
      </c>
      <c r="E228">
        <f>VLOOKUP(A228, Athletes_Map!A:B, 2, FALSE)</f>
        <v>215</v>
      </c>
      <c r="F228" t="str">
        <f>VLOOKUP(A228, Athletes_Map!A:C, 3, FALSE)</f>
        <v>Player 215</v>
      </c>
      <c r="G228">
        <v>96</v>
      </c>
      <c r="H228">
        <f t="shared" si="15"/>
        <v>1</v>
      </c>
      <c r="I228" t="str">
        <f t="shared" si="12"/>
        <v>Normal</v>
      </c>
      <c r="J228" t="str">
        <f t="shared" si="13"/>
        <v>Normal</v>
      </c>
      <c r="K228" t="str">
        <f t="shared" si="14"/>
        <v/>
      </c>
    </row>
    <row r="229" spans="1:11" x14ac:dyDescent="0.25">
      <c r="A229">
        <v>3143</v>
      </c>
      <c r="B229">
        <v>112.073092139626</v>
      </c>
      <c r="C229">
        <v>31.685376733385301</v>
      </c>
      <c r="D229">
        <v>227</v>
      </c>
      <c r="E229">
        <f>VLOOKUP(A229, Athletes_Map!A:B, 2, FALSE)</f>
        <v>216</v>
      </c>
      <c r="F229" t="str">
        <f>VLOOKUP(A229, Athletes_Map!A:C, 3, FALSE)</f>
        <v>Player 216</v>
      </c>
      <c r="G229">
        <v>93</v>
      </c>
      <c r="H229">
        <f t="shared" si="15"/>
        <v>2</v>
      </c>
      <c r="I229" t="str">
        <f t="shared" si="12"/>
        <v>Normal</v>
      </c>
      <c r="J229" t="str">
        <f t="shared" si="13"/>
        <v>Normal</v>
      </c>
      <c r="K229" t="str">
        <f t="shared" si="14"/>
        <v/>
      </c>
    </row>
    <row r="230" spans="1:11" x14ac:dyDescent="0.25">
      <c r="A230">
        <v>3156</v>
      </c>
      <c r="B230">
        <v>85.011885702528502</v>
      </c>
      <c r="C230">
        <v>33.015394372252402</v>
      </c>
      <c r="D230">
        <v>228</v>
      </c>
      <c r="E230">
        <f>VLOOKUP(A230, Athletes_Map!A:B, 2, FALSE)</f>
        <v>217</v>
      </c>
      <c r="F230" t="str">
        <f>VLOOKUP(A230, Athletes_Map!A:C, 3, FALSE)</f>
        <v>Player 217</v>
      </c>
      <c r="G230">
        <v>98</v>
      </c>
      <c r="H230">
        <f t="shared" si="15"/>
        <v>1</v>
      </c>
      <c r="I230" t="str">
        <f t="shared" si="12"/>
        <v>Normal</v>
      </c>
      <c r="J230" t="str">
        <f t="shared" si="13"/>
        <v>Normal</v>
      </c>
      <c r="K230" t="str">
        <f t="shared" si="14"/>
        <v/>
      </c>
    </row>
    <row r="231" spans="1:11" x14ac:dyDescent="0.25">
      <c r="A231">
        <v>3180</v>
      </c>
      <c r="B231">
        <v>135.060920403068</v>
      </c>
      <c r="C231">
        <v>33.230277283047599</v>
      </c>
      <c r="D231">
        <v>229</v>
      </c>
      <c r="E231">
        <f>VLOOKUP(A231, Athletes_Map!A:B, 2, FALSE)</f>
        <v>218</v>
      </c>
      <c r="F231" t="str">
        <f>VLOOKUP(A231, Athletes_Map!A:C, 3, FALSE)</f>
        <v>Player 218</v>
      </c>
      <c r="G231">
        <v>93</v>
      </c>
      <c r="H231">
        <f t="shared" si="15"/>
        <v>2</v>
      </c>
      <c r="I231" t="str">
        <f t="shared" si="12"/>
        <v>Normal</v>
      </c>
      <c r="J231" t="str">
        <f t="shared" si="13"/>
        <v>Normal</v>
      </c>
      <c r="K231" t="str">
        <f t="shared" si="14"/>
        <v/>
      </c>
    </row>
    <row r="232" spans="1:11" x14ac:dyDescent="0.25">
      <c r="A232">
        <v>3190</v>
      </c>
      <c r="B232">
        <v>99.631212688742906</v>
      </c>
      <c r="C232">
        <v>34.134253841533699</v>
      </c>
      <c r="D232">
        <v>230</v>
      </c>
      <c r="E232">
        <f>VLOOKUP(A232, Athletes_Map!A:B, 2, FALSE)</f>
        <v>219</v>
      </c>
      <c r="F232" t="str">
        <f>VLOOKUP(A232, Athletes_Map!A:C, 3, FALSE)</f>
        <v>Player 219</v>
      </c>
      <c r="G232">
        <v>100</v>
      </c>
      <c r="H232">
        <f t="shared" si="15"/>
        <v>1</v>
      </c>
      <c r="I232" t="str">
        <f t="shared" si="12"/>
        <v>Normal</v>
      </c>
      <c r="J232" t="str">
        <f t="shared" si="13"/>
        <v>Normal</v>
      </c>
      <c r="K232" t="str">
        <f t="shared" si="14"/>
        <v/>
      </c>
    </row>
    <row r="233" spans="1:11" x14ac:dyDescent="0.25">
      <c r="A233">
        <v>3192</v>
      </c>
      <c r="B233">
        <v>132.047948274026</v>
      </c>
      <c r="C233">
        <v>31.945831438389501</v>
      </c>
      <c r="D233">
        <v>231</v>
      </c>
      <c r="E233">
        <f>VLOOKUP(A233, Athletes_Map!A:B, 2, FALSE)</f>
        <v>220</v>
      </c>
      <c r="F233" t="str">
        <f>VLOOKUP(A233, Athletes_Map!A:C, 3, FALSE)</f>
        <v>Player 220</v>
      </c>
      <c r="G233">
        <v>94</v>
      </c>
      <c r="H233">
        <f t="shared" si="15"/>
        <v>2</v>
      </c>
      <c r="I233" t="str">
        <f t="shared" si="12"/>
        <v>Normal</v>
      </c>
      <c r="J233" t="str">
        <f t="shared" si="13"/>
        <v>Normal</v>
      </c>
      <c r="K233" t="str">
        <f t="shared" si="14"/>
        <v/>
      </c>
    </row>
    <row r="234" spans="1:11" x14ac:dyDescent="0.25">
      <c r="A234">
        <v>3193</v>
      </c>
      <c r="B234">
        <v>137.83433827279799</v>
      </c>
      <c r="C234">
        <v>32.8784631375581</v>
      </c>
      <c r="D234">
        <v>232</v>
      </c>
      <c r="E234">
        <f>VLOOKUP(A234, Athletes_Map!A:B, 2, FALSE)</f>
        <v>221</v>
      </c>
      <c r="F234" t="str">
        <f>VLOOKUP(A234, Athletes_Map!A:C, 3, FALSE)</f>
        <v>Player 221</v>
      </c>
      <c r="G234">
        <v>93</v>
      </c>
      <c r="H234">
        <f t="shared" si="15"/>
        <v>2</v>
      </c>
      <c r="I234" t="str">
        <f t="shared" si="12"/>
        <v>Normal</v>
      </c>
      <c r="J234" t="str">
        <f t="shared" si="13"/>
        <v>Normal</v>
      </c>
      <c r="K234" t="str">
        <f t="shared" si="14"/>
        <v/>
      </c>
    </row>
    <row r="235" spans="1:11" x14ac:dyDescent="0.25">
      <c r="A235">
        <v>3200</v>
      </c>
      <c r="B235">
        <v>128.84443530093901</v>
      </c>
      <c r="C235">
        <v>31.301679369690898</v>
      </c>
      <c r="D235">
        <v>233</v>
      </c>
      <c r="E235">
        <f>VLOOKUP(A235, Athletes_Map!A:B, 2, FALSE)</f>
        <v>222</v>
      </c>
      <c r="F235" t="str">
        <f>VLOOKUP(A235, Athletes_Map!A:C, 3, FALSE)</f>
        <v>Player 222</v>
      </c>
      <c r="G235">
        <v>95</v>
      </c>
      <c r="H235">
        <f t="shared" si="15"/>
        <v>2</v>
      </c>
      <c r="I235" t="str">
        <f t="shared" si="12"/>
        <v>Normal</v>
      </c>
      <c r="J235" t="str">
        <f t="shared" si="13"/>
        <v>Normal</v>
      </c>
      <c r="K235" t="str">
        <f t="shared" si="14"/>
        <v/>
      </c>
    </row>
    <row r="236" spans="1:11" x14ac:dyDescent="0.25">
      <c r="A236">
        <v>3204</v>
      </c>
      <c r="B236">
        <v>117.44034826486801</v>
      </c>
      <c r="C236">
        <v>34.0473892212067</v>
      </c>
      <c r="D236">
        <v>234</v>
      </c>
      <c r="E236">
        <f>VLOOKUP(A236, Athletes_Map!A:B, 2, FALSE)</f>
        <v>223</v>
      </c>
      <c r="F236" t="str">
        <f>VLOOKUP(A236, Athletes_Map!A:C, 3, FALSE)</f>
        <v>Player 223</v>
      </c>
      <c r="G236">
        <v>93</v>
      </c>
      <c r="H236">
        <f t="shared" si="15"/>
        <v>2</v>
      </c>
      <c r="I236" t="str">
        <f t="shared" si="12"/>
        <v>Normal</v>
      </c>
      <c r="J236" t="str">
        <f t="shared" si="13"/>
        <v>Normal</v>
      </c>
      <c r="K236" t="str">
        <f t="shared" si="14"/>
        <v/>
      </c>
    </row>
    <row r="237" spans="1:11" x14ac:dyDescent="0.25">
      <c r="A237">
        <v>3205</v>
      </c>
      <c r="B237">
        <v>104.48949658150499</v>
      </c>
      <c r="C237">
        <v>33.6451558835398</v>
      </c>
      <c r="D237">
        <v>235</v>
      </c>
      <c r="E237">
        <f>VLOOKUP(A237, Athletes_Map!A:B, 2, FALSE)</f>
        <v>224</v>
      </c>
      <c r="F237" t="str">
        <f>VLOOKUP(A237, Athletes_Map!A:C, 3, FALSE)</f>
        <v>Player 224</v>
      </c>
      <c r="G237">
        <v>97</v>
      </c>
      <c r="H237">
        <f t="shared" si="15"/>
        <v>1</v>
      </c>
      <c r="I237" t="str">
        <f t="shared" si="12"/>
        <v>Normal</v>
      </c>
      <c r="J237" t="str">
        <f t="shared" si="13"/>
        <v>Normal</v>
      </c>
      <c r="K237" t="str">
        <f t="shared" si="14"/>
        <v/>
      </c>
    </row>
    <row r="238" spans="1:11" x14ac:dyDescent="0.25">
      <c r="A238">
        <v>3219</v>
      </c>
      <c r="B238">
        <v>104.486873708598</v>
      </c>
      <c r="C238">
        <v>34.057376064975998</v>
      </c>
      <c r="D238">
        <v>236</v>
      </c>
      <c r="E238">
        <f>VLOOKUP(A238, Athletes_Map!A:B, 2, FALSE)</f>
        <v>225</v>
      </c>
      <c r="F238" t="str">
        <f>VLOOKUP(A238, Athletes_Map!A:C, 3, FALSE)</f>
        <v>Player 225</v>
      </c>
      <c r="G238">
        <v>100</v>
      </c>
      <c r="H238">
        <f t="shared" si="15"/>
        <v>1</v>
      </c>
      <c r="I238" t="str">
        <f t="shared" si="12"/>
        <v>Normal</v>
      </c>
      <c r="J238" t="str">
        <f t="shared" si="13"/>
        <v>Normal</v>
      </c>
      <c r="K238" t="str">
        <f t="shared" si="14"/>
        <v/>
      </c>
    </row>
    <row r="239" spans="1:11" x14ac:dyDescent="0.25">
      <c r="A239">
        <v>3243</v>
      </c>
      <c r="B239">
        <v>118.936420986393</v>
      </c>
      <c r="C239">
        <v>33.432197020734897</v>
      </c>
      <c r="D239">
        <v>237</v>
      </c>
      <c r="E239">
        <f>VLOOKUP(A239, Athletes_Map!A:B, 2, FALSE)</f>
        <v>226</v>
      </c>
      <c r="F239" t="str">
        <f>VLOOKUP(A239, Athletes_Map!A:C, 3, FALSE)</f>
        <v>Player 226</v>
      </c>
      <c r="G239">
        <v>95</v>
      </c>
      <c r="H239">
        <f t="shared" si="15"/>
        <v>1</v>
      </c>
      <c r="I239" t="str">
        <f t="shared" si="12"/>
        <v>Normal</v>
      </c>
      <c r="J239" t="str">
        <f t="shared" si="13"/>
        <v>Normal</v>
      </c>
      <c r="K239" t="str">
        <f t="shared" si="14"/>
        <v/>
      </c>
    </row>
    <row r="240" spans="1:11" x14ac:dyDescent="0.25">
      <c r="A240">
        <v>3255</v>
      </c>
      <c r="B240">
        <v>159.13017933016701</v>
      </c>
      <c r="C240">
        <v>33.515208987362001</v>
      </c>
      <c r="D240">
        <v>238</v>
      </c>
      <c r="E240">
        <f>VLOOKUP(A240, Athletes_Map!A:B, 2, FALSE)</f>
        <v>227</v>
      </c>
      <c r="F240" t="str">
        <f>VLOOKUP(A240, Athletes_Map!A:C, 3, FALSE)</f>
        <v>Player 227</v>
      </c>
      <c r="G240">
        <v>93</v>
      </c>
      <c r="H240">
        <f t="shared" si="15"/>
        <v>3</v>
      </c>
      <c r="I240" t="str">
        <f t="shared" si="12"/>
        <v>Alert</v>
      </c>
      <c r="J240" t="str">
        <f t="shared" si="13"/>
        <v>Heart Rate</v>
      </c>
      <c r="K240">
        <f t="shared" si="14"/>
        <v>159.13017933016701</v>
      </c>
    </row>
    <row r="241" spans="1:11" x14ac:dyDescent="0.25">
      <c r="A241">
        <v>3327</v>
      </c>
      <c r="B241">
        <v>123.58507412501</v>
      </c>
      <c r="C241">
        <v>32.818440935720901</v>
      </c>
      <c r="D241">
        <v>239</v>
      </c>
      <c r="E241">
        <f>VLOOKUP(A241, Athletes_Map!A:B, 2, FALSE)</f>
        <v>228</v>
      </c>
      <c r="F241" t="str">
        <f>VLOOKUP(A241, Athletes_Map!A:C, 3, FALSE)</f>
        <v>Player 228</v>
      </c>
      <c r="G241">
        <v>96</v>
      </c>
      <c r="H241">
        <f t="shared" si="15"/>
        <v>2</v>
      </c>
      <c r="I241" t="str">
        <f t="shared" si="12"/>
        <v>Normal</v>
      </c>
      <c r="J241" t="str">
        <f t="shared" si="13"/>
        <v>Normal</v>
      </c>
      <c r="K241" t="str">
        <f t="shared" si="14"/>
        <v/>
      </c>
    </row>
    <row r="242" spans="1:11" x14ac:dyDescent="0.25">
      <c r="A242">
        <v>3327</v>
      </c>
      <c r="B242">
        <v>130.17527884287301</v>
      </c>
      <c r="C242">
        <v>33.618353185949303</v>
      </c>
      <c r="D242">
        <v>240</v>
      </c>
      <c r="E242">
        <f>VLOOKUP(A242, Athletes_Map!A:B, 2, FALSE)</f>
        <v>228</v>
      </c>
      <c r="F242" t="str">
        <f>VLOOKUP(A242, Athletes_Map!A:C, 3, FALSE)</f>
        <v>Player 228</v>
      </c>
      <c r="G242">
        <v>94</v>
      </c>
      <c r="H242">
        <f t="shared" si="15"/>
        <v>2</v>
      </c>
      <c r="I242" t="str">
        <f t="shared" si="12"/>
        <v>Normal</v>
      </c>
      <c r="J242" t="str">
        <f t="shared" si="13"/>
        <v>Normal</v>
      </c>
      <c r="K242" t="str">
        <f t="shared" si="14"/>
        <v/>
      </c>
    </row>
    <row r="243" spans="1:11" x14ac:dyDescent="0.25">
      <c r="A243">
        <v>3336</v>
      </c>
      <c r="B243">
        <v>142.34731013632299</v>
      </c>
      <c r="C243">
        <v>32.6394408615351</v>
      </c>
      <c r="D243">
        <v>241</v>
      </c>
      <c r="E243">
        <f>VLOOKUP(A243, Athletes_Map!A:B, 2, FALSE)</f>
        <v>229</v>
      </c>
      <c r="F243" t="str">
        <f>VLOOKUP(A243, Athletes_Map!A:C, 3, FALSE)</f>
        <v>Player 229</v>
      </c>
      <c r="G243">
        <v>92</v>
      </c>
      <c r="H243">
        <f t="shared" si="15"/>
        <v>2</v>
      </c>
      <c r="I243" t="str">
        <f t="shared" si="12"/>
        <v>Normal</v>
      </c>
      <c r="J243" t="str">
        <f t="shared" si="13"/>
        <v>Normal</v>
      </c>
      <c r="K243" t="str">
        <f t="shared" si="14"/>
        <v/>
      </c>
    </row>
    <row r="244" spans="1:11" x14ac:dyDescent="0.25">
      <c r="A244">
        <v>3368</v>
      </c>
      <c r="B244">
        <v>147.81685722533999</v>
      </c>
      <c r="C244">
        <v>32.615642634556004</v>
      </c>
      <c r="D244">
        <v>242</v>
      </c>
      <c r="E244">
        <f>VLOOKUP(A244, Athletes_Map!A:B, 2, FALSE)</f>
        <v>230</v>
      </c>
      <c r="F244" t="str">
        <f>VLOOKUP(A244, Athletes_Map!A:C, 3, FALSE)</f>
        <v>Player 230</v>
      </c>
      <c r="G244">
        <v>91</v>
      </c>
      <c r="H244">
        <f t="shared" si="15"/>
        <v>3</v>
      </c>
      <c r="I244" t="str">
        <f t="shared" si="12"/>
        <v>Alert</v>
      </c>
      <c r="J244" t="str">
        <f t="shared" si="13"/>
        <v>Oxygen</v>
      </c>
      <c r="K244">
        <f t="shared" si="14"/>
        <v>91</v>
      </c>
    </row>
    <row r="245" spans="1:11" x14ac:dyDescent="0.25">
      <c r="A245">
        <v>3371</v>
      </c>
      <c r="B245">
        <v>103.74908286226901</v>
      </c>
      <c r="C245">
        <v>34.742541239018998</v>
      </c>
      <c r="D245">
        <v>243</v>
      </c>
      <c r="E245">
        <f>VLOOKUP(A245, Athletes_Map!A:B, 2, FALSE)</f>
        <v>231</v>
      </c>
      <c r="F245" t="str">
        <f>VLOOKUP(A245, Athletes_Map!A:C, 3, FALSE)</f>
        <v>Player 231</v>
      </c>
      <c r="G245">
        <v>97</v>
      </c>
      <c r="H245">
        <f t="shared" si="15"/>
        <v>1</v>
      </c>
      <c r="I245" t="str">
        <f t="shared" si="12"/>
        <v>Normal</v>
      </c>
      <c r="J245" t="str">
        <f t="shared" si="13"/>
        <v>Normal</v>
      </c>
      <c r="K245" t="str">
        <f t="shared" si="14"/>
        <v/>
      </c>
    </row>
    <row r="246" spans="1:11" x14ac:dyDescent="0.25">
      <c r="A246">
        <v>3385</v>
      </c>
      <c r="B246">
        <v>185.53864851747201</v>
      </c>
      <c r="C246">
        <v>33.362040010682001</v>
      </c>
      <c r="D246">
        <v>244</v>
      </c>
      <c r="E246">
        <f>VLOOKUP(A246, Athletes_Map!A:B, 2, FALSE)</f>
        <v>232</v>
      </c>
      <c r="F246" t="str">
        <f>VLOOKUP(A246, Athletes_Map!A:C, 3, FALSE)</f>
        <v>Player 232</v>
      </c>
      <c r="G246">
        <v>90</v>
      </c>
      <c r="H246">
        <f t="shared" si="15"/>
        <v>3</v>
      </c>
      <c r="I246" t="str">
        <f t="shared" si="12"/>
        <v>Alert</v>
      </c>
      <c r="J246" t="str">
        <f t="shared" si="13"/>
        <v>Heart Rate</v>
      </c>
      <c r="K246">
        <f t="shared" si="14"/>
        <v>185.53864851747201</v>
      </c>
    </row>
    <row r="247" spans="1:11" x14ac:dyDescent="0.25">
      <c r="A247">
        <v>3393</v>
      </c>
      <c r="B247">
        <v>122.885701539933</v>
      </c>
      <c r="C247">
        <v>33.2375000008104</v>
      </c>
      <c r="D247">
        <v>245</v>
      </c>
      <c r="E247">
        <f>VLOOKUP(A247, Athletes_Map!A:B, 2, FALSE)</f>
        <v>233</v>
      </c>
      <c r="F247" t="str">
        <f>VLOOKUP(A247, Athletes_Map!A:C, 3, FALSE)</f>
        <v>Player 233</v>
      </c>
      <c r="G247">
        <v>96</v>
      </c>
      <c r="H247">
        <f t="shared" si="15"/>
        <v>2</v>
      </c>
      <c r="I247" t="str">
        <f t="shared" si="12"/>
        <v>Normal</v>
      </c>
      <c r="J247" t="str">
        <f t="shared" si="13"/>
        <v>Normal</v>
      </c>
      <c r="K247" t="str">
        <f t="shared" si="14"/>
        <v/>
      </c>
    </row>
    <row r="248" spans="1:11" x14ac:dyDescent="0.25">
      <c r="A248">
        <v>3427</v>
      </c>
      <c r="B248">
        <v>176.534959671216</v>
      </c>
      <c r="C248">
        <v>30.706031339217802</v>
      </c>
      <c r="D248">
        <v>246</v>
      </c>
      <c r="E248">
        <f>VLOOKUP(A248, Athletes_Map!A:B, 2, FALSE)</f>
        <v>234</v>
      </c>
      <c r="F248" t="str">
        <f>VLOOKUP(A248, Athletes_Map!A:C, 3, FALSE)</f>
        <v>Player 234</v>
      </c>
      <c r="G248">
        <v>93</v>
      </c>
      <c r="H248">
        <f t="shared" si="15"/>
        <v>3</v>
      </c>
      <c r="I248" t="str">
        <f t="shared" si="12"/>
        <v>Alert</v>
      </c>
      <c r="J248" t="str">
        <f t="shared" si="13"/>
        <v>Heart Rate</v>
      </c>
      <c r="K248">
        <f t="shared" si="14"/>
        <v>176.534959671216</v>
      </c>
    </row>
    <row r="249" spans="1:11" x14ac:dyDescent="0.25">
      <c r="A249">
        <v>3433</v>
      </c>
      <c r="B249">
        <v>127.503583849008</v>
      </c>
      <c r="C249">
        <v>33.317730373173497</v>
      </c>
      <c r="D249">
        <v>247</v>
      </c>
      <c r="E249">
        <f>VLOOKUP(A249, Athletes_Map!A:B, 2, FALSE)</f>
        <v>235</v>
      </c>
      <c r="F249" t="str">
        <f>VLOOKUP(A249, Athletes_Map!A:C, 3, FALSE)</f>
        <v>Player 235</v>
      </c>
      <c r="G249">
        <v>96</v>
      </c>
      <c r="H249">
        <f t="shared" si="15"/>
        <v>2</v>
      </c>
      <c r="I249" t="str">
        <f t="shared" si="12"/>
        <v>Normal</v>
      </c>
      <c r="J249" t="str">
        <f t="shared" si="13"/>
        <v>Normal</v>
      </c>
      <c r="K249" t="str">
        <f t="shared" si="14"/>
        <v/>
      </c>
    </row>
    <row r="250" spans="1:11" x14ac:dyDescent="0.25">
      <c r="A250">
        <v>3443</v>
      </c>
      <c r="B250">
        <v>114.683563620432</v>
      </c>
      <c r="C250">
        <v>32.992854348944697</v>
      </c>
      <c r="D250">
        <v>248</v>
      </c>
      <c r="E250">
        <f>VLOOKUP(A250, Athletes_Map!A:B, 2, FALSE)</f>
        <v>236</v>
      </c>
      <c r="F250" t="str">
        <f>VLOOKUP(A250, Athletes_Map!A:C, 3, FALSE)</f>
        <v>Player 236</v>
      </c>
      <c r="G250">
        <v>94</v>
      </c>
      <c r="H250">
        <f t="shared" si="15"/>
        <v>1</v>
      </c>
      <c r="I250" t="str">
        <f t="shared" si="12"/>
        <v>Normal</v>
      </c>
      <c r="J250" t="str">
        <f t="shared" si="13"/>
        <v>Normal</v>
      </c>
      <c r="K250" t="str">
        <f t="shared" si="14"/>
        <v/>
      </c>
    </row>
    <row r="251" spans="1:11" x14ac:dyDescent="0.25">
      <c r="A251">
        <v>3454</v>
      </c>
      <c r="B251">
        <v>149.15503870910899</v>
      </c>
      <c r="C251">
        <v>34.202189824418298</v>
      </c>
      <c r="D251">
        <v>249</v>
      </c>
      <c r="E251">
        <f>VLOOKUP(A251, Athletes_Map!A:B, 2, FALSE)</f>
        <v>237</v>
      </c>
      <c r="F251" t="str">
        <f>VLOOKUP(A251, Athletes_Map!A:C, 3, FALSE)</f>
        <v>Player 237</v>
      </c>
      <c r="G251">
        <v>91</v>
      </c>
      <c r="H251">
        <f t="shared" si="15"/>
        <v>3</v>
      </c>
      <c r="I251" t="str">
        <f t="shared" si="12"/>
        <v>Alert</v>
      </c>
      <c r="J251" t="str">
        <f t="shared" si="13"/>
        <v>Oxygen</v>
      </c>
      <c r="K251">
        <f t="shared" si="14"/>
        <v>91</v>
      </c>
    </row>
    <row r="252" spans="1:11" x14ac:dyDescent="0.25">
      <c r="A252">
        <v>3472</v>
      </c>
      <c r="B252">
        <v>158.46947714970599</v>
      </c>
      <c r="C252">
        <v>33.267783665697202</v>
      </c>
      <c r="D252">
        <v>250</v>
      </c>
      <c r="E252">
        <f>VLOOKUP(A252, Athletes_Map!A:B, 2, FALSE)</f>
        <v>238</v>
      </c>
      <c r="F252" t="str">
        <f>VLOOKUP(A252, Athletes_Map!A:C, 3, FALSE)</f>
        <v>Player 238</v>
      </c>
      <c r="G252">
        <v>94</v>
      </c>
      <c r="H252">
        <f t="shared" si="15"/>
        <v>3</v>
      </c>
      <c r="I252" t="str">
        <f t="shared" si="12"/>
        <v>Alert</v>
      </c>
      <c r="J252" t="str">
        <f t="shared" si="13"/>
        <v>Heart Rate</v>
      </c>
      <c r="K252">
        <f t="shared" si="14"/>
        <v>158.46947714970599</v>
      </c>
    </row>
    <row r="253" spans="1:11" x14ac:dyDescent="0.25">
      <c r="A253">
        <v>3479</v>
      </c>
      <c r="B253">
        <v>112.606602107477</v>
      </c>
      <c r="C253">
        <v>32.240543670138202</v>
      </c>
      <c r="D253">
        <v>251</v>
      </c>
      <c r="E253">
        <f>VLOOKUP(A253, Athletes_Map!A:B, 2, FALSE)</f>
        <v>239</v>
      </c>
      <c r="F253" t="str">
        <f>VLOOKUP(A253, Athletes_Map!A:C, 3, FALSE)</f>
        <v>Player 239</v>
      </c>
      <c r="G253">
        <v>94</v>
      </c>
      <c r="H253">
        <f t="shared" si="15"/>
        <v>1</v>
      </c>
      <c r="I253" t="str">
        <f t="shared" si="12"/>
        <v>Normal</v>
      </c>
      <c r="J253" t="str">
        <f t="shared" si="13"/>
        <v>Normal</v>
      </c>
      <c r="K253" t="str">
        <f t="shared" si="14"/>
        <v/>
      </c>
    </row>
    <row r="254" spans="1:11" x14ac:dyDescent="0.25">
      <c r="A254">
        <v>3482</v>
      </c>
      <c r="B254">
        <v>141.769676869233</v>
      </c>
      <c r="C254">
        <v>33.844128159766598</v>
      </c>
      <c r="D254">
        <v>252</v>
      </c>
      <c r="E254">
        <f>VLOOKUP(A254, Athletes_Map!A:B, 2, FALSE)</f>
        <v>240</v>
      </c>
      <c r="F254" t="str">
        <f>VLOOKUP(A254, Athletes_Map!A:C, 3, FALSE)</f>
        <v>Player 240</v>
      </c>
      <c r="G254">
        <v>92</v>
      </c>
      <c r="H254">
        <f t="shared" si="15"/>
        <v>2</v>
      </c>
      <c r="I254" t="str">
        <f t="shared" si="12"/>
        <v>Normal</v>
      </c>
      <c r="J254" t="str">
        <f t="shared" si="13"/>
        <v>Normal</v>
      </c>
      <c r="K254" t="str">
        <f t="shared" si="14"/>
        <v/>
      </c>
    </row>
    <row r="255" spans="1:11" x14ac:dyDescent="0.25">
      <c r="A255">
        <v>3489</v>
      </c>
      <c r="B255">
        <v>154.92533638894199</v>
      </c>
      <c r="C255">
        <v>32.464867543366601</v>
      </c>
      <c r="D255">
        <v>253</v>
      </c>
      <c r="E255">
        <f>VLOOKUP(A255, Athletes_Map!A:B, 2, FALSE)</f>
        <v>241</v>
      </c>
      <c r="F255" t="str">
        <f>VLOOKUP(A255, Athletes_Map!A:C, 3, FALSE)</f>
        <v>Player 241</v>
      </c>
      <c r="G255">
        <v>90</v>
      </c>
      <c r="H255">
        <f t="shared" si="15"/>
        <v>3</v>
      </c>
      <c r="I255" t="str">
        <f t="shared" si="12"/>
        <v>Alert</v>
      </c>
      <c r="J255" t="str">
        <f t="shared" si="13"/>
        <v>Heart Rate</v>
      </c>
      <c r="K255">
        <f t="shared" si="14"/>
        <v>154.92533638894199</v>
      </c>
    </row>
    <row r="256" spans="1:11" x14ac:dyDescent="0.25">
      <c r="A256">
        <v>3491</v>
      </c>
      <c r="B256">
        <v>169.71927606330499</v>
      </c>
      <c r="C256">
        <v>32.905119189762502</v>
      </c>
      <c r="D256">
        <v>254</v>
      </c>
      <c r="E256">
        <f>VLOOKUP(A256, Athletes_Map!A:B, 2, FALSE)</f>
        <v>242</v>
      </c>
      <c r="F256" t="str">
        <f>VLOOKUP(A256, Athletes_Map!A:C, 3, FALSE)</f>
        <v>Player 242</v>
      </c>
      <c r="G256">
        <v>94</v>
      </c>
      <c r="H256">
        <f t="shared" si="15"/>
        <v>3</v>
      </c>
      <c r="I256" t="str">
        <f t="shared" si="12"/>
        <v>Alert</v>
      </c>
      <c r="J256" t="str">
        <f t="shared" si="13"/>
        <v>Heart Rate</v>
      </c>
      <c r="K256">
        <f t="shared" si="14"/>
        <v>169.71927606330499</v>
      </c>
    </row>
    <row r="257" spans="1:11" x14ac:dyDescent="0.25">
      <c r="A257">
        <v>3502</v>
      </c>
      <c r="B257">
        <v>135.311580951629</v>
      </c>
      <c r="C257">
        <v>30</v>
      </c>
      <c r="D257">
        <v>255</v>
      </c>
      <c r="E257">
        <f>VLOOKUP(A257, Athletes_Map!A:B, 2, FALSE)</f>
        <v>243</v>
      </c>
      <c r="F257" t="str">
        <f>VLOOKUP(A257, Athletes_Map!A:C, 3, FALSE)</f>
        <v>Player 243</v>
      </c>
      <c r="G257">
        <v>95</v>
      </c>
      <c r="H257">
        <f t="shared" si="15"/>
        <v>2</v>
      </c>
      <c r="I257" t="str">
        <f t="shared" si="12"/>
        <v>Normal</v>
      </c>
      <c r="J257" t="str">
        <f t="shared" si="13"/>
        <v>Normal</v>
      </c>
      <c r="K257" t="str">
        <f t="shared" si="14"/>
        <v/>
      </c>
    </row>
    <row r="258" spans="1:11" x14ac:dyDescent="0.25">
      <c r="A258">
        <v>3504</v>
      </c>
      <c r="B258">
        <v>133.84762405932801</v>
      </c>
      <c r="C258">
        <v>30.731987794580402</v>
      </c>
      <c r="D258">
        <v>256</v>
      </c>
      <c r="E258">
        <f>VLOOKUP(A258, Athletes_Map!A:B, 2, FALSE)</f>
        <v>244</v>
      </c>
      <c r="F258" t="str">
        <f>VLOOKUP(A258, Athletes_Map!A:C, 3, FALSE)</f>
        <v>Player 244</v>
      </c>
      <c r="G258">
        <v>96</v>
      </c>
      <c r="H258">
        <f t="shared" si="15"/>
        <v>2</v>
      </c>
      <c r="I258" t="str">
        <f t="shared" ref="I258:I321" si="16">IF(H258=3, "Alert", "Normal")</f>
        <v>Normal</v>
      </c>
      <c r="J258" t="str">
        <f t="shared" ref="J258:J321" si="17">IF(B258&gt;150,"Heart Rate",
IF(C258&gt;37.5,"Temperature",
IF(G258&lt;92,"Oxygen","Normal")))</f>
        <v>Normal</v>
      </c>
      <c r="K258" t="str">
        <f t="shared" ref="K258:K321" si="18">IF(J258="Heart Rate",B258,IF(J258="Temperature",C258,IF(J258="Oxygen",G258,"")))</f>
        <v/>
      </c>
    </row>
    <row r="259" spans="1:11" x14ac:dyDescent="0.25">
      <c r="A259">
        <v>3511</v>
      </c>
      <c r="B259">
        <v>127.24596880128</v>
      </c>
      <c r="C259">
        <v>32.125846053983501</v>
      </c>
      <c r="D259">
        <v>257</v>
      </c>
      <c r="E259">
        <f>VLOOKUP(A259, Athletes_Map!A:B, 2, FALSE)</f>
        <v>245</v>
      </c>
      <c r="F259" t="str">
        <f>VLOOKUP(A259, Athletes_Map!A:C, 3, FALSE)</f>
        <v>Player 245</v>
      </c>
      <c r="G259">
        <v>94</v>
      </c>
      <c r="H259">
        <f t="shared" ref="H259:H322" si="19">IF(OR(B259&gt;150, C259&gt;37.5, G259&lt;92), 3,
IF(OR(B259&gt;120, C259&gt;37, G259&lt;94), 2,
1))</f>
        <v>2</v>
      </c>
      <c r="I259" t="str">
        <f t="shared" si="16"/>
        <v>Normal</v>
      </c>
      <c r="J259" t="str">
        <f t="shared" si="17"/>
        <v>Normal</v>
      </c>
      <c r="K259" t="str">
        <f t="shared" si="18"/>
        <v/>
      </c>
    </row>
    <row r="260" spans="1:11" x14ac:dyDescent="0.25">
      <c r="A260">
        <v>3539</v>
      </c>
      <c r="B260">
        <v>101.140863716092</v>
      </c>
      <c r="C260">
        <v>32.988853726118599</v>
      </c>
      <c r="D260">
        <v>258</v>
      </c>
      <c r="E260">
        <f>VLOOKUP(A260, Athletes_Map!A:B, 2, FALSE)</f>
        <v>246</v>
      </c>
      <c r="F260" t="str">
        <f>VLOOKUP(A260, Athletes_Map!A:C, 3, FALSE)</f>
        <v>Player 246</v>
      </c>
      <c r="G260">
        <v>97</v>
      </c>
      <c r="H260">
        <f t="shared" si="19"/>
        <v>1</v>
      </c>
      <c r="I260" t="str">
        <f t="shared" si="16"/>
        <v>Normal</v>
      </c>
      <c r="J260" t="str">
        <f t="shared" si="17"/>
        <v>Normal</v>
      </c>
      <c r="K260" t="str">
        <f t="shared" si="18"/>
        <v/>
      </c>
    </row>
    <row r="261" spans="1:11" x14ac:dyDescent="0.25">
      <c r="A261">
        <v>3551</v>
      </c>
      <c r="B261">
        <v>142.89343059645901</v>
      </c>
      <c r="C261">
        <v>33.501216902687197</v>
      </c>
      <c r="D261">
        <v>259</v>
      </c>
      <c r="E261">
        <f>VLOOKUP(A261, Athletes_Map!A:B, 2, FALSE)</f>
        <v>247</v>
      </c>
      <c r="F261" t="str">
        <f>VLOOKUP(A261, Athletes_Map!A:C, 3, FALSE)</f>
        <v>Player 247</v>
      </c>
      <c r="G261">
        <v>91</v>
      </c>
      <c r="H261">
        <f t="shared" si="19"/>
        <v>3</v>
      </c>
      <c r="I261" t="str">
        <f t="shared" si="16"/>
        <v>Alert</v>
      </c>
      <c r="J261" t="str">
        <f t="shared" si="17"/>
        <v>Oxygen</v>
      </c>
      <c r="K261">
        <f t="shared" si="18"/>
        <v>91</v>
      </c>
    </row>
    <row r="262" spans="1:11" x14ac:dyDescent="0.25">
      <c r="A262">
        <v>3557</v>
      </c>
      <c r="B262">
        <v>149.92507132054399</v>
      </c>
      <c r="C262">
        <v>31.311821988602901</v>
      </c>
      <c r="D262">
        <v>260</v>
      </c>
      <c r="E262">
        <f>VLOOKUP(A262, Athletes_Map!A:B, 2, FALSE)</f>
        <v>248</v>
      </c>
      <c r="F262" t="str">
        <f>VLOOKUP(A262, Athletes_Map!A:C, 3, FALSE)</f>
        <v>Player 248</v>
      </c>
      <c r="G262">
        <v>94</v>
      </c>
      <c r="H262">
        <f t="shared" si="19"/>
        <v>2</v>
      </c>
      <c r="I262" t="str">
        <f t="shared" si="16"/>
        <v>Normal</v>
      </c>
      <c r="J262" t="str">
        <f t="shared" si="17"/>
        <v>Normal</v>
      </c>
      <c r="K262" t="str">
        <f t="shared" si="18"/>
        <v/>
      </c>
    </row>
    <row r="263" spans="1:11" x14ac:dyDescent="0.25">
      <c r="A263">
        <v>3558</v>
      </c>
      <c r="B263">
        <v>141.52266044484199</v>
      </c>
      <c r="C263">
        <v>32.3139047496527</v>
      </c>
      <c r="D263">
        <v>261</v>
      </c>
      <c r="E263">
        <f>VLOOKUP(A263, Athletes_Map!A:B, 2, FALSE)</f>
        <v>249</v>
      </c>
      <c r="F263" t="str">
        <f>VLOOKUP(A263, Athletes_Map!A:C, 3, FALSE)</f>
        <v>Player 249</v>
      </c>
      <c r="G263">
        <v>94</v>
      </c>
      <c r="H263">
        <f t="shared" si="19"/>
        <v>2</v>
      </c>
      <c r="I263" t="str">
        <f t="shared" si="16"/>
        <v>Normal</v>
      </c>
      <c r="J263" t="str">
        <f t="shared" si="17"/>
        <v>Normal</v>
      </c>
      <c r="K263" t="str">
        <f t="shared" si="18"/>
        <v/>
      </c>
    </row>
    <row r="264" spans="1:11" x14ac:dyDescent="0.25">
      <c r="A264">
        <v>3560</v>
      </c>
      <c r="B264">
        <v>136.768137725836</v>
      </c>
      <c r="C264">
        <v>33.789315811380398</v>
      </c>
      <c r="D264">
        <v>262</v>
      </c>
      <c r="E264">
        <f>VLOOKUP(A264, Athletes_Map!A:B, 2, FALSE)</f>
        <v>250</v>
      </c>
      <c r="F264" t="str">
        <f>VLOOKUP(A264, Athletes_Map!A:C, 3, FALSE)</f>
        <v>Player 250</v>
      </c>
      <c r="G264">
        <v>93</v>
      </c>
      <c r="H264">
        <f t="shared" si="19"/>
        <v>2</v>
      </c>
      <c r="I264" t="str">
        <f t="shared" si="16"/>
        <v>Normal</v>
      </c>
      <c r="J264" t="str">
        <f t="shared" si="17"/>
        <v>Normal</v>
      </c>
      <c r="K264" t="str">
        <f t="shared" si="18"/>
        <v/>
      </c>
    </row>
    <row r="265" spans="1:11" x14ac:dyDescent="0.25">
      <c r="A265">
        <v>3568</v>
      </c>
      <c r="B265">
        <v>116.012022223361</v>
      </c>
      <c r="C265">
        <v>32.169299604880898</v>
      </c>
      <c r="D265">
        <v>263</v>
      </c>
      <c r="E265">
        <f>VLOOKUP(A265, Athletes_Map!A:B, 2, FALSE)</f>
        <v>251</v>
      </c>
      <c r="F265" t="str">
        <f>VLOOKUP(A265, Athletes_Map!A:C, 3, FALSE)</f>
        <v>Player 251</v>
      </c>
      <c r="G265">
        <v>96</v>
      </c>
      <c r="H265">
        <f t="shared" si="19"/>
        <v>1</v>
      </c>
      <c r="I265" t="str">
        <f t="shared" si="16"/>
        <v>Normal</v>
      </c>
      <c r="J265" t="str">
        <f t="shared" si="17"/>
        <v>Normal</v>
      </c>
      <c r="K265" t="str">
        <f t="shared" si="18"/>
        <v/>
      </c>
    </row>
    <row r="266" spans="1:11" x14ac:dyDescent="0.25">
      <c r="A266">
        <v>3590</v>
      </c>
      <c r="B266">
        <v>150.06683242208999</v>
      </c>
      <c r="C266">
        <v>31.611460057544001</v>
      </c>
      <c r="D266">
        <v>264</v>
      </c>
      <c r="E266">
        <f>VLOOKUP(A266, Athletes_Map!A:B, 2, FALSE)</f>
        <v>252</v>
      </c>
      <c r="F266" t="str">
        <f>VLOOKUP(A266, Athletes_Map!A:C, 3, FALSE)</f>
        <v>Player 252</v>
      </c>
      <c r="G266">
        <v>94</v>
      </c>
      <c r="H266">
        <f t="shared" si="19"/>
        <v>3</v>
      </c>
      <c r="I266" t="str">
        <f t="shared" si="16"/>
        <v>Alert</v>
      </c>
      <c r="J266" t="str">
        <f t="shared" si="17"/>
        <v>Heart Rate</v>
      </c>
      <c r="K266">
        <f t="shared" si="18"/>
        <v>150.06683242208999</v>
      </c>
    </row>
    <row r="267" spans="1:11" x14ac:dyDescent="0.25">
      <c r="A267">
        <v>3593</v>
      </c>
      <c r="B267">
        <v>149.84190744018599</v>
      </c>
      <c r="C267">
        <v>32.271033254855602</v>
      </c>
      <c r="D267">
        <v>265</v>
      </c>
      <c r="E267">
        <f>VLOOKUP(A267, Athletes_Map!A:B, 2, FALSE)</f>
        <v>253</v>
      </c>
      <c r="F267" t="str">
        <f>VLOOKUP(A267, Athletes_Map!A:C, 3, FALSE)</f>
        <v>Player 253</v>
      </c>
      <c r="G267">
        <v>90</v>
      </c>
      <c r="H267">
        <f t="shared" si="19"/>
        <v>3</v>
      </c>
      <c r="I267" t="str">
        <f t="shared" si="16"/>
        <v>Alert</v>
      </c>
      <c r="J267" t="str">
        <f t="shared" si="17"/>
        <v>Oxygen</v>
      </c>
      <c r="K267">
        <f t="shared" si="18"/>
        <v>90</v>
      </c>
    </row>
    <row r="268" spans="1:11" x14ac:dyDescent="0.25">
      <c r="A268">
        <v>3612</v>
      </c>
      <c r="B268">
        <v>157.06603764032999</v>
      </c>
      <c r="C268">
        <v>32.8102153867532</v>
      </c>
      <c r="D268">
        <v>266</v>
      </c>
      <c r="E268">
        <f>VLOOKUP(A268, Athletes_Map!A:B, 2, FALSE)</f>
        <v>254</v>
      </c>
      <c r="F268" t="str">
        <f>VLOOKUP(A268, Athletes_Map!A:C, 3, FALSE)</f>
        <v>Player 254</v>
      </c>
      <c r="G268">
        <v>92</v>
      </c>
      <c r="H268">
        <f t="shared" si="19"/>
        <v>3</v>
      </c>
      <c r="I268" t="str">
        <f t="shared" si="16"/>
        <v>Alert</v>
      </c>
      <c r="J268" t="str">
        <f t="shared" si="17"/>
        <v>Heart Rate</v>
      </c>
      <c r="K268">
        <f t="shared" si="18"/>
        <v>157.06603764032999</v>
      </c>
    </row>
    <row r="269" spans="1:11" x14ac:dyDescent="0.25">
      <c r="A269">
        <v>3635</v>
      </c>
      <c r="B269">
        <v>148.92774894913401</v>
      </c>
      <c r="C269">
        <v>33.8285672233458</v>
      </c>
      <c r="D269">
        <v>267</v>
      </c>
      <c r="E269">
        <f>VLOOKUP(A269, Athletes_Map!A:B, 2, FALSE)</f>
        <v>255</v>
      </c>
      <c r="F269" t="str">
        <f>VLOOKUP(A269, Athletes_Map!A:C, 3, FALSE)</f>
        <v>Player 255</v>
      </c>
      <c r="G269">
        <v>90</v>
      </c>
      <c r="H269">
        <f t="shared" si="19"/>
        <v>3</v>
      </c>
      <c r="I269" t="str">
        <f t="shared" si="16"/>
        <v>Alert</v>
      </c>
      <c r="J269" t="str">
        <f t="shared" si="17"/>
        <v>Oxygen</v>
      </c>
      <c r="K269">
        <f t="shared" si="18"/>
        <v>90</v>
      </c>
    </row>
    <row r="270" spans="1:11" x14ac:dyDescent="0.25">
      <c r="A270">
        <v>3645</v>
      </c>
      <c r="B270">
        <v>164.85377137918999</v>
      </c>
      <c r="C270">
        <v>32.3548250906642</v>
      </c>
      <c r="D270">
        <v>268</v>
      </c>
      <c r="E270">
        <f>VLOOKUP(A270, Athletes_Map!A:B, 2, FALSE)</f>
        <v>256</v>
      </c>
      <c r="F270" t="str">
        <f>VLOOKUP(A270, Athletes_Map!A:C, 3, FALSE)</f>
        <v>Player 256</v>
      </c>
      <c r="G270">
        <v>91</v>
      </c>
      <c r="H270">
        <f t="shared" si="19"/>
        <v>3</v>
      </c>
      <c r="I270" t="str">
        <f t="shared" si="16"/>
        <v>Alert</v>
      </c>
      <c r="J270" t="str">
        <f t="shared" si="17"/>
        <v>Heart Rate</v>
      </c>
      <c r="K270">
        <f t="shared" si="18"/>
        <v>164.85377137918999</v>
      </c>
    </row>
    <row r="271" spans="1:11" x14ac:dyDescent="0.25">
      <c r="A271">
        <v>3674</v>
      </c>
      <c r="B271">
        <v>107.86836390753101</v>
      </c>
      <c r="C271">
        <v>32.298653649779403</v>
      </c>
      <c r="D271">
        <v>269</v>
      </c>
      <c r="E271">
        <f>VLOOKUP(A271, Athletes_Map!A:B, 2, FALSE)</f>
        <v>257</v>
      </c>
      <c r="F271" t="str">
        <f>VLOOKUP(A271, Athletes_Map!A:C, 3, FALSE)</f>
        <v>Player 257</v>
      </c>
      <c r="G271">
        <v>100</v>
      </c>
      <c r="H271">
        <f t="shared" si="19"/>
        <v>1</v>
      </c>
      <c r="I271" t="str">
        <f t="shared" si="16"/>
        <v>Normal</v>
      </c>
      <c r="J271" t="str">
        <f t="shared" si="17"/>
        <v>Normal</v>
      </c>
      <c r="K271" t="str">
        <f t="shared" si="18"/>
        <v/>
      </c>
    </row>
    <row r="272" spans="1:11" x14ac:dyDescent="0.25">
      <c r="A272">
        <v>3681</v>
      </c>
      <c r="B272">
        <v>103.589987927536</v>
      </c>
      <c r="C272">
        <v>32.298110815898603</v>
      </c>
      <c r="D272">
        <v>270</v>
      </c>
      <c r="E272">
        <f>VLOOKUP(A272, Athletes_Map!A:B, 2, FALSE)</f>
        <v>258</v>
      </c>
      <c r="F272" t="str">
        <f>VLOOKUP(A272, Athletes_Map!A:C, 3, FALSE)</f>
        <v>Player 258</v>
      </c>
      <c r="G272">
        <v>98</v>
      </c>
      <c r="H272">
        <f t="shared" si="19"/>
        <v>1</v>
      </c>
      <c r="I272" t="str">
        <f t="shared" si="16"/>
        <v>Normal</v>
      </c>
      <c r="J272" t="str">
        <f t="shared" si="17"/>
        <v>Normal</v>
      </c>
      <c r="K272" t="str">
        <f t="shared" si="18"/>
        <v/>
      </c>
    </row>
    <row r="273" spans="1:11" x14ac:dyDescent="0.25">
      <c r="A273">
        <v>3693</v>
      </c>
      <c r="B273">
        <v>125.42502756672999</v>
      </c>
      <c r="C273">
        <v>30.637794943874301</v>
      </c>
      <c r="D273">
        <v>271</v>
      </c>
      <c r="E273">
        <f>VLOOKUP(A273, Athletes_Map!A:B, 2, FALSE)</f>
        <v>259</v>
      </c>
      <c r="F273" t="str">
        <f>VLOOKUP(A273, Athletes_Map!A:C, 3, FALSE)</f>
        <v>Player 259</v>
      </c>
      <c r="G273">
        <v>95</v>
      </c>
      <c r="H273">
        <f t="shared" si="19"/>
        <v>2</v>
      </c>
      <c r="I273" t="str">
        <f t="shared" si="16"/>
        <v>Normal</v>
      </c>
      <c r="J273" t="str">
        <f t="shared" si="17"/>
        <v>Normal</v>
      </c>
      <c r="K273" t="str">
        <f t="shared" si="18"/>
        <v/>
      </c>
    </row>
    <row r="274" spans="1:11" x14ac:dyDescent="0.25">
      <c r="A274">
        <v>3695</v>
      </c>
      <c r="B274">
        <v>138.69672247389701</v>
      </c>
      <c r="C274">
        <v>35.450491248172398</v>
      </c>
      <c r="D274">
        <v>272</v>
      </c>
      <c r="E274">
        <f>VLOOKUP(A274, Athletes_Map!A:B, 2, FALSE)</f>
        <v>260</v>
      </c>
      <c r="F274" t="str">
        <f>VLOOKUP(A274, Athletes_Map!A:C, 3, FALSE)</f>
        <v>Player 260</v>
      </c>
      <c r="G274">
        <v>96</v>
      </c>
      <c r="H274">
        <f t="shared" si="19"/>
        <v>2</v>
      </c>
      <c r="I274" t="str">
        <f t="shared" si="16"/>
        <v>Normal</v>
      </c>
      <c r="J274" t="str">
        <f t="shared" si="17"/>
        <v>Normal</v>
      </c>
      <c r="K274" t="str">
        <f t="shared" si="18"/>
        <v/>
      </c>
    </row>
    <row r="275" spans="1:11" x14ac:dyDescent="0.25">
      <c r="A275">
        <v>3703</v>
      </c>
      <c r="B275">
        <v>118.92650864060499</v>
      </c>
      <c r="C275">
        <v>31.1243588321144</v>
      </c>
      <c r="D275">
        <v>273</v>
      </c>
      <c r="E275">
        <f>VLOOKUP(A275, Athletes_Map!A:B, 2, FALSE)</f>
        <v>261</v>
      </c>
      <c r="F275" t="str">
        <f>VLOOKUP(A275, Athletes_Map!A:C, 3, FALSE)</f>
        <v>Player 261</v>
      </c>
      <c r="G275">
        <v>96</v>
      </c>
      <c r="H275">
        <f t="shared" si="19"/>
        <v>1</v>
      </c>
      <c r="I275" t="str">
        <f t="shared" si="16"/>
        <v>Normal</v>
      </c>
      <c r="J275" t="str">
        <f t="shared" si="17"/>
        <v>Normal</v>
      </c>
      <c r="K275" t="str">
        <f t="shared" si="18"/>
        <v/>
      </c>
    </row>
    <row r="276" spans="1:11" x14ac:dyDescent="0.25">
      <c r="A276">
        <v>3708</v>
      </c>
      <c r="B276">
        <v>131.39040172818699</v>
      </c>
      <c r="C276">
        <v>33.067036727813303</v>
      </c>
      <c r="D276">
        <v>274</v>
      </c>
      <c r="E276">
        <f>VLOOKUP(A276, Athletes_Map!A:B, 2, FALSE)</f>
        <v>262</v>
      </c>
      <c r="F276" t="str">
        <f>VLOOKUP(A276, Athletes_Map!A:C, 3, FALSE)</f>
        <v>Player 262</v>
      </c>
      <c r="G276">
        <v>96</v>
      </c>
      <c r="H276">
        <f t="shared" si="19"/>
        <v>2</v>
      </c>
      <c r="I276" t="str">
        <f t="shared" si="16"/>
        <v>Normal</v>
      </c>
      <c r="J276" t="str">
        <f t="shared" si="17"/>
        <v>Normal</v>
      </c>
      <c r="K276" t="str">
        <f t="shared" si="18"/>
        <v/>
      </c>
    </row>
    <row r="277" spans="1:11" x14ac:dyDescent="0.25">
      <c r="A277">
        <v>3712</v>
      </c>
      <c r="B277">
        <v>141.463354283695</v>
      </c>
      <c r="C277">
        <v>33.600997909204999</v>
      </c>
      <c r="D277">
        <v>275</v>
      </c>
      <c r="E277">
        <f>VLOOKUP(A277, Athletes_Map!A:B, 2, FALSE)</f>
        <v>263</v>
      </c>
      <c r="F277" t="str">
        <f>VLOOKUP(A277, Athletes_Map!A:C, 3, FALSE)</f>
        <v>Player 263</v>
      </c>
      <c r="G277">
        <v>91</v>
      </c>
      <c r="H277">
        <f t="shared" si="19"/>
        <v>3</v>
      </c>
      <c r="I277" t="str">
        <f t="shared" si="16"/>
        <v>Alert</v>
      </c>
      <c r="J277" t="str">
        <f t="shared" si="17"/>
        <v>Oxygen</v>
      </c>
      <c r="K277">
        <f t="shared" si="18"/>
        <v>91</v>
      </c>
    </row>
    <row r="278" spans="1:11" x14ac:dyDescent="0.25">
      <c r="A278">
        <v>3713</v>
      </c>
      <c r="B278">
        <v>163.24441110830799</v>
      </c>
      <c r="C278">
        <v>33.154340940485902</v>
      </c>
      <c r="D278">
        <v>276</v>
      </c>
      <c r="E278">
        <f>VLOOKUP(A278, Athletes_Map!A:B, 2, FALSE)</f>
        <v>264</v>
      </c>
      <c r="F278" t="str">
        <f>VLOOKUP(A278, Athletes_Map!A:C, 3, FALSE)</f>
        <v>Player 264</v>
      </c>
      <c r="G278">
        <v>94</v>
      </c>
      <c r="H278">
        <f t="shared" si="19"/>
        <v>3</v>
      </c>
      <c r="I278" t="str">
        <f t="shared" si="16"/>
        <v>Alert</v>
      </c>
      <c r="J278" t="str">
        <f t="shared" si="17"/>
        <v>Heart Rate</v>
      </c>
      <c r="K278">
        <f t="shared" si="18"/>
        <v>163.24441110830799</v>
      </c>
    </row>
    <row r="279" spans="1:11" x14ac:dyDescent="0.25">
      <c r="A279">
        <v>3717</v>
      </c>
      <c r="B279">
        <v>157.79757122257999</v>
      </c>
      <c r="C279">
        <v>32.037263967432501</v>
      </c>
      <c r="D279">
        <v>277</v>
      </c>
      <c r="E279">
        <f>VLOOKUP(A279, Athletes_Map!A:B, 2, FALSE)</f>
        <v>265</v>
      </c>
      <c r="F279" t="str">
        <f>VLOOKUP(A279, Athletes_Map!A:C, 3, FALSE)</f>
        <v>Player 265</v>
      </c>
      <c r="G279">
        <v>93</v>
      </c>
      <c r="H279">
        <f t="shared" si="19"/>
        <v>3</v>
      </c>
      <c r="I279" t="str">
        <f t="shared" si="16"/>
        <v>Alert</v>
      </c>
      <c r="J279" t="str">
        <f t="shared" si="17"/>
        <v>Heart Rate</v>
      </c>
      <c r="K279">
        <f t="shared" si="18"/>
        <v>157.79757122257999</v>
      </c>
    </row>
    <row r="280" spans="1:11" x14ac:dyDescent="0.25">
      <c r="A280">
        <v>3731</v>
      </c>
      <c r="B280">
        <v>147.64815478111001</v>
      </c>
      <c r="C280">
        <v>32.061595808986702</v>
      </c>
      <c r="D280">
        <v>278</v>
      </c>
      <c r="E280">
        <f>VLOOKUP(A280, Athletes_Map!A:B, 2, FALSE)</f>
        <v>266</v>
      </c>
      <c r="F280" t="str">
        <f>VLOOKUP(A280, Athletes_Map!A:C, 3, FALSE)</f>
        <v>Player 266</v>
      </c>
      <c r="G280">
        <v>90</v>
      </c>
      <c r="H280">
        <f t="shared" si="19"/>
        <v>3</v>
      </c>
      <c r="I280" t="str">
        <f t="shared" si="16"/>
        <v>Alert</v>
      </c>
      <c r="J280" t="str">
        <f t="shared" si="17"/>
        <v>Oxygen</v>
      </c>
      <c r="K280">
        <f t="shared" si="18"/>
        <v>90</v>
      </c>
    </row>
    <row r="281" spans="1:11" x14ac:dyDescent="0.25">
      <c r="A281">
        <v>3733</v>
      </c>
      <c r="B281">
        <v>121.378966850502</v>
      </c>
      <c r="C281">
        <v>31.6772763114529</v>
      </c>
      <c r="D281">
        <v>279</v>
      </c>
      <c r="E281">
        <f>VLOOKUP(A281, Athletes_Map!A:B, 2, FALSE)</f>
        <v>267</v>
      </c>
      <c r="F281" t="str">
        <f>VLOOKUP(A281, Athletes_Map!A:C, 3, FALSE)</f>
        <v>Player 267</v>
      </c>
      <c r="G281">
        <v>94</v>
      </c>
      <c r="H281">
        <f t="shared" si="19"/>
        <v>2</v>
      </c>
      <c r="I281" t="str">
        <f t="shared" si="16"/>
        <v>Normal</v>
      </c>
      <c r="J281" t="str">
        <f t="shared" si="17"/>
        <v>Normal</v>
      </c>
      <c r="K281" t="str">
        <f t="shared" si="18"/>
        <v/>
      </c>
    </row>
    <row r="282" spans="1:11" x14ac:dyDescent="0.25">
      <c r="A282">
        <v>3734</v>
      </c>
      <c r="B282">
        <v>155.98018451673701</v>
      </c>
      <c r="C282">
        <v>34.743140094583403</v>
      </c>
      <c r="D282">
        <v>280</v>
      </c>
      <c r="E282">
        <f>VLOOKUP(A282, Athletes_Map!A:B, 2, FALSE)</f>
        <v>268</v>
      </c>
      <c r="F282" t="str">
        <f>VLOOKUP(A282, Athletes_Map!A:C, 3, FALSE)</f>
        <v>Player 268</v>
      </c>
      <c r="G282">
        <v>94</v>
      </c>
      <c r="H282">
        <f t="shared" si="19"/>
        <v>3</v>
      </c>
      <c r="I282" t="str">
        <f t="shared" si="16"/>
        <v>Alert</v>
      </c>
      <c r="J282" t="str">
        <f t="shared" si="17"/>
        <v>Heart Rate</v>
      </c>
      <c r="K282">
        <f t="shared" si="18"/>
        <v>155.98018451673701</v>
      </c>
    </row>
    <row r="283" spans="1:11" x14ac:dyDescent="0.25">
      <c r="A283">
        <v>3738</v>
      </c>
      <c r="B283">
        <v>155.60566908063601</v>
      </c>
      <c r="C283">
        <v>34.031501846812198</v>
      </c>
      <c r="D283">
        <v>281</v>
      </c>
      <c r="E283">
        <f>VLOOKUP(A283, Athletes_Map!A:B, 2, FALSE)</f>
        <v>269</v>
      </c>
      <c r="F283" t="str">
        <f>VLOOKUP(A283, Athletes_Map!A:C, 3, FALSE)</f>
        <v>Player 269</v>
      </c>
      <c r="G283">
        <v>93</v>
      </c>
      <c r="H283">
        <f t="shared" si="19"/>
        <v>3</v>
      </c>
      <c r="I283" t="str">
        <f t="shared" si="16"/>
        <v>Alert</v>
      </c>
      <c r="J283" t="str">
        <f t="shared" si="17"/>
        <v>Heart Rate</v>
      </c>
      <c r="K283">
        <f t="shared" si="18"/>
        <v>155.60566908063601</v>
      </c>
    </row>
    <row r="284" spans="1:11" x14ac:dyDescent="0.25">
      <c r="A284">
        <v>3739</v>
      </c>
      <c r="B284">
        <v>138.62043117407401</v>
      </c>
      <c r="C284">
        <v>33.662263166186499</v>
      </c>
      <c r="D284">
        <v>282</v>
      </c>
      <c r="E284">
        <f>VLOOKUP(A284, Athletes_Map!A:B, 2, FALSE)</f>
        <v>270</v>
      </c>
      <c r="F284" t="str">
        <f>VLOOKUP(A284, Athletes_Map!A:C, 3, FALSE)</f>
        <v>Player 270</v>
      </c>
      <c r="G284">
        <v>94</v>
      </c>
      <c r="H284">
        <f t="shared" si="19"/>
        <v>2</v>
      </c>
      <c r="I284" t="str">
        <f t="shared" si="16"/>
        <v>Normal</v>
      </c>
      <c r="J284" t="str">
        <f t="shared" si="17"/>
        <v>Normal</v>
      </c>
      <c r="K284" t="str">
        <f t="shared" si="18"/>
        <v/>
      </c>
    </row>
    <row r="285" spans="1:11" x14ac:dyDescent="0.25">
      <c r="A285">
        <v>3744</v>
      </c>
      <c r="B285">
        <v>78.029147587398398</v>
      </c>
      <c r="C285">
        <v>33.335121405859802</v>
      </c>
      <c r="D285">
        <v>283</v>
      </c>
      <c r="E285">
        <f>VLOOKUP(A285, Athletes_Map!A:B, 2, FALSE)</f>
        <v>271</v>
      </c>
      <c r="F285" t="str">
        <f>VLOOKUP(A285, Athletes_Map!A:C, 3, FALSE)</f>
        <v>Player 271</v>
      </c>
      <c r="G285">
        <v>99</v>
      </c>
      <c r="H285">
        <f t="shared" si="19"/>
        <v>1</v>
      </c>
      <c r="I285" t="str">
        <f t="shared" si="16"/>
        <v>Normal</v>
      </c>
      <c r="J285" t="str">
        <f t="shared" si="17"/>
        <v>Normal</v>
      </c>
      <c r="K285" t="str">
        <f t="shared" si="18"/>
        <v/>
      </c>
    </row>
    <row r="286" spans="1:11" x14ac:dyDescent="0.25">
      <c r="A286">
        <v>3745</v>
      </c>
      <c r="B286">
        <v>135.68166936518401</v>
      </c>
      <c r="C286">
        <v>33.197153718444603</v>
      </c>
      <c r="D286">
        <v>284</v>
      </c>
      <c r="E286">
        <f>VLOOKUP(A286, Athletes_Map!A:B, 2, FALSE)</f>
        <v>272</v>
      </c>
      <c r="F286" t="str">
        <f>VLOOKUP(A286, Athletes_Map!A:C, 3, FALSE)</f>
        <v>Player 272</v>
      </c>
      <c r="G286">
        <v>95</v>
      </c>
      <c r="H286">
        <f t="shared" si="19"/>
        <v>2</v>
      </c>
      <c r="I286" t="str">
        <f t="shared" si="16"/>
        <v>Normal</v>
      </c>
      <c r="J286" t="str">
        <f t="shared" si="17"/>
        <v>Normal</v>
      </c>
      <c r="K286" t="str">
        <f t="shared" si="18"/>
        <v/>
      </c>
    </row>
    <row r="287" spans="1:11" x14ac:dyDescent="0.25">
      <c r="A287">
        <v>3747</v>
      </c>
      <c r="B287">
        <v>131.30195727114</v>
      </c>
      <c r="C287">
        <v>32.732735159068</v>
      </c>
      <c r="D287">
        <v>285</v>
      </c>
      <c r="E287">
        <f>VLOOKUP(A287, Athletes_Map!A:B, 2, FALSE)</f>
        <v>273</v>
      </c>
      <c r="F287" t="str">
        <f>VLOOKUP(A287, Athletes_Map!A:C, 3, FALSE)</f>
        <v>Player 273</v>
      </c>
      <c r="G287">
        <v>95</v>
      </c>
      <c r="H287">
        <f t="shared" si="19"/>
        <v>2</v>
      </c>
      <c r="I287" t="str">
        <f t="shared" si="16"/>
        <v>Normal</v>
      </c>
      <c r="J287" t="str">
        <f t="shared" si="17"/>
        <v>Normal</v>
      </c>
      <c r="K287" t="str">
        <f t="shared" si="18"/>
        <v/>
      </c>
    </row>
    <row r="288" spans="1:11" x14ac:dyDescent="0.25">
      <c r="A288">
        <v>3779</v>
      </c>
      <c r="B288">
        <v>120.89976288483101</v>
      </c>
      <c r="C288">
        <v>32.889952771025797</v>
      </c>
      <c r="D288">
        <v>286</v>
      </c>
      <c r="E288">
        <f>VLOOKUP(A288, Athletes_Map!A:B, 2, FALSE)</f>
        <v>274</v>
      </c>
      <c r="F288" t="str">
        <f>VLOOKUP(A288, Athletes_Map!A:C, 3, FALSE)</f>
        <v>Player 274</v>
      </c>
      <c r="G288">
        <v>95</v>
      </c>
      <c r="H288">
        <f t="shared" si="19"/>
        <v>2</v>
      </c>
      <c r="I288" t="str">
        <f t="shared" si="16"/>
        <v>Normal</v>
      </c>
      <c r="J288" t="str">
        <f t="shared" si="17"/>
        <v>Normal</v>
      </c>
      <c r="K288" t="str">
        <f t="shared" si="18"/>
        <v/>
      </c>
    </row>
    <row r="289" spans="1:11" x14ac:dyDescent="0.25">
      <c r="A289">
        <v>3782</v>
      </c>
      <c r="B289">
        <v>106.198982348114</v>
      </c>
      <c r="C289">
        <v>32.886210922462901</v>
      </c>
      <c r="D289">
        <v>287</v>
      </c>
      <c r="E289">
        <f>VLOOKUP(A289, Athletes_Map!A:B, 2, FALSE)</f>
        <v>275</v>
      </c>
      <c r="F289" t="str">
        <f>VLOOKUP(A289, Athletes_Map!A:C, 3, FALSE)</f>
        <v>Player 275</v>
      </c>
      <c r="G289">
        <v>100</v>
      </c>
      <c r="H289">
        <f t="shared" si="19"/>
        <v>1</v>
      </c>
      <c r="I289" t="str">
        <f t="shared" si="16"/>
        <v>Normal</v>
      </c>
      <c r="J289" t="str">
        <f t="shared" si="17"/>
        <v>Normal</v>
      </c>
      <c r="K289" t="str">
        <f t="shared" si="18"/>
        <v/>
      </c>
    </row>
    <row r="290" spans="1:11" x14ac:dyDescent="0.25">
      <c r="A290">
        <v>3786</v>
      </c>
      <c r="B290">
        <v>156.013087920152</v>
      </c>
      <c r="C290">
        <v>31.752232162767701</v>
      </c>
      <c r="D290">
        <v>288</v>
      </c>
      <c r="E290">
        <f>VLOOKUP(A290, Athletes_Map!A:B, 2, FALSE)</f>
        <v>276</v>
      </c>
      <c r="F290" t="str">
        <f>VLOOKUP(A290, Athletes_Map!A:C, 3, FALSE)</f>
        <v>Player 276</v>
      </c>
      <c r="G290">
        <v>93</v>
      </c>
      <c r="H290">
        <f t="shared" si="19"/>
        <v>3</v>
      </c>
      <c r="I290" t="str">
        <f t="shared" si="16"/>
        <v>Alert</v>
      </c>
      <c r="J290" t="str">
        <f t="shared" si="17"/>
        <v>Heart Rate</v>
      </c>
      <c r="K290">
        <f t="shared" si="18"/>
        <v>156.013087920152</v>
      </c>
    </row>
    <row r="291" spans="1:11" x14ac:dyDescent="0.25">
      <c r="A291">
        <v>3790</v>
      </c>
      <c r="B291">
        <v>139.153753743262</v>
      </c>
      <c r="C291">
        <v>32.505103418140202</v>
      </c>
      <c r="D291">
        <v>289</v>
      </c>
      <c r="E291">
        <f>VLOOKUP(A291, Athletes_Map!A:B, 2, FALSE)</f>
        <v>277</v>
      </c>
      <c r="F291" t="str">
        <f>VLOOKUP(A291, Athletes_Map!A:C, 3, FALSE)</f>
        <v>Player 277</v>
      </c>
      <c r="G291">
        <v>95</v>
      </c>
      <c r="H291">
        <f t="shared" si="19"/>
        <v>2</v>
      </c>
      <c r="I291" t="str">
        <f t="shared" si="16"/>
        <v>Normal</v>
      </c>
      <c r="J291" t="str">
        <f t="shared" si="17"/>
        <v>Normal</v>
      </c>
      <c r="K291" t="str">
        <f t="shared" si="18"/>
        <v/>
      </c>
    </row>
    <row r="292" spans="1:11" x14ac:dyDescent="0.25">
      <c r="A292">
        <v>3797</v>
      </c>
      <c r="B292">
        <v>129.983339670899</v>
      </c>
      <c r="C292">
        <v>34.051403000629399</v>
      </c>
      <c r="D292">
        <v>290</v>
      </c>
      <c r="E292">
        <f>VLOOKUP(A292, Athletes_Map!A:B, 2, FALSE)</f>
        <v>278</v>
      </c>
      <c r="F292" t="str">
        <f>VLOOKUP(A292, Athletes_Map!A:C, 3, FALSE)</f>
        <v>Player 278</v>
      </c>
      <c r="G292">
        <v>93</v>
      </c>
      <c r="H292">
        <f t="shared" si="19"/>
        <v>2</v>
      </c>
      <c r="I292" t="str">
        <f t="shared" si="16"/>
        <v>Normal</v>
      </c>
      <c r="J292" t="str">
        <f t="shared" si="17"/>
        <v>Normal</v>
      </c>
      <c r="K292" t="str">
        <f t="shared" si="18"/>
        <v/>
      </c>
    </row>
    <row r="293" spans="1:11" x14ac:dyDescent="0.25">
      <c r="A293">
        <v>3806</v>
      </c>
      <c r="B293">
        <v>152.54724581151299</v>
      </c>
      <c r="C293">
        <v>32.342159642199803</v>
      </c>
      <c r="D293">
        <v>291</v>
      </c>
      <c r="E293">
        <f>VLOOKUP(A293, Athletes_Map!A:B, 2, FALSE)</f>
        <v>279</v>
      </c>
      <c r="F293" t="str">
        <f>VLOOKUP(A293, Athletes_Map!A:C, 3, FALSE)</f>
        <v>Player 279</v>
      </c>
      <c r="G293">
        <v>91</v>
      </c>
      <c r="H293">
        <f t="shared" si="19"/>
        <v>3</v>
      </c>
      <c r="I293" t="str">
        <f t="shared" si="16"/>
        <v>Alert</v>
      </c>
      <c r="J293" t="str">
        <f t="shared" si="17"/>
        <v>Heart Rate</v>
      </c>
      <c r="K293">
        <f t="shared" si="18"/>
        <v>152.54724581151299</v>
      </c>
    </row>
    <row r="294" spans="1:11" x14ac:dyDescent="0.25">
      <c r="A294">
        <v>3811</v>
      </c>
      <c r="B294">
        <v>141.68913579974</v>
      </c>
      <c r="C294">
        <v>34.984340722190701</v>
      </c>
      <c r="D294">
        <v>292</v>
      </c>
      <c r="E294">
        <f>VLOOKUP(A294, Athletes_Map!A:B, 2, FALSE)</f>
        <v>280</v>
      </c>
      <c r="F294" t="str">
        <f>VLOOKUP(A294, Athletes_Map!A:C, 3, FALSE)</f>
        <v>Player 280</v>
      </c>
      <c r="G294">
        <v>93</v>
      </c>
      <c r="H294">
        <f t="shared" si="19"/>
        <v>2</v>
      </c>
      <c r="I294" t="str">
        <f t="shared" si="16"/>
        <v>Normal</v>
      </c>
      <c r="J294" t="str">
        <f t="shared" si="17"/>
        <v>Normal</v>
      </c>
      <c r="K294" t="str">
        <f t="shared" si="18"/>
        <v/>
      </c>
    </row>
    <row r="295" spans="1:11" x14ac:dyDescent="0.25">
      <c r="A295">
        <v>3814</v>
      </c>
      <c r="B295">
        <v>145.59385508713399</v>
      </c>
      <c r="C295">
        <v>32.871282281026801</v>
      </c>
      <c r="D295">
        <v>293</v>
      </c>
      <c r="E295">
        <f>VLOOKUP(A295, Athletes_Map!A:B, 2, FALSE)</f>
        <v>281</v>
      </c>
      <c r="F295" t="str">
        <f>VLOOKUP(A295, Athletes_Map!A:C, 3, FALSE)</f>
        <v>Player 281</v>
      </c>
      <c r="G295">
        <v>94</v>
      </c>
      <c r="H295">
        <f t="shared" si="19"/>
        <v>2</v>
      </c>
      <c r="I295" t="str">
        <f t="shared" si="16"/>
        <v>Normal</v>
      </c>
      <c r="J295" t="str">
        <f t="shared" si="17"/>
        <v>Normal</v>
      </c>
      <c r="K295" t="str">
        <f t="shared" si="18"/>
        <v/>
      </c>
    </row>
    <row r="296" spans="1:11" x14ac:dyDescent="0.25">
      <c r="A296">
        <v>3824</v>
      </c>
      <c r="B296">
        <v>176.23007153272701</v>
      </c>
      <c r="C296">
        <v>32.033793897908502</v>
      </c>
      <c r="D296">
        <v>294</v>
      </c>
      <c r="E296">
        <f>VLOOKUP(A296, Athletes_Map!A:B, 2, FALSE)</f>
        <v>282</v>
      </c>
      <c r="F296" t="str">
        <f>VLOOKUP(A296, Athletes_Map!A:C, 3, FALSE)</f>
        <v>Player 282</v>
      </c>
      <c r="G296">
        <v>94</v>
      </c>
      <c r="H296">
        <f t="shared" si="19"/>
        <v>3</v>
      </c>
      <c r="I296" t="str">
        <f t="shared" si="16"/>
        <v>Alert</v>
      </c>
      <c r="J296" t="str">
        <f t="shared" si="17"/>
        <v>Heart Rate</v>
      </c>
      <c r="K296">
        <f t="shared" si="18"/>
        <v>176.23007153272701</v>
      </c>
    </row>
    <row r="297" spans="1:11" x14ac:dyDescent="0.25">
      <c r="A297">
        <v>3832</v>
      </c>
      <c r="B297">
        <v>107.662426031691</v>
      </c>
      <c r="C297">
        <v>31.871521300218699</v>
      </c>
      <c r="D297">
        <v>295</v>
      </c>
      <c r="E297">
        <f>VLOOKUP(A297, Athletes_Map!A:B, 2, FALSE)</f>
        <v>283</v>
      </c>
      <c r="F297" t="str">
        <f>VLOOKUP(A297, Athletes_Map!A:C, 3, FALSE)</f>
        <v>Player 283</v>
      </c>
      <c r="G297">
        <v>99</v>
      </c>
      <c r="H297">
        <f t="shared" si="19"/>
        <v>1</v>
      </c>
      <c r="I297" t="str">
        <f t="shared" si="16"/>
        <v>Normal</v>
      </c>
      <c r="J297" t="str">
        <f t="shared" si="17"/>
        <v>Normal</v>
      </c>
      <c r="K297" t="str">
        <f t="shared" si="18"/>
        <v/>
      </c>
    </row>
    <row r="298" spans="1:11" x14ac:dyDescent="0.25">
      <c r="A298">
        <v>3832</v>
      </c>
      <c r="B298">
        <v>175.12185776318199</v>
      </c>
      <c r="C298">
        <v>35.012852505366503</v>
      </c>
      <c r="D298">
        <v>296</v>
      </c>
      <c r="E298">
        <f>VLOOKUP(A298, Athletes_Map!A:B, 2, FALSE)</f>
        <v>283</v>
      </c>
      <c r="F298" t="str">
        <f>VLOOKUP(A298, Athletes_Map!A:C, 3, FALSE)</f>
        <v>Player 283</v>
      </c>
      <c r="G298">
        <v>90</v>
      </c>
      <c r="H298">
        <f t="shared" si="19"/>
        <v>3</v>
      </c>
      <c r="I298" t="str">
        <f t="shared" si="16"/>
        <v>Alert</v>
      </c>
      <c r="J298" t="str">
        <f t="shared" si="17"/>
        <v>Heart Rate</v>
      </c>
      <c r="K298">
        <f t="shared" si="18"/>
        <v>175.12185776318199</v>
      </c>
    </row>
    <row r="299" spans="1:11" x14ac:dyDescent="0.25">
      <c r="A299">
        <v>3838</v>
      </c>
      <c r="B299">
        <v>155.941966052243</v>
      </c>
      <c r="C299">
        <v>32.173337348909499</v>
      </c>
      <c r="D299">
        <v>297</v>
      </c>
      <c r="E299">
        <f>VLOOKUP(A299, Athletes_Map!A:B, 2, FALSE)</f>
        <v>284</v>
      </c>
      <c r="F299" t="str">
        <f>VLOOKUP(A299, Athletes_Map!A:C, 3, FALSE)</f>
        <v>Player 284</v>
      </c>
      <c r="G299">
        <v>93</v>
      </c>
      <c r="H299">
        <f t="shared" si="19"/>
        <v>3</v>
      </c>
      <c r="I299" t="str">
        <f t="shared" si="16"/>
        <v>Alert</v>
      </c>
      <c r="J299" t="str">
        <f t="shared" si="17"/>
        <v>Heart Rate</v>
      </c>
      <c r="K299">
        <f t="shared" si="18"/>
        <v>155.941966052243</v>
      </c>
    </row>
    <row r="300" spans="1:11" x14ac:dyDescent="0.25">
      <c r="A300">
        <v>3839</v>
      </c>
      <c r="B300">
        <v>103.86836202680399</v>
      </c>
      <c r="C300">
        <v>32.564260006613303</v>
      </c>
      <c r="D300">
        <v>298</v>
      </c>
      <c r="E300">
        <f>VLOOKUP(A300, Athletes_Map!A:B, 2, FALSE)</f>
        <v>285</v>
      </c>
      <c r="F300" t="str">
        <f>VLOOKUP(A300, Athletes_Map!A:C, 3, FALSE)</f>
        <v>Player 285</v>
      </c>
      <c r="G300">
        <v>96</v>
      </c>
      <c r="H300">
        <f t="shared" si="19"/>
        <v>1</v>
      </c>
      <c r="I300" t="str">
        <f t="shared" si="16"/>
        <v>Normal</v>
      </c>
      <c r="J300" t="str">
        <f t="shared" si="17"/>
        <v>Normal</v>
      </c>
      <c r="K300" t="str">
        <f t="shared" si="18"/>
        <v/>
      </c>
    </row>
    <row r="301" spans="1:11" x14ac:dyDescent="0.25">
      <c r="A301">
        <v>3849</v>
      </c>
      <c r="B301">
        <v>144.54081654446199</v>
      </c>
      <c r="C301">
        <v>32.154325877266899</v>
      </c>
      <c r="D301">
        <v>299</v>
      </c>
      <c r="E301">
        <f>VLOOKUP(A301, Athletes_Map!A:B, 2, FALSE)</f>
        <v>286</v>
      </c>
      <c r="F301" t="str">
        <f>VLOOKUP(A301, Athletes_Map!A:C, 3, FALSE)</f>
        <v>Player 286</v>
      </c>
      <c r="G301">
        <v>93</v>
      </c>
      <c r="H301">
        <f t="shared" si="19"/>
        <v>2</v>
      </c>
      <c r="I301" t="str">
        <f t="shared" si="16"/>
        <v>Normal</v>
      </c>
      <c r="J301" t="str">
        <f t="shared" si="17"/>
        <v>Normal</v>
      </c>
      <c r="K301" t="str">
        <f t="shared" si="18"/>
        <v/>
      </c>
    </row>
    <row r="302" spans="1:11" x14ac:dyDescent="0.25">
      <c r="A302">
        <v>3869</v>
      </c>
      <c r="B302">
        <v>133.09408935226</v>
      </c>
      <c r="C302">
        <v>31.201180847449901</v>
      </c>
      <c r="D302">
        <v>300</v>
      </c>
      <c r="E302">
        <f>VLOOKUP(A302, Athletes_Map!A:B, 2, FALSE)</f>
        <v>287</v>
      </c>
      <c r="F302" t="str">
        <f>VLOOKUP(A302, Athletes_Map!A:C, 3, FALSE)</f>
        <v>Player 287</v>
      </c>
      <c r="G302">
        <v>95</v>
      </c>
      <c r="H302">
        <f t="shared" si="19"/>
        <v>2</v>
      </c>
      <c r="I302" t="str">
        <f t="shared" si="16"/>
        <v>Normal</v>
      </c>
      <c r="J302" t="str">
        <f t="shared" si="17"/>
        <v>Normal</v>
      </c>
      <c r="K302" t="str">
        <f t="shared" si="18"/>
        <v/>
      </c>
    </row>
    <row r="303" spans="1:11" x14ac:dyDescent="0.25">
      <c r="A303">
        <v>3871</v>
      </c>
      <c r="B303">
        <v>159.72186350420799</v>
      </c>
      <c r="C303">
        <v>34.115291981748904</v>
      </c>
      <c r="D303">
        <v>301</v>
      </c>
      <c r="E303">
        <f>VLOOKUP(A303, Athletes_Map!A:B, 2, FALSE)</f>
        <v>288</v>
      </c>
      <c r="F303" t="str">
        <f>VLOOKUP(A303, Athletes_Map!A:C, 3, FALSE)</f>
        <v>Player 288</v>
      </c>
      <c r="G303">
        <v>94</v>
      </c>
      <c r="H303">
        <f t="shared" si="19"/>
        <v>3</v>
      </c>
      <c r="I303" t="str">
        <f t="shared" si="16"/>
        <v>Alert</v>
      </c>
      <c r="J303" t="str">
        <f t="shared" si="17"/>
        <v>Heart Rate</v>
      </c>
      <c r="K303">
        <f t="shared" si="18"/>
        <v>159.72186350420799</v>
      </c>
    </row>
    <row r="304" spans="1:11" x14ac:dyDescent="0.25">
      <c r="A304">
        <v>3872</v>
      </c>
      <c r="B304">
        <v>167.49356916939101</v>
      </c>
      <c r="C304">
        <v>33.587105442091499</v>
      </c>
      <c r="D304">
        <v>302</v>
      </c>
      <c r="E304">
        <f>VLOOKUP(A304, Athletes_Map!A:B, 2, FALSE)</f>
        <v>289</v>
      </c>
      <c r="F304" t="str">
        <f>VLOOKUP(A304, Athletes_Map!A:C, 3, FALSE)</f>
        <v>Player 289</v>
      </c>
      <c r="G304">
        <v>92</v>
      </c>
      <c r="H304">
        <f t="shared" si="19"/>
        <v>3</v>
      </c>
      <c r="I304" t="str">
        <f t="shared" si="16"/>
        <v>Alert</v>
      </c>
      <c r="J304" t="str">
        <f t="shared" si="17"/>
        <v>Heart Rate</v>
      </c>
      <c r="K304">
        <f t="shared" si="18"/>
        <v>167.49356916939101</v>
      </c>
    </row>
    <row r="305" spans="1:11" x14ac:dyDescent="0.25">
      <c r="A305">
        <v>3878</v>
      </c>
      <c r="B305">
        <v>144.19944285878199</v>
      </c>
      <c r="C305">
        <v>33.617860315291601</v>
      </c>
      <c r="D305">
        <v>303</v>
      </c>
      <c r="E305">
        <f>VLOOKUP(A305, Athletes_Map!A:B, 2, FALSE)</f>
        <v>290</v>
      </c>
      <c r="F305" t="str">
        <f>VLOOKUP(A305, Athletes_Map!A:C, 3, FALSE)</f>
        <v>Player 290</v>
      </c>
      <c r="G305">
        <v>90</v>
      </c>
      <c r="H305">
        <f t="shared" si="19"/>
        <v>3</v>
      </c>
      <c r="I305" t="str">
        <f t="shared" si="16"/>
        <v>Alert</v>
      </c>
      <c r="J305" t="str">
        <f t="shared" si="17"/>
        <v>Oxygen</v>
      </c>
      <c r="K305">
        <f t="shared" si="18"/>
        <v>90</v>
      </c>
    </row>
    <row r="306" spans="1:11" x14ac:dyDescent="0.25">
      <c r="A306">
        <v>3891</v>
      </c>
      <c r="B306">
        <v>124.418946453074</v>
      </c>
      <c r="C306">
        <v>33.016979117958897</v>
      </c>
      <c r="D306">
        <v>304</v>
      </c>
      <c r="E306">
        <f>VLOOKUP(A306, Athletes_Map!A:B, 2, FALSE)</f>
        <v>291</v>
      </c>
      <c r="F306" t="str">
        <f>VLOOKUP(A306, Athletes_Map!A:C, 3, FALSE)</f>
        <v>Player 291</v>
      </c>
      <c r="G306">
        <v>94</v>
      </c>
      <c r="H306">
        <f t="shared" si="19"/>
        <v>2</v>
      </c>
      <c r="I306" t="str">
        <f t="shared" si="16"/>
        <v>Normal</v>
      </c>
      <c r="J306" t="str">
        <f t="shared" si="17"/>
        <v>Normal</v>
      </c>
      <c r="K306" t="str">
        <f t="shared" si="18"/>
        <v/>
      </c>
    </row>
    <row r="307" spans="1:11" x14ac:dyDescent="0.25">
      <c r="A307">
        <v>3898</v>
      </c>
      <c r="B307">
        <v>147.616233691095</v>
      </c>
      <c r="C307">
        <v>33.412864705876103</v>
      </c>
      <c r="D307">
        <v>305</v>
      </c>
      <c r="E307">
        <f>VLOOKUP(A307, Athletes_Map!A:B, 2, FALSE)</f>
        <v>292</v>
      </c>
      <c r="F307" t="str">
        <f>VLOOKUP(A307, Athletes_Map!A:C, 3, FALSE)</f>
        <v>Player 292</v>
      </c>
      <c r="G307">
        <v>93</v>
      </c>
      <c r="H307">
        <f t="shared" si="19"/>
        <v>2</v>
      </c>
      <c r="I307" t="str">
        <f t="shared" si="16"/>
        <v>Normal</v>
      </c>
      <c r="J307" t="str">
        <f t="shared" si="17"/>
        <v>Normal</v>
      </c>
      <c r="K307" t="str">
        <f t="shared" si="18"/>
        <v/>
      </c>
    </row>
    <row r="308" spans="1:11" x14ac:dyDescent="0.25">
      <c r="A308">
        <v>3911</v>
      </c>
      <c r="B308">
        <v>107.41361543970901</v>
      </c>
      <c r="C308">
        <v>31.6831580172347</v>
      </c>
      <c r="D308">
        <v>306</v>
      </c>
      <c r="E308">
        <f>VLOOKUP(A308, Athletes_Map!A:B, 2, FALSE)</f>
        <v>293</v>
      </c>
      <c r="F308" t="str">
        <f>VLOOKUP(A308, Athletes_Map!A:C, 3, FALSE)</f>
        <v>Player 293</v>
      </c>
      <c r="G308">
        <v>100</v>
      </c>
      <c r="H308">
        <f t="shared" si="19"/>
        <v>1</v>
      </c>
      <c r="I308" t="str">
        <f t="shared" si="16"/>
        <v>Normal</v>
      </c>
      <c r="J308" t="str">
        <f t="shared" si="17"/>
        <v>Normal</v>
      </c>
      <c r="K308" t="str">
        <f t="shared" si="18"/>
        <v/>
      </c>
    </row>
    <row r="309" spans="1:11" x14ac:dyDescent="0.25">
      <c r="A309">
        <v>3914</v>
      </c>
      <c r="B309">
        <v>143.43841508470501</v>
      </c>
      <c r="C309">
        <v>33.002745523372198</v>
      </c>
      <c r="D309">
        <v>307</v>
      </c>
      <c r="E309">
        <f>VLOOKUP(A309, Athletes_Map!A:B, 2, FALSE)</f>
        <v>294</v>
      </c>
      <c r="F309" t="str">
        <f>VLOOKUP(A309, Athletes_Map!A:C, 3, FALSE)</f>
        <v>Player 294</v>
      </c>
      <c r="G309">
        <v>93</v>
      </c>
      <c r="H309">
        <f t="shared" si="19"/>
        <v>2</v>
      </c>
      <c r="I309" t="str">
        <f t="shared" si="16"/>
        <v>Normal</v>
      </c>
      <c r="J309" t="str">
        <f t="shared" si="17"/>
        <v>Normal</v>
      </c>
      <c r="K309" t="str">
        <f t="shared" si="18"/>
        <v/>
      </c>
    </row>
    <row r="310" spans="1:11" x14ac:dyDescent="0.25">
      <c r="A310">
        <v>3923</v>
      </c>
      <c r="B310">
        <v>139.478282681293</v>
      </c>
      <c r="C310">
        <v>30</v>
      </c>
      <c r="D310">
        <v>308</v>
      </c>
      <c r="E310">
        <f>VLOOKUP(A310, Athletes_Map!A:B, 2, FALSE)</f>
        <v>295</v>
      </c>
      <c r="F310" t="str">
        <f>VLOOKUP(A310, Athletes_Map!A:C, 3, FALSE)</f>
        <v>Player 295</v>
      </c>
      <c r="G310">
        <v>95</v>
      </c>
      <c r="H310">
        <f t="shared" si="19"/>
        <v>2</v>
      </c>
      <c r="I310" t="str">
        <f t="shared" si="16"/>
        <v>Normal</v>
      </c>
      <c r="J310" t="str">
        <f t="shared" si="17"/>
        <v>Normal</v>
      </c>
      <c r="K310" t="str">
        <f t="shared" si="18"/>
        <v/>
      </c>
    </row>
    <row r="311" spans="1:11" x14ac:dyDescent="0.25">
      <c r="A311">
        <v>3931</v>
      </c>
      <c r="B311">
        <v>144.42831112772799</v>
      </c>
      <c r="C311">
        <v>33.709619090110003</v>
      </c>
      <c r="D311">
        <v>309</v>
      </c>
      <c r="E311">
        <f>VLOOKUP(A311, Athletes_Map!A:B, 2, FALSE)</f>
        <v>296</v>
      </c>
      <c r="F311" t="str">
        <f>VLOOKUP(A311, Athletes_Map!A:C, 3, FALSE)</f>
        <v>Player 296</v>
      </c>
      <c r="G311">
        <v>91</v>
      </c>
      <c r="H311">
        <f t="shared" si="19"/>
        <v>3</v>
      </c>
      <c r="I311" t="str">
        <f t="shared" si="16"/>
        <v>Alert</v>
      </c>
      <c r="J311" t="str">
        <f t="shared" si="17"/>
        <v>Oxygen</v>
      </c>
      <c r="K311">
        <f t="shared" si="18"/>
        <v>91</v>
      </c>
    </row>
    <row r="312" spans="1:11" x14ac:dyDescent="0.25">
      <c r="A312">
        <v>3950</v>
      </c>
      <c r="B312">
        <v>114.96759980210101</v>
      </c>
      <c r="C312">
        <v>30.521900344492401</v>
      </c>
      <c r="D312">
        <v>310</v>
      </c>
      <c r="E312">
        <f>VLOOKUP(A312, Athletes_Map!A:B, 2, FALSE)</f>
        <v>297</v>
      </c>
      <c r="F312" t="str">
        <f>VLOOKUP(A312, Athletes_Map!A:C, 3, FALSE)</f>
        <v>Player 297</v>
      </c>
      <c r="G312">
        <v>96</v>
      </c>
      <c r="H312">
        <f t="shared" si="19"/>
        <v>1</v>
      </c>
      <c r="I312" t="str">
        <f t="shared" si="16"/>
        <v>Normal</v>
      </c>
      <c r="J312" t="str">
        <f t="shared" si="17"/>
        <v>Normal</v>
      </c>
      <c r="K312" t="str">
        <f t="shared" si="18"/>
        <v/>
      </c>
    </row>
    <row r="313" spans="1:11" x14ac:dyDescent="0.25">
      <c r="A313">
        <v>3961</v>
      </c>
      <c r="B313">
        <v>139.38300655327799</v>
      </c>
      <c r="C313">
        <v>33.2622408508931</v>
      </c>
      <c r="D313">
        <v>311</v>
      </c>
      <c r="E313">
        <f>VLOOKUP(A313, Athletes_Map!A:B, 2, FALSE)</f>
        <v>298</v>
      </c>
      <c r="F313" t="str">
        <f>VLOOKUP(A313, Athletes_Map!A:C, 3, FALSE)</f>
        <v>Player 298</v>
      </c>
      <c r="G313">
        <v>96</v>
      </c>
      <c r="H313">
        <f t="shared" si="19"/>
        <v>2</v>
      </c>
      <c r="I313" t="str">
        <f t="shared" si="16"/>
        <v>Normal</v>
      </c>
      <c r="J313" t="str">
        <f t="shared" si="17"/>
        <v>Normal</v>
      </c>
      <c r="K313" t="str">
        <f t="shared" si="18"/>
        <v/>
      </c>
    </row>
    <row r="314" spans="1:11" x14ac:dyDescent="0.25">
      <c r="A314">
        <v>3967</v>
      </c>
      <c r="B314">
        <v>139.02198093429899</v>
      </c>
      <c r="C314">
        <v>32.4542463391467</v>
      </c>
      <c r="D314">
        <v>312</v>
      </c>
      <c r="E314">
        <f>VLOOKUP(A314, Athletes_Map!A:B, 2, FALSE)</f>
        <v>299</v>
      </c>
      <c r="F314" t="str">
        <f>VLOOKUP(A314, Athletes_Map!A:C, 3, FALSE)</f>
        <v>Player 299</v>
      </c>
      <c r="G314">
        <v>96</v>
      </c>
      <c r="H314">
        <f t="shared" si="19"/>
        <v>2</v>
      </c>
      <c r="I314" t="str">
        <f t="shared" si="16"/>
        <v>Normal</v>
      </c>
      <c r="J314" t="str">
        <f t="shared" si="17"/>
        <v>Normal</v>
      </c>
      <c r="K314" t="str">
        <f t="shared" si="18"/>
        <v/>
      </c>
    </row>
    <row r="315" spans="1:11" x14ac:dyDescent="0.25">
      <c r="A315">
        <v>3975</v>
      </c>
      <c r="B315">
        <v>143.954171200346</v>
      </c>
      <c r="C315">
        <v>33.223699403692798</v>
      </c>
      <c r="D315">
        <v>313</v>
      </c>
      <c r="E315">
        <f>VLOOKUP(A315, Athletes_Map!A:B, 2, FALSE)</f>
        <v>300</v>
      </c>
      <c r="F315" t="str">
        <f>VLOOKUP(A315, Athletes_Map!A:C, 3, FALSE)</f>
        <v>Player 300</v>
      </c>
      <c r="G315">
        <v>90</v>
      </c>
      <c r="H315">
        <f t="shared" si="19"/>
        <v>3</v>
      </c>
      <c r="I315" t="str">
        <f t="shared" si="16"/>
        <v>Alert</v>
      </c>
      <c r="J315" t="str">
        <f t="shared" si="17"/>
        <v>Oxygen</v>
      </c>
      <c r="K315">
        <f t="shared" si="18"/>
        <v>90</v>
      </c>
    </row>
    <row r="316" spans="1:11" x14ac:dyDescent="0.25">
      <c r="A316">
        <v>3976</v>
      </c>
      <c r="B316">
        <v>124.647774019276</v>
      </c>
      <c r="C316">
        <v>34.140018994403498</v>
      </c>
      <c r="D316">
        <v>314</v>
      </c>
      <c r="E316">
        <f>VLOOKUP(A316, Athletes_Map!A:B, 2, FALSE)</f>
        <v>301</v>
      </c>
      <c r="F316" t="str">
        <f>VLOOKUP(A316, Athletes_Map!A:C, 3, FALSE)</f>
        <v>Player 301</v>
      </c>
      <c r="G316">
        <v>95</v>
      </c>
      <c r="H316">
        <f t="shared" si="19"/>
        <v>2</v>
      </c>
      <c r="I316" t="str">
        <f t="shared" si="16"/>
        <v>Normal</v>
      </c>
      <c r="J316" t="str">
        <f t="shared" si="17"/>
        <v>Normal</v>
      </c>
      <c r="K316" t="str">
        <f t="shared" si="18"/>
        <v/>
      </c>
    </row>
    <row r="317" spans="1:11" x14ac:dyDescent="0.25">
      <c r="A317">
        <v>4005</v>
      </c>
      <c r="B317">
        <v>120.91312618914399</v>
      </c>
      <c r="C317">
        <v>31.900414897111801</v>
      </c>
      <c r="D317">
        <v>315</v>
      </c>
      <c r="E317">
        <f>VLOOKUP(A317, Athletes_Map!A:B, 2, FALSE)</f>
        <v>302</v>
      </c>
      <c r="F317" t="str">
        <f>VLOOKUP(A317, Athletes_Map!A:C, 3, FALSE)</f>
        <v>Player 302</v>
      </c>
      <c r="G317">
        <v>95</v>
      </c>
      <c r="H317">
        <f t="shared" si="19"/>
        <v>2</v>
      </c>
      <c r="I317" t="str">
        <f t="shared" si="16"/>
        <v>Normal</v>
      </c>
      <c r="J317" t="str">
        <f t="shared" si="17"/>
        <v>Normal</v>
      </c>
      <c r="K317" t="str">
        <f t="shared" si="18"/>
        <v/>
      </c>
    </row>
    <row r="318" spans="1:11" x14ac:dyDescent="0.25">
      <c r="A318">
        <v>4009</v>
      </c>
      <c r="B318">
        <v>125.953873615018</v>
      </c>
      <c r="C318">
        <v>33.607489187167097</v>
      </c>
      <c r="D318">
        <v>316</v>
      </c>
      <c r="E318">
        <f>VLOOKUP(A318, Athletes_Map!A:B, 2, FALSE)</f>
        <v>303</v>
      </c>
      <c r="F318" t="str">
        <f>VLOOKUP(A318, Athletes_Map!A:C, 3, FALSE)</f>
        <v>Player 303</v>
      </c>
      <c r="G318">
        <v>93</v>
      </c>
      <c r="H318">
        <f t="shared" si="19"/>
        <v>2</v>
      </c>
      <c r="I318" t="str">
        <f t="shared" si="16"/>
        <v>Normal</v>
      </c>
      <c r="J318" t="str">
        <f t="shared" si="17"/>
        <v>Normal</v>
      </c>
      <c r="K318" t="str">
        <f t="shared" si="18"/>
        <v/>
      </c>
    </row>
    <row r="319" spans="1:11" x14ac:dyDescent="0.25">
      <c r="A319">
        <v>4030</v>
      </c>
      <c r="B319">
        <v>137.45340631989501</v>
      </c>
      <c r="C319">
        <v>32.585802353460203</v>
      </c>
      <c r="D319">
        <v>317</v>
      </c>
      <c r="E319">
        <f>VLOOKUP(A319, Athletes_Map!A:B, 2, FALSE)</f>
        <v>304</v>
      </c>
      <c r="F319" t="str">
        <f>VLOOKUP(A319, Athletes_Map!A:C, 3, FALSE)</f>
        <v>Player 304</v>
      </c>
      <c r="G319">
        <v>94</v>
      </c>
      <c r="H319">
        <f t="shared" si="19"/>
        <v>2</v>
      </c>
      <c r="I319" t="str">
        <f t="shared" si="16"/>
        <v>Normal</v>
      </c>
      <c r="J319" t="str">
        <f t="shared" si="17"/>
        <v>Normal</v>
      </c>
      <c r="K319" t="str">
        <f t="shared" si="18"/>
        <v/>
      </c>
    </row>
    <row r="320" spans="1:11" x14ac:dyDescent="0.25">
      <c r="A320">
        <v>4051</v>
      </c>
      <c r="B320">
        <v>125.32228331891299</v>
      </c>
      <c r="C320">
        <v>33.835401596591097</v>
      </c>
      <c r="D320">
        <v>318</v>
      </c>
      <c r="E320">
        <f>VLOOKUP(A320, Athletes_Map!A:B, 2, FALSE)</f>
        <v>305</v>
      </c>
      <c r="F320" t="str">
        <f>VLOOKUP(A320, Athletes_Map!A:C, 3, FALSE)</f>
        <v>Player 305</v>
      </c>
      <c r="G320">
        <v>95</v>
      </c>
      <c r="H320">
        <f t="shared" si="19"/>
        <v>2</v>
      </c>
      <c r="I320" t="str">
        <f t="shared" si="16"/>
        <v>Normal</v>
      </c>
      <c r="J320" t="str">
        <f t="shared" si="17"/>
        <v>Normal</v>
      </c>
      <c r="K320" t="str">
        <f t="shared" si="18"/>
        <v/>
      </c>
    </row>
    <row r="321" spans="1:11" x14ac:dyDescent="0.25">
      <c r="A321">
        <v>4072</v>
      </c>
      <c r="B321">
        <v>169.991534863738</v>
      </c>
      <c r="C321">
        <v>31.6487352469067</v>
      </c>
      <c r="D321">
        <v>319</v>
      </c>
      <c r="E321">
        <f>VLOOKUP(A321, Athletes_Map!A:B, 2, FALSE)</f>
        <v>306</v>
      </c>
      <c r="F321" t="str">
        <f>VLOOKUP(A321, Athletes_Map!A:C, 3, FALSE)</f>
        <v>Player 306</v>
      </c>
      <c r="G321">
        <v>92</v>
      </c>
      <c r="H321">
        <f t="shared" si="19"/>
        <v>3</v>
      </c>
      <c r="I321" t="str">
        <f t="shared" si="16"/>
        <v>Alert</v>
      </c>
      <c r="J321" t="str">
        <f t="shared" si="17"/>
        <v>Heart Rate</v>
      </c>
      <c r="K321">
        <f t="shared" si="18"/>
        <v>169.991534863738</v>
      </c>
    </row>
    <row r="322" spans="1:11" x14ac:dyDescent="0.25">
      <c r="A322">
        <v>4072</v>
      </c>
      <c r="B322">
        <v>141.46158546231999</v>
      </c>
      <c r="C322">
        <v>33.823624266017397</v>
      </c>
      <c r="D322">
        <v>320</v>
      </c>
      <c r="E322">
        <f>VLOOKUP(A322, Athletes_Map!A:B, 2, FALSE)</f>
        <v>306</v>
      </c>
      <c r="F322" t="str">
        <f>VLOOKUP(A322, Athletes_Map!A:C, 3, FALSE)</f>
        <v>Player 306</v>
      </c>
      <c r="G322">
        <v>90</v>
      </c>
      <c r="H322">
        <f t="shared" si="19"/>
        <v>3</v>
      </c>
      <c r="I322" t="str">
        <f t="shared" ref="I322:I385" si="20">IF(H322=3, "Alert", "Normal")</f>
        <v>Alert</v>
      </c>
      <c r="J322" t="str">
        <f t="shared" ref="J322:J385" si="21">IF(B322&gt;150,"Heart Rate",
IF(C322&gt;37.5,"Temperature",
IF(G322&lt;92,"Oxygen","Normal")))</f>
        <v>Oxygen</v>
      </c>
      <c r="K322">
        <f t="shared" ref="K322:K385" si="22">IF(J322="Heart Rate",B322,IF(J322="Temperature",C322,IF(J322="Oxygen",G322,"")))</f>
        <v>90</v>
      </c>
    </row>
    <row r="323" spans="1:11" x14ac:dyDescent="0.25">
      <c r="A323">
        <v>4073</v>
      </c>
      <c r="B323">
        <v>135.368678661307</v>
      </c>
      <c r="C323">
        <v>33.596248308609098</v>
      </c>
      <c r="D323">
        <v>321</v>
      </c>
      <c r="E323">
        <f>VLOOKUP(A323, Athletes_Map!A:B, 2, FALSE)</f>
        <v>307</v>
      </c>
      <c r="F323" t="str">
        <f>VLOOKUP(A323, Athletes_Map!A:C, 3, FALSE)</f>
        <v>Player 307</v>
      </c>
      <c r="G323">
        <v>93</v>
      </c>
      <c r="H323">
        <f t="shared" ref="H323:H386" si="23">IF(OR(B323&gt;150, C323&gt;37.5, G323&lt;92), 3,
IF(OR(B323&gt;120, C323&gt;37, G323&lt;94), 2,
1))</f>
        <v>2</v>
      </c>
      <c r="I323" t="str">
        <f t="shared" si="20"/>
        <v>Normal</v>
      </c>
      <c r="J323" t="str">
        <f t="shared" si="21"/>
        <v>Normal</v>
      </c>
      <c r="K323" t="str">
        <f t="shared" si="22"/>
        <v/>
      </c>
    </row>
    <row r="324" spans="1:11" x14ac:dyDescent="0.25">
      <c r="A324">
        <v>4086</v>
      </c>
      <c r="B324">
        <v>145.156715125792</v>
      </c>
      <c r="C324">
        <v>30.337982687938698</v>
      </c>
      <c r="D324">
        <v>322</v>
      </c>
      <c r="E324">
        <f>VLOOKUP(A324, Athletes_Map!A:B, 2, FALSE)</f>
        <v>308</v>
      </c>
      <c r="F324" t="str">
        <f>VLOOKUP(A324, Athletes_Map!A:C, 3, FALSE)</f>
        <v>Player 308</v>
      </c>
      <c r="G324">
        <v>93</v>
      </c>
      <c r="H324">
        <f t="shared" si="23"/>
        <v>2</v>
      </c>
      <c r="I324" t="str">
        <f t="shared" si="20"/>
        <v>Normal</v>
      </c>
      <c r="J324" t="str">
        <f t="shared" si="21"/>
        <v>Normal</v>
      </c>
      <c r="K324" t="str">
        <f t="shared" si="22"/>
        <v/>
      </c>
    </row>
    <row r="325" spans="1:11" x14ac:dyDescent="0.25">
      <c r="A325">
        <v>4099</v>
      </c>
      <c r="B325">
        <v>120.936471497482</v>
      </c>
      <c r="C325">
        <v>33.021135902320303</v>
      </c>
      <c r="D325">
        <v>323</v>
      </c>
      <c r="E325">
        <f>VLOOKUP(A325, Athletes_Map!A:B, 2, FALSE)</f>
        <v>309</v>
      </c>
      <c r="F325" t="str">
        <f>VLOOKUP(A325, Athletes_Map!A:C, 3, FALSE)</f>
        <v>Player 309</v>
      </c>
      <c r="G325">
        <v>93</v>
      </c>
      <c r="H325">
        <f t="shared" si="23"/>
        <v>2</v>
      </c>
      <c r="I325" t="str">
        <f t="shared" si="20"/>
        <v>Normal</v>
      </c>
      <c r="J325" t="str">
        <f t="shared" si="21"/>
        <v>Normal</v>
      </c>
      <c r="K325" t="str">
        <f t="shared" si="22"/>
        <v/>
      </c>
    </row>
    <row r="326" spans="1:11" x14ac:dyDescent="0.25">
      <c r="A326">
        <v>4104</v>
      </c>
      <c r="B326">
        <v>122.46065884424399</v>
      </c>
      <c r="C326">
        <v>33.797643294399698</v>
      </c>
      <c r="D326">
        <v>324</v>
      </c>
      <c r="E326">
        <f>VLOOKUP(A326, Athletes_Map!A:B, 2, FALSE)</f>
        <v>310</v>
      </c>
      <c r="F326" t="str">
        <f>VLOOKUP(A326, Athletes_Map!A:C, 3, FALSE)</f>
        <v>Player 310</v>
      </c>
      <c r="G326">
        <v>96</v>
      </c>
      <c r="H326">
        <f t="shared" si="23"/>
        <v>2</v>
      </c>
      <c r="I326" t="str">
        <f t="shared" si="20"/>
        <v>Normal</v>
      </c>
      <c r="J326" t="str">
        <f t="shared" si="21"/>
        <v>Normal</v>
      </c>
      <c r="K326" t="str">
        <f t="shared" si="22"/>
        <v/>
      </c>
    </row>
    <row r="327" spans="1:11" x14ac:dyDescent="0.25">
      <c r="A327">
        <v>4108</v>
      </c>
      <c r="B327">
        <v>162.64317982074999</v>
      </c>
      <c r="C327">
        <v>32.528336691526299</v>
      </c>
      <c r="D327">
        <v>325</v>
      </c>
      <c r="E327">
        <f>VLOOKUP(A327, Athletes_Map!A:B, 2, FALSE)</f>
        <v>311</v>
      </c>
      <c r="F327" t="str">
        <f>VLOOKUP(A327, Athletes_Map!A:C, 3, FALSE)</f>
        <v>Player 311</v>
      </c>
      <c r="G327">
        <v>92</v>
      </c>
      <c r="H327">
        <f t="shared" si="23"/>
        <v>3</v>
      </c>
      <c r="I327" t="str">
        <f t="shared" si="20"/>
        <v>Alert</v>
      </c>
      <c r="J327" t="str">
        <f t="shared" si="21"/>
        <v>Heart Rate</v>
      </c>
      <c r="K327">
        <f t="shared" si="22"/>
        <v>162.64317982074999</v>
      </c>
    </row>
    <row r="328" spans="1:11" x14ac:dyDescent="0.25">
      <c r="A328">
        <v>4124</v>
      </c>
      <c r="B328">
        <v>138.95821566925201</v>
      </c>
      <c r="C328">
        <v>32.305051068437102</v>
      </c>
      <c r="D328">
        <v>326</v>
      </c>
      <c r="E328">
        <f>VLOOKUP(A328, Athletes_Map!A:B, 2, FALSE)</f>
        <v>312</v>
      </c>
      <c r="F328" t="str">
        <f>VLOOKUP(A328, Athletes_Map!A:C, 3, FALSE)</f>
        <v>Player 312</v>
      </c>
      <c r="G328">
        <v>96</v>
      </c>
      <c r="H328">
        <f t="shared" si="23"/>
        <v>2</v>
      </c>
      <c r="I328" t="str">
        <f t="shared" si="20"/>
        <v>Normal</v>
      </c>
      <c r="J328" t="str">
        <f t="shared" si="21"/>
        <v>Normal</v>
      </c>
      <c r="K328" t="str">
        <f t="shared" si="22"/>
        <v/>
      </c>
    </row>
    <row r="329" spans="1:11" x14ac:dyDescent="0.25">
      <c r="A329">
        <v>4141</v>
      </c>
      <c r="B329">
        <v>141.39563868285001</v>
      </c>
      <c r="C329">
        <v>30.0883295153577</v>
      </c>
      <c r="D329">
        <v>327</v>
      </c>
      <c r="E329">
        <f>VLOOKUP(A329, Athletes_Map!A:B, 2, FALSE)</f>
        <v>313</v>
      </c>
      <c r="F329" t="str">
        <f>VLOOKUP(A329, Athletes_Map!A:C, 3, FALSE)</f>
        <v>Player 313</v>
      </c>
      <c r="G329">
        <v>92</v>
      </c>
      <c r="H329">
        <f t="shared" si="23"/>
        <v>2</v>
      </c>
      <c r="I329" t="str">
        <f t="shared" si="20"/>
        <v>Normal</v>
      </c>
      <c r="J329" t="str">
        <f t="shared" si="21"/>
        <v>Normal</v>
      </c>
      <c r="K329" t="str">
        <f t="shared" si="22"/>
        <v/>
      </c>
    </row>
    <row r="330" spans="1:11" x14ac:dyDescent="0.25">
      <c r="A330">
        <v>4147</v>
      </c>
      <c r="B330">
        <v>134.488918580171</v>
      </c>
      <c r="C330">
        <v>34.754635126461103</v>
      </c>
      <c r="D330">
        <v>328</v>
      </c>
      <c r="E330">
        <f>VLOOKUP(A330, Athletes_Map!A:B, 2, FALSE)</f>
        <v>314</v>
      </c>
      <c r="F330" t="str">
        <f>VLOOKUP(A330, Athletes_Map!A:C, 3, FALSE)</f>
        <v>Player 314</v>
      </c>
      <c r="G330">
        <v>94</v>
      </c>
      <c r="H330">
        <f t="shared" si="23"/>
        <v>2</v>
      </c>
      <c r="I330" t="str">
        <f t="shared" si="20"/>
        <v>Normal</v>
      </c>
      <c r="J330" t="str">
        <f t="shared" si="21"/>
        <v>Normal</v>
      </c>
      <c r="K330" t="str">
        <f t="shared" si="22"/>
        <v/>
      </c>
    </row>
    <row r="331" spans="1:11" x14ac:dyDescent="0.25">
      <c r="A331">
        <v>4152</v>
      </c>
      <c r="B331">
        <v>108.03629155788499</v>
      </c>
      <c r="C331">
        <v>31.034365131076701</v>
      </c>
      <c r="D331">
        <v>329</v>
      </c>
      <c r="E331">
        <f>VLOOKUP(A331, Athletes_Map!A:B, 2, FALSE)</f>
        <v>315</v>
      </c>
      <c r="F331" t="str">
        <f>VLOOKUP(A331, Athletes_Map!A:C, 3, FALSE)</f>
        <v>Player 315</v>
      </c>
      <c r="G331">
        <v>97</v>
      </c>
      <c r="H331">
        <f t="shared" si="23"/>
        <v>1</v>
      </c>
      <c r="I331" t="str">
        <f t="shared" si="20"/>
        <v>Normal</v>
      </c>
      <c r="J331" t="str">
        <f t="shared" si="21"/>
        <v>Normal</v>
      </c>
      <c r="K331" t="str">
        <f t="shared" si="22"/>
        <v/>
      </c>
    </row>
    <row r="332" spans="1:11" x14ac:dyDescent="0.25">
      <c r="A332">
        <v>4157</v>
      </c>
      <c r="B332">
        <v>128.81655753062699</v>
      </c>
      <c r="C332">
        <v>33.616337357077299</v>
      </c>
      <c r="D332">
        <v>330</v>
      </c>
      <c r="E332">
        <f>VLOOKUP(A332, Athletes_Map!A:B, 2, FALSE)</f>
        <v>316</v>
      </c>
      <c r="F332" t="str">
        <f>VLOOKUP(A332, Athletes_Map!A:C, 3, FALSE)</f>
        <v>Player 316</v>
      </c>
      <c r="G332">
        <v>94</v>
      </c>
      <c r="H332">
        <f t="shared" si="23"/>
        <v>2</v>
      </c>
      <c r="I332" t="str">
        <f t="shared" si="20"/>
        <v>Normal</v>
      </c>
      <c r="J332" t="str">
        <f t="shared" si="21"/>
        <v>Normal</v>
      </c>
      <c r="K332" t="str">
        <f t="shared" si="22"/>
        <v/>
      </c>
    </row>
    <row r="333" spans="1:11" x14ac:dyDescent="0.25">
      <c r="A333">
        <v>4170</v>
      </c>
      <c r="B333">
        <v>137.934273728666</v>
      </c>
      <c r="C333">
        <v>33.8526589227573</v>
      </c>
      <c r="D333">
        <v>331</v>
      </c>
      <c r="E333">
        <f>VLOOKUP(A333, Athletes_Map!A:B, 2, FALSE)</f>
        <v>317</v>
      </c>
      <c r="F333" t="str">
        <f>VLOOKUP(A333, Athletes_Map!A:C, 3, FALSE)</f>
        <v>Player 317</v>
      </c>
      <c r="G333">
        <v>95</v>
      </c>
      <c r="H333">
        <f t="shared" si="23"/>
        <v>2</v>
      </c>
      <c r="I333" t="str">
        <f t="shared" si="20"/>
        <v>Normal</v>
      </c>
      <c r="J333" t="str">
        <f t="shared" si="21"/>
        <v>Normal</v>
      </c>
      <c r="K333" t="str">
        <f t="shared" si="22"/>
        <v/>
      </c>
    </row>
    <row r="334" spans="1:11" x14ac:dyDescent="0.25">
      <c r="A334">
        <v>4170</v>
      </c>
      <c r="B334">
        <v>133.356976432148</v>
      </c>
      <c r="C334">
        <v>32.303222036935203</v>
      </c>
      <c r="D334">
        <v>332</v>
      </c>
      <c r="E334">
        <f>VLOOKUP(A334, Athletes_Map!A:B, 2, FALSE)</f>
        <v>317</v>
      </c>
      <c r="F334" t="str">
        <f>VLOOKUP(A334, Athletes_Map!A:C, 3, FALSE)</f>
        <v>Player 317</v>
      </c>
      <c r="G334">
        <v>96</v>
      </c>
      <c r="H334">
        <f t="shared" si="23"/>
        <v>2</v>
      </c>
      <c r="I334" t="str">
        <f t="shared" si="20"/>
        <v>Normal</v>
      </c>
      <c r="J334" t="str">
        <f t="shared" si="21"/>
        <v>Normal</v>
      </c>
      <c r="K334" t="str">
        <f t="shared" si="22"/>
        <v/>
      </c>
    </row>
    <row r="335" spans="1:11" x14ac:dyDescent="0.25">
      <c r="A335">
        <v>4177</v>
      </c>
      <c r="B335">
        <v>138.40832444750899</v>
      </c>
      <c r="C335">
        <v>32.619179409308899</v>
      </c>
      <c r="D335">
        <v>333</v>
      </c>
      <c r="E335">
        <f>VLOOKUP(A335, Athletes_Map!A:B, 2, FALSE)</f>
        <v>318</v>
      </c>
      <c r="F335" t="str">
        <f>VLOOKUP(A335, Athletes_Map!A:C, 3, FALSE)</f>
        <v>Player 318</v>
      </c>
      <c r="G335">
        <v>95</v>
      </c>
      <c r="H335">
        <f t="shared" si="23"/>
        <v>2</v>
      </c>
      <c r="I335" t="str">
        <f t="shared" si="20"/>
        <v>Normal</v>
      </c>
      <c r="J335" t="str">
        <f t="shared" si="21"/>
        <v>Normal</v>
      </c>
      <c r="K335" t="str">
        <f t="shared" si="22"/>
        <v/>
      </c>
    </row>
    <row r="336" spans="1:11" x14ac:dyDescent="0.25">
      <c r="A336">
        <v>4177</v>
      </c>
      <c r="B336">
        <v>153.07869682172301</v>
      </c>
      <c r="C336">
        <v>30.3941143142874</v>
      </c>
      <c r="D336">
        <v>334</v>
      </c>
      <c r="E336">
        <f>VLOOKUP(A336, Athletes_Map!A:B, 2, FALSE)</f>
        <v>318</v>
      </c>
      <c r="F336" t="str">
        <f>VLOOKUP(A336, Athletes_Map!A:C, 3, FALSE)</f>
        <v>Player 318</v>
      </c>
      <c r="G336">
        <v>92</v>
      </c>
      <c r="H336">
        <f t="shared" si="23"/>
        <v>3</v>
      </c>
      <c r="I336" t="str">
        <f t="shared" si="20"/>
        <v>Alert</v>
      </c>
      <c r="J336" t="str">
        <f t="shared" si="21"/>
        <v>Heart Rate</v>
      </c>
      <c r="K336">
        <f t="shared" si="22"/>
        <v>153.07869682172301</v>
      </c>
    </row>
    <row r="337" spans="1:11" x14ac:dyDescent="0.25">
      <c r="A337">
        <v>4228</v>
      </c>
      <c r="B337">
        <v>136.339814344497</v>
      </c>
      <c r="C337">
        <v>34.022962372119501</v>
      </c>
      <c r="D337">
        <v>335</v>
      </c>
      <c r="E337">
        <f>VLOOKUP(A337, Athletes_Map!A:B, 2, FALSE)</f>
        <v>319</v>
      </c>
      <c r="F337" t="str">
        <f>VLOOKUP(A337, Athletes_Map!A:C, 3, FALSE)</f>
        <v>Player 319</v>
      </c>
      <c r="G337">
        <v>94</v>
      </c>
      <c r="H337">
        <f t="shared" si="23"/>
        <v>2</v>
      </c>
      <c r="I337" t="str">
        <f t="shared" si="20"/>
        <v>Normal</v>
      </c>
      <c r="J337" t="str">
        <f t="shared" si="21"/>
        <v>Normal</v>
      </c>
      <c r="K337" t="str">
        <f t="shared" si="22"/>
        <v/>
      </c>
    </row>
    <row r="338" spans="1:11" x14ac:dyDescent="0.25">
      <c r="A338">
        <v>4242</v>
      </c>
      <c r="B338">
        <v>124.679105435652</v>
      </c>
      <c r="C338">
        <v>31.079674674595498</v>
      </c>
      <c r="D338">
        <v>336</v>
      </c>
      <c r="E338">
        <f>VLOOKUP(A338, Athletes_Map!A:B, 2, FALSE)</f>
        <v>320</v>
      </c>
      <c r="F338" t="str">
        <f>VLOOKUP(A338, Athletes_Map!A:C, 3, FALSE)</f>
        <v>Player 320</v>
      </c>
      <c r="G338">
        <v>96</v>
      </c>
      <c r="H338">
        <f t="shared" si="23"/>
        <v>2</v>
      </c>
      <c r="I338" t="str">
        <f t="shared" si="20"/>
        <v>Normal</v>
      </c>
      <c r="J338" t="str">
        <f t="shared" si="21"/>
        <v>Normal</v>
      </c>
      <c r="K338" t="str">
        <f t="shared" si="22"/>
        <v/>
      </c>
    </row>
    <row r="339" spans="1:11" x14ac:dyDescent="0.25">
      <c r="A339">
        <v>4266</v>
      </c>
      <c r="B339">
        <v>126.13435497616901</v>
      </c>
      <c r="C339">
        <v>32.193017284792397</v>
      </c>
      <c r="D339">
        <v>337</v>
      </c>
      <c r="E339">
        <f>VLOOKUP(A339, Athletes_Map!A:B, 2, FALSE)</f>
        <v>321</v>
      </c>
      <c r="F339" t="str">
        <f>VLOOKUP(A339, Athletes_Map!A:C, 3, FALSE)</f>
        <v>Player 321</v>
      </c>
      <c r="G339">
        <v>96</v>
      </c>
      <c r="H339">
        <f t="shared" si="23"/>
        <v>2</v>
      </c>
      <c r="I339" t="str">
        <f t="shared" si="20"/>
        <v>Normal</v>
      </c>
      <c r="J339" t="str">
        <f t="shared" si="21"/>
        <v>Normal</v>
      </c>
      <c r="K339" t="str">
        <f t="shared" si="22"/>
        <v/>
      </c>
    </row>
    <row r="340" spans="1:11" x14ac:dyDescent="0.25">
      <c r="A340">
        <v>4267</v>
      </c>
      <c r="B340">
        <v>147.25547810125099</v>
      </c>
      <c r="C340">
        <v>32.646908993236202</v>
      </c>
      <c r="D340">
        <v>338</v>
      </c>
      <c r="E340">
        <f>VLOOKUP(A340, Athletes_Map!A:B, 2, FALSE)</f>
        <v>322</v>
      </c>
      <c r="F340" t="str">
        <f>VLOOKUP(A340, Athletes_Map!A:C, 3, FALSE)</f>
        <v>Player 322</v>
      </c>
      <c r="G340">
        <v>90</v>
      </c>
      <c r="H340">
        <f t="shared" si="23"/>
        <v>3</v>
      </c>
      <c r="I340" t="str">
        <f t="shared" si="20"/>
        <v>Alert</v>
      </c>
      <c r="J340" t="str">
        <f t="shared" si="21"/>
        <v>Oxygen</v>
      </c>
      <c r="K340">
        <f t="shared" si="22"/>
        <v>90</v>
      </c>
    </row>
    <row r="341" spans="1:11" x14ac:dyDescent="0.25">
      <c r="A341">
        <v>4304</v>
      </c>
      <c r="B341">
        <v>166.59144291461399</v>
      </c>
      <c r="C341">
        <v>31.588591996134198</v>
      </c>
      <c r="D341">
        <v>339</v>
      </c>
      <c r="E341">
        <f>VLOOKUP(A341, Athletes_Map!A:B, 2, FALSE)</f>
        <v>323</v>
      </c>
      <c r="F341" t="str">
        <f>VLOOKUP(A341, Athletes_Map!A:C, 3, FALSE)</f>
        <v>Player 323</v>
      </c>
      <c r="G341">
        <v>90</v>
      </c>
      <c r="H341">
        <f t="shared" si="23"/>
        <v>3</v>
      </c>
      <c r="I341" t="str">
        <f t="shared" si="20"/>
        <v>Alert</v>
      </c>
      <c r="J341" t="str">
        <f t="shared" si="21"/>
        <v>Heart Rate</v>
      </c>
      <c r="K341">
        <f t="shared" si="22"/>
        <v>166.59144291461399</v>
      </c>
    </row>
    <row r="342" spans="1:11" x14ac:dyDescent="0.25">
      <c r="A342">
        <v>4324</v>
      </c>
      <c r="B342">
        <v>145.77511984892701</v>
      </c>
      <c r="C342">
        <v>33.911417864983299</v>
      </c>
      <c r="D342">
        <v>340</v>
      </c>
      <c r="E342">
        <f>VLOOKUP(A342, Athletes_Map!A:B, 2, FALSE)</f>
        <v>324</v>
      </c>
      <c r="F342" t="str">
        <f>VLOOKUP(A342, Athletes_Map!A:C, 3, FALSE)</f>
        <v>Player 324</v>
      </c>
      <c r="G342">
        <v>91</v>
      </c>
      <c r="H342">
        <f t="shared" si="23"/>
        <v>3</v>
      </c>
      <c r="I342" t="str">
        <f t="shared" si="20"/>
        <v>Alert</v>
      </c>
      <c r="J342" t="str">
        <f t="shared" si="21"/>
        <v>Oxygen</v>
      </c>
      <c r="K342">
        <f t="shared" si="22"/>
        <v>91</v>
      </c>
    </row>
    <row r="343" spans="1:11" x14ac:dyDescent="0.25">
      <c r="A343">
        <v>4327</v>
      </c>
      <c r="B343">
        <v>138.93042339402899</v>
      </c>
      <c r="C343">
        <v>33.059169997824199</v>
      </c>
      <c r="D343">
        <v>341</v>
      </c>
      <c r="E343">
        <f>VLOOKUP(A343, Athletes_Map!A:B, 2, FALSE)</f>
        <v>325</v>
      </c>
      <c r="F343" t="str">
        <f>VLOOKUP(A343, Athletes_Map!A:C, 3, FALSE)</f>
        <v>Player 325</v>
      </c>
      <c r="G343">
        <v>96</v>
      </c>
      <c r="H343">
        <f t="shared" si="23"/>
        <v>2</v>
      </c>
      <c r="I343" t="str">
        <f t="shared" si="20"/>
        <v>Normal</v>
      </c>
      <c r="J343" t="str">
        <f t="shared" si="21"/>
        <v>Normal</v>
      </c>
      <c r="K343" t="str">
        <f t="shared" si="22"/>
        <v/>
      </c>
    </row>
    <row r="344" spans="1:11" x14ac:dyDescent="0.25">
      <c r="A344">
        <v>4330</v>
      </c>
      <c r="B344">
        <v>186.59418675308601</v>
      </c>
      <c r="C344">
        <v>33.605379907659596</v>
      </c>
      <c r="D344">
        <v>342</v>
      </c>
      <c r="E344">
        <f>VLOOKUP(A344, Athletes_Map!A:B, 2, FALSE)</f>
        <v>326</v>
      </c>
      <c r="F344" t="str">
        <f>VLOOKUP(A344, Athletes_Map!A:C, 3, FALSE)</f>
        <v>Player 326</v>
      </c>
      <c r="G344">
        <v>90</v>
      </c>
      <c r="H344">
        <f t="shared" si="23"/>
        <v>3</v>
      </c>
      <c r="I344" t="str">
        <f t="shared" si="20"/>
        <v>Alert</v>
      </c>
      <c r="J344" t="str">
        <f t="shared" si="21"/>
        <v>Heart Rate</v>
      </c>
      <c r="K344">
        <f t="shared" si="22"/>
        <v>186.59418675308601</v>
      </c>
    </row>
    <row r="345" spans="1:11" x14ac:dyDescent="0.25">
      <c r="A345">
        <v>4335</v>
      </c>
      <c r="B345">
        <v>116.551796310029</v>
      </c>
      <c r="C345">
        <v>31.733870789423399</v>
      </c>
      <c r="D345">
        <v>343</v>
      </c>
      <c r="E345">
        <f>VLOOKUP(A345, Athletes_Map!A:B, 2, FALSE)</f>
        <v>327</v>
      </c>
      <c r="F345" t="str">
        <f>VLOOKUP(A345, Athletes_Map!A:C, 3, FALSE)</f>
        <v>Player 327</v>
      </c>
      <c r="G345">
        <v>95</v>
      </c>
      <c r="H345">
        <f t="shared" si="23"/>
        <v>1</v>
      </c>
      <c r="I345" t="str">
        <f t="shared" si="20"/>
        <v>Normal</v>
      </c>
      <c r="J345" t="str">
        <f t="shared" si="21"/>
        <v>Normal</v>
      </c>
      <c r="K345" t="str">
        <f t="shared" si="22"/>
        <v/>
      </c>
    </row>
    <row r="346" spans="1:11" x14ac:dyDescent="0.25">
      <c r="A346">
        <v>4343</v>
      </c>
      <c r="B346">
        <v>142.91607066874801</v>
      </c>
      <c r="C346">
        <v>33.217501395122397</v>
      </c>
      <c r="D346">
        <v>344</v>
      </c>
      <c r="E346">
        <f>VLOOKUP(A346, Athletes_Map!A:B, 2, FALSE)</f>
        <v>328</v>
      </c>
      <c r="F346" t="str">
        <f>VLOOKUP(A346, Athletes_Map!A:C, 3, FALSE)</f>
        <v>Player 328</v>
      </c>
      <c r="G346">
        <v>90</v>
      </c>
      <c r="H346">
        <f t="shared" si="23"/>
        <v>3</v>
      </c>
      <c r="I346" t="str">
        <f t="shared" si="20"/>
        <v>Alert</v>
      </c>
      <c r="J346" t="str">
        <f t="shared" si="21"/>
        <v>Oxygen</v>
      </c>
      <c r="K346">
        <f t="shared" si="22"/>
        <v>90</v>
      </c>
    </row>
    <row r="347" spans="1:11" x14ac:dyDescent="0.25">
      <c r="A347">
        <v>4345</v>
      </c>
      <c r="B347">
        <v>122.12963539239701</v>
      </c>
      <c r="C347">
        <v>33.240551557696399</v>
      </c>
      <c r="D347">
        <v>345</v>
      </c>
      <c r="E347">
        <f>VLOOKUP(A347, Athletes_Map!A:B, 2, FALSE)</f>
        <v>329</v>
      </c>
      <c r="F347" t="str">
        <f>VLOOKUP(A347, Athletes_Map!A:C, 3, FALSE)</f>
        <v>Player 329</v>
      </c>
      <c r="G347">
        <v>94</v>
      </c>
      <c r="H347">
        <f t="shared" si="23"/>
        <v>2</v>
      </c>
      <c r="I347" t="str">
        <f t="shared" si="20"/>
        <v>Normal</v>
      </c>
      <c r="J347" t="str">
        <f t="shared" si="21"/>
        <v>Normal</v>
      </c>
      <c r="K347" t="str">
        <f t="shared" si="22"/>
        <v/>
      </c>
    </row>
    <row r="348" spans="1:11" x14ac:dyDescent="0.25">
      <c r="A348">
        <v>4354</v>
      </c>
      <c r="B348">
        <v>124.958915512947</v>
      </c>
      <c r="C348">
        <v>33.465974406508103</v>
      </c>
      <c r="D348">
        <v>346</v>
      </c>
      <c r="E348">
        <f>VLOOKUP(A348, Athletes_Map!A:B, 2, FALSE)</f>
        <v>330</v>
      </c>
      <c r="F348" t="str">
        <f>VLOOKUP(A348, Athletes_Map!A:C, 3, FALSE)</f>
        <v>Player 330</v>
      </c>
      <c r="G348">
        <v>95</v>
      </c>
      <c r="H348">
        <f t="shared" si="23"/>
        <v>2</v>
      </c>
      <c r="I348" t="str">
        <f t="shared" si="20"/>
        <v>Normal</v>
      </c>
      <c r="J348" t="str">
        <f t="shared" si="21"/>
        <v>Normal</v>
      </c>
      <c r="K348" t="str">
        <f t="shared" si="22"/>
        <v/>
      </c>
    </row>
    <row r="349" spans="1:11" x14ac:dyDescent="0.25">
      <c r="A349">
        <v>4368</v>
      </c>
      <c r="B349">
        <v>120.439941175417</v>
      </c>
      <c r="C349">
        <v>34.572230289697004</v>
      </c>
      <c r="D349">
        <v>347</v>
      </c>
      <c r="E349">
        <f>VLOOKUP(A349, Athletes_Map!A:B, 2, FALSE)</f>
        <v>331</v>
      </c>
      <c r="F349" t="str">
        <f>VLOOKUP(A349, Athletes_Map!A:C, 3, FALSE)</f>
        <v>Player 331</v>
      </c>
      <c r="G349">
        <v>95</v>
      </c>
      <c r="H349">
        <f t="shared" si="23"/>
        <v>2</v>
      </c>
      <c r="I349" t="str">
        <f t="shared" si="20"/>
        <v>Normal</v>
      </c>
      <c r="J349" t="str">
        <f t="shared" si="21"/>
        <v>Normal</v>
      </c>
      <c r="K349" t="str">
        <f t="shared" si="22"/>
        <v/>
      </c>
    </row>
    <row r="350" spans="1:11" x14ac:dyDescent="0.25">
      <c r="A350">
        <v>4373</v>
      </c>
      <c r="B350">
        <v>95.035986309357796</v>
      </c>
      <c r="C350">
        <v>32.292126292244497</v>
      </c>
      <c r="D350">
        <v>348</v>
      </c>
      <c r="E350">
        <f>VLOOKUP(A350, Athletes_Map!A:B, 2, FALSE)</f>
        <v>332</v>
      </c>
      <c r="F350" t="str">
        <f>VLOOKUP(A350, Athletes_Map!A:C, 3, FALSE)</f>
        <v>Player 332</v>
      </c>
      <c r="G350">
        <v>100</v>
      </c>
      <c r="H350">
        <f t="shared" si="23"/>
        <v>1</v>
      </c>
      <c r="I350" t="str">
        <f t="shared" si="20"/>
        <v>Normal</v>
      </c>
      <c r="J350" t="str">
        <f t="shared" si="21"/>
        <v>Normal</v>
      </c>
      <c r="K350" t="str">
        <f t="shared" si="22"/>
        <v/>
      </c>
    </row>
    <row r="351" spans="1:11" x14ac:dyDescent="0.25">
      <c r="A351">
        <v>4374</v>
      </c>
      <c r="B351">
        <v>133.59002443881801</v>
      </c>
      <c r="C351">
        <v>34.464339475701202</v>
      </c>
      <c r="D351">
        <v>349</v>
      </c>
      <c r="E351">
        <f>VLOOKUP(A351, Athletes_Map!A:B, 2, FALSE)</f>
        <v>333</v>
      </c>
      <c r="F351" t="str">
        <f>VLOOKUP(A351, Athletes_Map!A:C, 3, FALSE)</f>
        <v>Player 333</v>
      </c>
      <c r="G351">
        <v>95</v>
      </c>
      <c r="H351">
        <f t="shared" si="23"/>
        <v>2</v>
      </c>
      <c r="I351" t="str">
        <f t="shared" si="20"/>
        <v>Normal</v>
      </c>
      <c r="J351" t="str">
        <f t="shared" si="21"/>
        <v>Normal</v>
      </c>
      <c r="K351" t="str">
        <f t="shared" si="22"/>
        <v/>
      </c>
    </row>
    <row r="352" spans="1:11" x14ac:dyDescent="0.25">
      <c r="A352">
        <v>4376</v>
      </c>
      <c r="B352">
        <v>154.27758233589799</v>
      </c>
      <c r="C352">
        <v>33.3318978067092</v>
      </c>
      <c r="D352">
        <v>350</v>
      </c>
      <c r="E352">
        <f>VLOOKUP(A352, Athletes_Map!A:B, 2, FALSE)</f>
        <v>334</v>
      </c>
      <c r="F352" t="str">
        <f>VLOOKUP(A352, Athletes_Map!A:C, 3, FALSE)</f>
        <v>Player 334</v>
      </c>
      <c r="G352">
        <v>92</v>
      </c>
      <c r="H352">
        <f t="shared" si="23"/>
        <v>3</v>
      </c>
      <c r="I352" t="str">
        <f t="shared" si="20"/>
        <v>Alert</v>
      </c>
      <c r="J352" t="str">
        <f t="shared" si="21"/>
        <v>Heart Rate</v>
      </c>
      <c r="K352">
        <f t="shared" si="22"/>
        <v>154.27758233589799</v>
      </c>
    </row>
    <row r="353" spans="1:11" x14ac:dyDescent="0.25">
      <c r="A353">
        <v>4385</v>
      </c>
      <c r="B353">
        <v>147.31871213888499</v>
      </c>
      <c r="C353">
        <v>34.268841966453799</v>
      </c>
      <c r="D353">
        <v>351</v>
      </c>
      <c r="E353">
        <f>VLOOKUP(A353, Athletes_Map!A:B, 2, FALSE)</f>
        <v>335</v>
      </c>
      <c r="F353" t="str">
        <f>VLOOKUP(A353, Athletes_Map!A:C, 3, FALSE)</f>
        <v>Player 335</v>
      </c>
      <c r="G353">
        <v>93</v>
      </c>
      <c r="H353">
        <f t="shared" si="23"/>
        <v>2</v>
      </c>
      <c r="I353" t="str">
        <f t="shared" si="20"/>
        <v>Normal</v>
      </c>
      <c r="J353" t="str">
        <f t="shared" si="21"/>
        <v>Normal</v>
      </c>
      <c r="K353" t="str">
        <f t="shared" si="22"/>
        <v/>
      </c>
    </row>
    <row r="354" spans="1:11" x14ac:dyDescent="0.25">
      <c r="A354">
        <v>4391</v>
      </c>
      <c r="B354">
        <v>112.166217717329</v>
      </c>
      <c r="C354">
        <v>31.575607934033101</v>
      </c>
      <c r="D354">
        <v>352</v>
      </c>
      <c r="E354">
        <f>VLOOKUP(A354, Athletes_Map!A:B, 2, FALSE)</f>
        <v>336</v>
      </c>
      <c r="F354" t="str">
        <f>VLOOKUP(A354, Athletes_Map!A:C, 3, FALSE)</f>
        <v>Player 336</v>
      </c>
      <c r="G354">
        <v>93</v>
      </c>
      <c r="H354">
        <f t="shared" si="23"/>
        <v>2</v>
      </c>
      <c r="I354" t="str">
        <f t="shared" si="20"/>
        <v>Normal</v>
      </c>
      <c r="J354" t="str">
        <f t="shared" si="21"/>
        <v>Normal</v>
      </c>
      <c r="K354" t="str">
        <f t="shared" si="22"/>
        <v/>
      </c>
    </row>
    <row r="355" spans="1:11" x14ac:dyDescent="0.25">
      <c r="A355">
        <v>4394</v>
      </c>
      <c r="B355">
        <v>149.18007515177001</v>
      </c>
      <c r="C355">
        <v>33.922607611162597</v>
      </c>
      <c r="D355">
        <v>353</v>
      </c>
      <c r="E355">
        <f>VLOOKUP(A355, Athletes_Map!A:B, 2, FALSE)</f>
        <v>337</v>
      </c>
      <c r="F355" t="str">
        <f>VLOOKUP(A355, Athletes_Map!A:C, 3, FALSE)</f>
        <v>Player 337</v>
      </c>
      <c r="G355">
        <v>91</v>
      </c>
      <c r="H355">
        <f t="shared" si="23"/>
        <v>3</v>
      </c>
      <c r="I355" t="str">
        <f t="shared" si="20"/>
        <v>Alert</v>
      </c>
      <c r="J355" t="str">
        <f t="shared" si="21"/>
        <v>Oxygen</v>
      </c>
      <c r="K355">
        <f t="shared" si="22"/>
        <v>91</v>
      </c>
    </row>
    <row r="356" spans="1:11" x14ac:dyDescent="0.25">
      <c r="A356">
        <v>4417</v>
      </c>
      <c r="B356">
        <v>125.345129556359</v>
      </c>
      <c r="C356">
        <v>31.689430087885501</v>
      </c>
      <c r="D356">
        <v>354</v>
      </c>
      <c r="E356">
        <f>VLOOKUP(A356, Athletes_Map!A:B, 2, FALSE)</f>
        <v>338</v>
      </c>
      <c r="F356" t="str">
        <f>VLOOKUP(A356, Athletes_Map!A:C, 3, FALSE)</f>
        <v>Player 338</v>
      </c>
      <c r="G356">
        <v>94</v>
      </c>
      <c r="H356">
        <f t="shared" si="23"/>
        <v>2</v>
      </c>
      <c r="I356" t="str">
        <f t="shared" si="20"/>
        <v>Normal</v>
      </c>
      <c r="J356" t="str">
        <f t="shared" si="21"/>
        <v>Normal</v>
      </c>
      <c r="K356" t="str">
        <f t="shared" si="22"/>
        <v/>
      </c>
    </row>
    <row r="357" spans="1:11" x14ac:dyDescent="0.25">
      <c r="A357">
        <v>4419</v>
      </c>
      <c r="B357">
        <v>156.71791131663099</v>
      </c>
      <c r="C357">
        <v>32.763693830403703</v>
      </c>
      <c r="D357">
        <v>355</v>
      </c>
      <c r="E357">
        <f>VLOOKUP(A357, Athletes_Map!A:B, 2, FALSE)</f>
        <v>339</v>
      </c>
      <c r="F357" t="str">
        <f>VLOOKUP(A357, Athletes_Map!A:C, 3, FALSE)</f>
        <v>Player 339</v>
      </c>
      <c r="G357">
        <v>92</v>
      </c>
      <c r="H357">
        <f t="shared" si="23"/>
        <v>3</v>
      </c>
      <c r="I357" t="str">
        <f t="shared" si="20"/>
        <v>Alert</v>
      </c>
      <c r="J357" t="str">
        <f t="shared" si="21"/>
        <v>Heart Rate</v>
      </c>
      <c r="K357">
        <f t="shared" si="22"/>
        <v>156.71791131663099</v>
      </c>
    </row>
    <row r="358" spans="1:11" x14ac:dyDescent="0.25">
      <c r="A358">
        <v>4420</v>
      </c>
      <c r="B358">
        <v>142.04110793028499</v>
      </c>
      <c r="C358">
        <v>31.9988618279584</v>
      </c>
      <c r="D358">
        <v>356</v>
      </c>
      <c r="E358">
        <f>VLOOKUP(A358, Athletes_Map!A:B, 2, FALSE)</f>
        <v>340</v>
      </c>
      <c r="F358" t="str">
        <f>VLOOKUP(A358, Athletes_Map!A:C, 3, FALSE)</f>
        <v>Player 340</v>
      </c>
      <c r="G358">
        <v>90</v>
      </c>
      <c r="H358">
        <f t="shared" si="23"/>
        <v>3</v>
      </c>
      <c r="I358" t="str">
        <f t="shared" si="20"/>
        <v>Alert</v>
      </c>
      <c r="J358" t="str">
        <f t="shared" si="21"/>
        <v>Oxygen</v>
      </c>
      <c r="K358">
        <f t="shared" si="22"/>
        <v>90</v>
      </c>
    </row>
    <row r="359" spans="1:11" x14ac:dyDescent="0.25">
      <c r="A359">
        <v>4432</v>
      </c>
      <c r="B359">
        <v>143.56614194415201</v>
      </c>
      <c r="C359">
        <v>34.939560051266298</v>
      </c>
      <c r="D359">
        <v>357</v>
      </c>
      <c r="E359">
        <f>VLOOKUP(A359, Athletes_Map!A:B, 2, FALSE)</f>
        <v>341</v>
      </c>
      <c r="F359" t="str">
        <f>VLOOKUP(A359, Athletes_Map!A:C, 3, FALSE)</f>
        <v>Player 341</v>
      </c>
      <c r="G359">
        <v>91</v>
      </c>
      <c r="H359">
        <f t="shared" si="23"/>
        <v>3</v>
      </c>
      <c r="I359" t="str">
        <f t="shared" si="20"/>
        <v>Alert</v>
      </c>
      <c r="J359" t="str">
        <f t="shared" si="21"/>
        <v>Oxygen</v>
      </c>
      <c r="K359">
        <f t="shared" si="22"/>
        <v>91</v>
      </c>
    </row>
    <row r="360" spans="1:11" x14ac:dyDescent="0.25">
      <c r="A360">
        <v>4436</v>
      </c>
      <c r="B360">
        <v>106.03972199167499</v>
      </c>
      <c r="C360">
        <v>34.065004760896798</v>
      </c>
      <c r="D360">
        <v>358</v>
      </c>
      <c r="E360">
        <f>VLOOKUP(A360, Athletes_Map!A:B, 2, FALSE)</f>
        <v>342</v>
      </c>
      <c r="F360" t="str">
        <f>VLOOKUP(A360, Athletes_Map!A:C, 3, FALSE)</f>
        <v>Player 342</v>
      </c>
      <c r="G360">
        <v>99</v>
      </c>
      <c r="H360">
        <f t="shared" si="23"/>
        <v>1</v>
      </c>
      <c r="I360" t="str">
        <f t="shared" si="20"/>
        <v>Normal</v>
      </c>
      <c r="J360" t="str">
        <f t="shared" si="21"/>
        <v>Normal</v>
      </c>
      <c r="K360" t="str">
        <f t="shared" si="22"/>
        <v/>
      </c>
    </row>
    <row r="361" spans="1:11" x14ac:dyDescent="0.25">
      <c r="A361">
        <v>4440</v>
      </c>
      <c r="B361">
        <v>133.71723306813999</v>
      </c>
      <c r="C361">
        <v>32.117758758284097</v>
      </c>
      <c r="D361">
        <v>359</v>
      </c>
      <c r="E361">
        <f>VLOOKUP(A361, Athletes_Map!A:B, 2, FALSE)</f>
        <v>343</v>
      </c>
      <c r="F361" t="str">
        <f>VLOOKUP(A361, Athletes_Map!A:C, 3, FALSE)</f>
        <v>Player 343</v>
      </c>
      <c r="G361">
        <v>94</v>
      </c>
      <c r="H361">
        <f t="shared" si="23"/>
        <v>2</v>
      </c>
      <c r="I361" t="str">
        <f t="shared" si="20"/>
        <v>Normal</v>
      </c>
      <c r="J361" t="str">
        <f t="shared" si="21"/>
        <v>Normal</v>
      </c>
      <c r="K361" t="str">
        <f t="shared" si="22"/>
        <v/>
      </c>
    </row>
    <row r="362" spans="1:11" x14ac:dyDescent="0.25">
      <c r="A362">
        <v>4444</v>
      </c>
      <c r="B362">
        <v>134.08827967289</v>
      </c>
      <c r="C362">
        <v>32.664008037750598</v>
      </c>
      <c r="D362">
        <v>360</v>
      </c>
      <c r="E362">
        <f>VLOOKUP(A362, Athletes_Map!A:B, 2, FALSE)</f>
        <v>344</v>
      </c>
      <c r="F362" t="str">
        <f>VLOOKUP(A362, Athletes_Map!A:C, 3, FALSE)</f>
        <v>Player 344</v>
      </c>
      <c r="G362">
        <v>93</v>
      </c>
      <c r="H362">
        <f t="shared" si="23"/>
        <v>2</v>
      </c>
      <c r="I362" t="str">
        <f t="shared" si="20"/>
        <v>Normal</v>
      </c>
      <c r="J362" t="str">
        <f t="shared" si="21"/>
        <v>Normal</v>
      </c>
      <c r="K362" t="str">
        <f t="shared" si="22"/>
        <v/>
      </c>
    </row>
    <row r="363" spans="1:11" x14ac:dyDescent="0.25">
      <c r="A363">
        <v>4446</v>
      </c>
      <c r="B363">
        <v>166.31048058468599</v>
      </c>
      <c r="C363">
        <v>31.5847570540408</v>
      </c>
      <c r="D363">
        <v>361</v>
      </c>
      <c r="E363">
        <f>VLOOKUP(A363, Athletes_Map!A:B, 2, FALSE)</f>
        <v>345</v>
      </c>
      <c r="F363" t="str">
        <f>VLOOKUP(A363, Athletes_Map!A:C, 3, FALSE)</f>
        <v>Player 345</v>
      </c>
      <c r="G363">
        <v>90</v>
      </c>
      <c r="H363">
        <f t="shared" si="23"/>
        <v>3</v>
      </c>
      <c r="I363" t="str">
        <f t="shared" si="20"/>
        <v>Alert</v>
      </c>
      <c r="J363" t="str">
        <f t="shared" si="21"/>
        <v>Heart Rate</v>
      </c>
      <c r="K363">
        <f t="shared" si="22"/>
        <v>166.31048058468599</v>
      </c>
    </row>
    <row r="364" spans="1:11" x14ac:dyDescent="0.25">
      <c r="A364">
        <v>4472</v>
      </c>
      <c r="B364">
        <v>83.921577301960895</v>
      </c>
      <c r="C364">
        <v>32.943155156946602</v>
      </c>
      <c r="D364">
        <v>362</v>
      </c>
      <c r="E364">
        <f>VLOOKUP(A364, Athletes_Map!A:B, 2, FALSE)</f>
        <v>346</v>
      </c>
      <c r="F364" t="str">
        <f>VLOOKUP(A364, Athletes_Map!A:C, 3, FALSE)</f>
        <v>Player 346</v>
      </c>
      <c r="G364">
        <v>100</v>
      </c>
      <c r="H364">
        <f t="shared" si="23"/>
        <v>1</v>
      </c>
      <c r="I364" t="str">
        <f t="shared" si="20"/>
        <v>Normal</v>
      </c>
      <c r="J364" t="str">
        <f t="shared" si="21"/>
        <v>Normal</v>
      </c>
      <c r="K364" t="str">
        <f t="shared" si="22"/>
        <v/>
      </c>
    </row>
    <row r="365" spans="1:11" x14ac:dyDescent="0.25">
      <c r="A365">
        <v>4476</v>
      </c>
      <c r="B365">
        <v>119.016159866994</v>
      </c>
      <c r="C365">
        <v>34.574032139127098</v>
      </c>
      <c r="D365">
        <v>363</v>
      </c>
      <c r="E365">
        <f>VLOOKUP(A365, Athletes_Map!A:B, 2, FALSE)</f>
        <v>347</v>
      </c>
      <c r="F365" t="str">
        <f>VLOOKUP(A365, Athletes_Map!A:C, 3, FALSE)</f>
        <v>Player 347</v>
      </c>
      <c r="G365">
        <v>96</v>
      </c>
      <c r="H365">
        <f t="shared" si="23"/>
        <v>1</v>
      </c>
      <c r="I365" t="str">
        <f t="shared" si="20"/>
        <v>Normal</v>
      </c>
      <c r="J365" t="str">
        <f t="shared" si="21"/>
        <v>Normal</v>
      </c>
      <c r="K365" t="str">
        <f t="shared" si="22"/>
        <v/>
      </c>
    </row>
    <row r="366" spans="1:11" x14ac:dyDescent="0.25">
      <c r="A366">
        <v>4486</v>
      </c>
      <c r="B366">
        <v>143.80949475920701</v>
      </c>
      <c r="C366">
        <v>32.404946193587797</v>
      </c>
      <c r="D366">
        <v>364</v>
      </c>
      <c r="E366">
        <f>VLOOKUP(A366, Athletes_Map!A:B, 2, FALSE)</f>
        <v>348</v>
      </c>
      <c r="F366" t="str">
        <f>VLOOKUP(A366, Athletes_Map!A:C, 3, FALSE)</f>
        <v>Player 348</v>
      </c>
      <c r="G366">
        <v>93</v>
      </c>
      <c r="H366">
        <f t="shared" si="23"/>
        <v>2</v>
      </c>
      <c r="I366" t="str">
        <f t="shared" si="20"/>
        <v>Normal</v>
      </c>
      <c r="J366" t="str">
        <f t="shared" si="21"/>
        <v>Normal</v>
      </c>
      <c r="K366" t="str">
        <f t="shared" si="22"/>
        <v/>
      </c>
    </row>
    <row r="367" spans="1:11" x14ac:dyDescent="0.25">
      <c r="A367">
        <v>4486</v>
      </c>
      <c r="B367">
        <v>123.850164299843</v>
      </c>
      <c r="C367">
        <v>31.114942251448898</v>
      </c>
      <c r="D367">
        <v>365</v>
      </c>
      <c r="E367">
        <f>VLOOKUP(A367, Athletes_Map!A:B, 2, FALSE)</f>
        <v>348</v>
      </c>
      <c r="F367" t="str">
        <f>VLOOKUP(A367, Athletes_Map!A:C, 3, FALSE)</f>
        <v>Player 348</v>
      </c>
      <c r="G367">
        <v>93</v>
      </c>
      <c r="H367">
        <f t="shared" si="23"/>
        <v>2</v>
      </c>
      <c r="I367" t="str">
        <f t="shared" si="20"/>
        <v>Normal</v>
      </c>
      <c r="J367" t="str">
        <f t="shared" si="21"/>
        <v>Normal</v>
      </c>
      <c r="K367" t="str">
        <f t="shared" si="22"/>
        <v/>
      </c>
    </row>
    <row r="368" spans="1:11" x14ac:dyDescent="0.25">
      <c r="A368">
        <v>4490</v>
      </c>
      <c r="B368">
        <v>155.48125051622901</v>
      </c>
      <c r="C368">
        <v>30.3963870987291</v>
      </c>
      <c r="D368">
        <v>366</v>
      </c>
      <c r="E368">
        <f>VLOOKUP(A368, Athletes_Map!A:B, 2, FALSE)</f>
        <v>349</v>
      </c>
      <c r="F368" t="str">
        <f>VLOOKUP(A368, Athletes_Map!A:C, 3, FALSE)</f>
        <v>Player 349</v>
      </c>
      <c r="G368">
        <v>94</v>
      </c>
      <c r="H368">
        <f t="shared" si="23"/>
        <v>3</v>
      </c>
      <c r="I368" t="str">
        <f t="shared" si="20"/>
        <v>Alert</v>
      </c>
      <c r="J368" t="str">
        <f t="shared" si="21"/>
        <v>Heart Rate</v>
      </c>
      <c r="K368">
        <f t="shared" si="22"/>
        <v>155.48125051622901</v>
      </c>
    </row>
    <row r="369" spans="1:11" x14ac:dyDescent="0.25">
      <c r="A369">
        <v>4506</v>
      </c>
      <c r="B369">
        <v>127.587713358277</v>
      </c>
      <c r="C369">
        <v>32.715585635984802</v>
      </c>
      <c r="D369">
        <v>367</v>
      </c>
      <c r="E369">
        <f>VLOOKUP(A369, Athletes_Map!A:B, 2, FALSE)</f>
        <v>350</v>
      </c>
      <c r="F369" t="str">
        <f>VLOOKUP(A369, Athletes_Map!A:C, 3, FALSE)</f>
        <v>Player 350</v>
      </c>
      <c r="G369">
        <v>95</v>
      </c>
      <c r="H369">
        <f t="shared" si="23"/>
        <v>2</v>
      </c>
      <c r="I369" t="str">
        <f t="shared" si="20"/>
        <v>Normal</v>
      </c>
      <c r="J369" t="str">
        <f t="shared" si="21"/>
        <v>Normal</v>
      </c>
      <c r="K369" t="str">
        <f t="shared" si="22"/>
        <v/>
      </c>
    </row>
    <row r="370" spans="1:11" x14ac:dyDescent="0.25">
      <c r="A370">
        <v>4507</v>
      </c>
      <c r="B370">
        <v>119.964178998096</v>
      </c>
      <c r="C370">
        <v>30</v>
      </c>
      <c r="D370">
        <v>368</v>
      </c>
      <c r="E370">
        <f>VLOOKUP(A370, Athletes_Map!A:B, 2, FALSE)</f>
        <v>351</v>
      </c>
      <c r="F370" t="str">
        <f>VLOOKUP(A370, Athletes_Map!A:C, 3, FALSE)</f>
        <v>Player 351</v>
      </c>
      <c r="G370">
        <v>95</v>
      </c>
      <c r="H370">
        <f t="shared" si="23"/>
        <v>1</v>
      </c>
      <c r="I370" t="str">
        <f t="shared" si="20"/>
        <v>Normal</v>
      </c>
      <c r="J370" t="str">
        <f t="shared" si="21"/>
        <v>Normal</v>
      </c>
      <c r="K370" t="str">
        <f t="shared" si="22"/>
        <v/>
      </c>
    </row>
    <row r="371" spans="1:11" x14ac:dyDescent="0.25">
      <c r="A371">
        <v>4510</v>
      </c>
      <c r="B371">
        <v>122.53718947150401</v>
      </c>
      <c r="C371">
        <v>32.370405111519801</v>
      </c>
      <c r="D371">
        <v>369</v>
      </c>
      <c r="E371">
        <f>VLOOKUP(A371, Athletes_Map!A:B, 2, FALSE)</f>
        <v>352</v>
      </c>
      <c r="F371" t="str">
        <f>VLOOKUP(A371, Athletes_Map!A:C, 3, FALSE)</f>
        <v>Player 352</v>
      </c>
      <c r="G371">
        <v>93</v>
      </c>
      <c r="H371">
        <f t="shared" si="23"/>
        <v>2</v>
      </c>
      <c r="I371" t="str">
        <f t="shared" si="20"/>
        <v>Normal</v>
      </c>
      <c r="J371" t="str">
        <f t="shared" si="21"/>
        <v>Normal</v>
      </c>
      <c r="K371" t="str">
        <f t="shared" si="22"/>
        <v/>
      </c>
    </row>
    <row r="372" spans="1:11" x14ac:dyDescent="0.25">
      <c r="A372">
        <v>4517</v>
      </c>
      <c r="B372">
        <v>187.03366228360699</v>
      </c>
      <c r="C372">
        <v>33.355892326236301</v>
      </c>
      <c r="D372">
        <v>370</v>
      </c>
      <c r="E372">
        <f>VLOOKUP(A372, Athletes_Map!A:B, 2, FALSE)</f>
        <v>353</v>
      </c>
      <c r="F372" t="str">
        <f>VLOOKUP(A372, Athletes_Map!A:C, 3, FALSE)</f>
        <v>Player 353</v>
      </c>
      <c r="G372">
        <v>94</v>
      </c>
      <c r="H372">
        <f t="shared" si="23"/>
        <v>3</v>
      </c>
      <c r="I372" t="str">
        <f t="shared" si="20"/>
        <v>Alert</v>
      </c>
      <c r="J372" t="str">
        <f t="shared" si="21"/>
        <v>Heart Rate</v>
      </c>
      <c r="K372">
        <f t="shared" si="22"/>
        <v>187.03366228360699</v>
      </c>
    </row>
    <row r="373" spans="1:11" x14ac:dyDescent="0.25">
      <c r="A373">
        <v>4530</v>
      </c>
      <c r="B373">
        <v>131.59630754950101</v>
      </c>
      <c r="C373">
        <v>32.743118762726503</v>
      </c>
      <c r="D373">
        <v>371</v>
      </c>
      <c r="E373">
        <f>VLOOKUP(A373, Athletes_Map!A:B, 2, FALSE)</f>
        <v>354</v>
      </c>
      <c r="F373" t="str">
        <f>VLOOKUP(A373, Athletes_Map!A:C, 3, FALSE)</f>
        <v>Player 354</v>
      </c>
      <c r="G373">
        <v>93</v>
      </c>
      <c r="H373">
        <f t="shared" si="23"/>
        <v>2</v>
      </c>
      <c r="I373" t="str">
        <f t="shared" si="20"/>
        <v>Normal</v>
      </c>
      <c r="J373" t="str">
        <f t="shared" si="21"/>
        <v>Normal</v>
      </c>
      <c r="K373" t="str">
        <f t="shared" si="22"/>
        <v/>
      </c>
    </row>
    <row r="374" spans="1:11" x14ac:dyDescent="0.25">
      <c r="A374">
        <v>4531</v>
      </c>
      <c r="B374">
        <v>127.659443218333</v>
      </c>
      <c r="C374">
        <v>34.1026978255899</v>
      </c>
      <c r="D374">
        <v>372</v>
      </c>
      <c r="E374">
        <f>VLOOKUP(A374, Athletes_Map!A:B, 2, FALSE)</f>
        <v>355</v>
      </c>
      <c r="F374" t="str">
        <f>VLOOKUP(A374, Athletes_Map!A:C, 3, FALSE)</f>
        <v>Player 355</v>
      </c>
      <c r="G374">
        <v>95</v>
      </c>
      <c r="H374">
        <f t="shared" si="23"/>
        <v>2</v>
      </c>
      <c r="I374" t="str">
        <f t="shared" si="20"/>
        <v>Normal</v>
      </c>
      <c r="J374" t="str">
        <f t="shared" si="21"/>
        <v>Normal</v>
      </c>
      <c r="K374" t="str">
        <f t="shared" si="22"/>
        <v/>
      </c>
    </row>
    <row r="375" spans="1:11" x14ac:dyDescent="0.25">
      <c r="A375">
        <v>4556</v>
      </c>
      <c r="B375">
        <v>93.361411842325495</v>
      </c>
      <c r="C375">
        <v>33.508880233822097</v>
      </c>
      <c r="D375">
        <v>373</v>
      </c>
      <c r="E375">
        <f>VLOOKUP(A375, Athletes_Map!A:B, 2, FALSE)</f>
        <v>356</v>
      </c>
      <c r="F375" t="str">
        <f>VLOOKUP(A375, Athletes_Map!A:C, 3, FALSE)</f>
        <v>Player 356</v>
      </c>
      <c r="G375">
        <v>96</v>
      </c>
      <c r="H375">
        <f t="shared" si="23"/>
        <v>1</v>
      </c>
      <c r="I375" t="str">
        <f t="shared" si="20"/>
        <v>Normal</v>
      </c>
      <c r="J375" t="str">
        <f t="shared" si="21"/>
        <v>Normal</v>
      </c>
      <c r="K375" t="str">
        <f t="shared" si="22"/>
        <v/>
      </c>
    </row>
    <row r="376" spans="1:11" x14ac:dyDescent="0.25">
      <c r="A376">
        <v>4561</v>
      </c>
      <c r="B376">
        <v>133.07880200550699</v>
      </c>
      <c r="C376">
        <v>33.987935898813198</v>
      </c>
      <c r="D376">
        <v>374</v>
      </c>
      <c r="E376">
        <f>VLOOKUP(A376, Athletes_Map!A:B, 2, FALSE)</f>
        <v>357</v>
      </c>
      <c r="F376" t="str">
        <f>VLOOKUP(A376, Athletes_Map!A:C, 3, FALSE)</f>
        <v>Player 357</v>
      </c>
      <c r="G376">
        <v>94</v>
      </c>
      <c r="H376">
        <f t="shared" si="23"/>
        <v>2</v>
      </c>
      <c r="I376" t="str">
        <f t="shared" si="20"/>
        <v>Normal</v>
      </c>
      <c r="J376" t="str">
        <f t="shared" si="21"/>
        <v>Normal</v>
      </c>
      <c r="K376" t="str">
        <f t="shared" si="22"/>
        <v/>
      </c>
    </row>
    <row r="377" spans="1:11" x14ac:dyDescent="0.25">
      <c r="A377">
        <v>4572</v>
      </c>
      <c r="B377">
        <v>115.897548413012</v>
      </c>
      <c r="C377">
        <v>33.627867822884397</v>
      </c>
      <c r="D377">
        <v>375</v>
      </c>
      <c r="E377">
        <f>VLOOKUP(A377, Athletes_Map!A:B, 2, FALSE)</f>
        <v>358</v>
      </c>
      <c r="F377" t="str">
        <f>VLOOKUP(A377, Athletes_Map!A:C, 3, FALSE)</f>
        <v>Player 358</v>
      </c>
      <c r="G377">
        <v>94</v>
      </c>
      <c r="H377">
        <f t="shared" si="23"/>
        <v>1</v>
      </c>
      <c r="I377" t="str">
        <f t="shared" si="20"/>
        <v>Normal</v>
      </c>
      <c r="J377" t="str">
        <f t="shared" si="21"/>
        <v>Normal</v>
      </c>
      <c r="K377" t="str">
        <f t="shared" si="22"/>
        <v/>
      </c>
    </row>
    <row r="378" spans="1:11" x14ac:dyDescent="0.25">
      <c r="A378">
        <v>4579</v>
      </c>
      <c r="B378">
        <v>130.50469196214601</v>
      </c>
      <c r="C378">
        <v>32.3270869116241</v>
      </c>
      <c r="D378">
        <v>376</v>
      </c>
      <c r="E378">
        <f>VLOOKUP(A378, Athletes_Map!A:B, 2, FALSE)</f>
        <v>359</v>
      </c>
      <c r="F378" t="str">
        <f>VLOOKUP(A378, Athletes_Map!A:C, 3, FALSE)</f>
        <v>Player 359</v>
      </c>
      <c r="G378">
        <v>95</v>
      </c>
      <c r="H378">
        <f t="shared" si="23"/>
        <v>2</v>
      </c>
      <c r="I378" t="str">
        <f t="shared" si="20"/>
        <v>Normal</v>
      </c>
      <c r="J378" t="str">
        <f t="shared" si="21"/>
        <v>Normal</v>
      </c>
      <c r="K378" t="str">
        <f t="shared" si="22"/>
        <v/>
      </c>
    </row>
    <row r="379" spans="1:11" x14ac:dyDescent="0.25">
      <c r="A379">
        <v>4581</v>
      </c>
      <c r="B379">
        <v>114.917184664958</v>
      </c>
      <c r="C379">
        <v>34.243305181255501</v>
      </c>
      <c r="D379">
        <v>377</v>
      </c>
      <c r="E379">
        <f>VLOOKUP(A379, Athletes_Map!A:B, 2, FALSE)</f>
        <v>360</v>
      </c>
      <c r="F379" t="str">
        <f>VLOOKUP(A379, Athletes_Map!A:C, 3, FALSE)</f>
        <v>Player 360</v>
      </c>
      <c r="G379">
        <v>94</v>
      </c>
      <c r="H379">
        <f t="shared" si="23"/>
        <v>1</v>
      </c>
      <c r="I379" t="str">
        <f t="shared" si="20"/>
        <v>Normal</v>
      </c>
      <c r="J379" t="str">
        <f t="shared" si="21"/>
        <v>Normal</v>
      </c>
      <c r="K379" t="str">
        <f t="shared" si="22"/>
        <v/>
      </c>
    </row>
    <row r="380" spans="1:11" x14ac:dyDescent="0.25">
      <c r="A380">
        <v>4584</v>
      </c>
      <c r="B380">
        <v>107.603940408418</v>
      </c>
      <c r="C380">
        <v>34.6266875228524</v>
      </c>
      <c r="D380">
        <v>378</v>
      </c>
      <c r="E380">
        <f>VLOOKUP(A380, Athletes_Map!A:B, 2, FALSE)</f>
        <v>361</v>
      </c>
      <c r="F380" t="str">
        <f>VLOOKUP(A380, Athletes_Map!A:C, 3, FALSE)</f>
        <v>Player 361</v>
      </c>
      <c r="G380">
        <v>99</v>
      </c>
      <c r="H380">
        <f t="shared" si="23"/>
        <v>1</v>
      </c>
      <c r="I380" t="str">
        <f t="shared" si="20"/>
        <v>Normal</v>
      </c>
      <c r="J380" t="str">
        <f t="shared" si="21"/>
        <v>Normal</v>
      </c>
      <c r="K380" t="str">
        <f t="shared" si="22"/>
        <v/>
      </c>
    </row>
    <row r="381" spans="1:11" x14ac:dyDescent="0.25">
      <c r="A381">
        <v>4596</v>
      </c>
      <c r="B381">
        <v>151.314744250785</v>
      </c>
      <c r="C381">
        <v>30.3234383770506</v>
      </c>
      <c r="D381">
        <v>379</v>
      </c>
      <c r="E381">
        <f>VLOOKUP(A381, Athletes_Map!A:B, 2, FALSE)</f>
        <v>362</v>
      </c>
      <c r="F381" t="str">
        <f>VLOOKUP(A381, Athletes_Map!A:C, 3, FALSE)</f>
        <v>Player 362</v>
      </c>
      <c r="G381">
        <v>91</v>
      </c>
      <c r="H381">
        <f t="shared" si="23"/>
        <v>3</v>
      </c>
      <c r="I381" t="str">
        <f t="shared" si="20"/>
        <v>Alert</v>
      </c>
      <c r="J381" t="str">
        <f t="shared" si="21"/>
        <v>Heart Rate</v>
      </c>
      <c r="K381">
        <f t="shared" si="22"/>
        <v>151.314744250785</v>
      </c>
    </row>
    <row r="382" spans="1:11" x14ac:dyDescent="0.25">
      <c r="A382">
        <v>4600</v>
      </c>
      <c r="B382">
        <v>144.694656345889</v>
      </c>
      <c r="C382">
        <v>31.146075183987801</v>
      </c>
      <c r="D382">
        <v>380</v>
      </c>
      <c r="E382">
        <f>VLOOKUP(A382, Athletes_Map!A:B, 2, FALSE)</f>
        <v>363</v>
      </c>
      <c r="F382" t="str">
        <f>VLOOKUP(A382, Athletes_Map!A:C, 3, FALSE)</f>
        <v>Player 363</v>
      </c>
      <c r="G382">
        <v>93</v>
      </c>
      <c r="H382">
        <f t="shared" si="23"/>
        <v>2</v>
      </c>
      <c r="I382" t="str">
        <f t="shared" si="20"/>
        <v>Normal</v>
      </c>
      <c r="J382" t="str">
        <f t="shared" si="21"/>
        <v>Normal</v>
      </c>
      <c r="K382" t="str">
        <f t="shared" si="22"/>
        <v/>
      </c>
    </row>
    <row r="383" spans="1:11" x14ac:dyDescent="0.25">
      <c r="A383">
        <v>4627</v>
      </c>
      <c r="B383">
        <v>160.11512251146999</v>
      </c>
      <c r="C383">
        <v>33.785970701065999</v>
      </c>
      <c r="D383">
        <v>381</v>
      </c>
      <c r="E383">
        <f>VLOOKUP(A383, Athletes_Map!A:B, 2, FALSE)</f>
        <v>364</v>
      </c>
      <c r="F383" t="str">
        <f>VLOOKUP(A383, Athletes_Map!A:C, 3, FALSE)</f>
        <v>Player 364</v>
      </c>
      <c r="G383">
        <v>91</v>
      </c>
      <c r="H383">
        <f t="shared" si="23"/>
        <v>3</v>
      </c>
      <c r="I383" t="str">
        <f t="shared" si="20"/>
        <v>Alert</v>
      </c>
      <c r="J383" t="str">
        <f t="shared" si="21"/>
        <v>Heart Rate</v>
      </c>
      <c r="K383">
        <f t="shared" si="22"/>
        <v>160.11512251146999</v>
      </c>
    </row>
    <row r="384" spans="1:11" x14ac:dyDescent="0.25">
      <c r="A384">
        <v>4627</v>
      </c>
      <c r="B384">
        <v>111.24803161940901</v>
      </c>
      <c r="C384">
        <v>30.1296525548243</v>
      </c>
      <c r="D384">
        <v>382</v>
      </c>
      <c r="E384">
        <f>VLOOKUP(A384, Athletes_Map!A:B, 2, FALSE)</f>
        <v>364</v>
      </c>
      <c r="F384" t="str">
        <f>VLOOKUP(A384, Athletes_Map!A:C, 3, FALSE)</f>
        <v>Player 364</v>
      </c>
      <c r="G384">
        <v>95</v>
      </c>
      <c r="H384">
        <f t="shared" si="23"/>
        <v>1</v>
      </c>
      <c r="I384" t="str">
        <f t="shared" si="20"/>
        <v>Normal</v>
      </c>
      <c r="J384" t="str">
        <f t="shared" si="21"/>
        <v>Normal</v>
      </c>
      <c r="K384" t="str">
        <f t="shared" si="22"/>
        <v/>
      </c>
    </row>
    <row r="385" spans="1:11" x14ac:dyDescent="0.25">
      <c r="A385">
        <v>4636</v>
      </c>
      <c r="B385">
        <v>180.04871610688599</v>
      </c>
      <c r="C385">
        <v>32.427107152568603</v>
      </c>
      <c r="D385">
        <v>383</v>
      </c>
      <c r="E385">
        <f>VLOOKUP(A385, Athletes_Map!A:B, 2, FALSE)</f>
        <v>365</v>
      </c>
      <c r="F385" t="str">
        <f>VLOOKUP(A385, Athletes_Map!A:C, 3, FALSE)</f>
        <v>Player 365</v>
      </c>
      <c r="G385">
        <v>90</v>
      </c>
      <c r="H385">
        <f t="shared" si="23"/>
        <v>3</v>
      </c>
      <c r="I385" t="str">
        <f t="shared" si="20"/>
        <v>Alert</v>
      </c>
      <c r="J385" t="str">
        <f t="shared" si="21"/>
        <v>Heart Rate</v>
      </c>
      <c r="K385">
        <f t="shared" si="22"/>
        <v>180.04871610688599</v>
      </c>
    </row>
    <row r="386" spans="1:11" x14ac:dyDescent="0.25">
      <c r="A386">
        <v>4636</v>
      </c>
      <c r="B386">
        <v>133.02220693617701</v>
      </c>
      <c r="C386">
        <v>31.167398572092399</v>
      </c>
      <c r="D386">
        <v>384</v>
      </c>
      <c r="E386">
        <f>VLOOKUP(A386, Athletes_Map!A:B, 2, FALSE)</f>
        <v>365</v>
      </c>
      <c r="F386" t="str">
        <f>VLOOKUP(A386, Athletes_Map!A:C, 3, FALSE)</f>
        <v>Player 365</v>
      </c>
      <c r="G386">
        <v>94</v>
      </c>
      <c r="H386">
        <f t="shared" si="23"/>
        <v>2</v>
      </c>
      <c r="I386" t="str">
        <f t="shared" ref="I386:I449" si="24">IF(H386=3, "Alert", "Normal")</f>
        <v>Normal</v>
      </c>
      <c r="J386" t="str">
        <f t="shared" ref="J386:J449" si="25">IF(B386&gt;150,"Heart Rate",
IF(C386&gt;37.5,"Temperature",
IF(G386&lt;92,"Oxygen","Normal")))</f>
        <v>Normal</v>
      </c>
      <c r="K386" t="str">
        <f t="shared" ref="K386:K449" si="26">IF(J386="Heart Rate",B386,IF(J386="Temperature",C386,IF(J386="Oxygen",G386,"")))</f>
        <v/>
      </c>
    </row>
    <row r="387" spans="1:11" x14ac:dyDescent="0.25">
      <c r="A387">
        <v>4644</v>
      </c>
      <c r="B387">
        <v>175.26774495053201</v>
      </c>
      <c r="C387">
        <v>33.389208252017802</v>
      </c>
      <c r="D387">
        <v>385</v>
      </c>
      <c r="E387">
        <f>VLOOKUP(A387, Athletes_Map!A:B, 2, FALSE)</f>
        <v>366</v>
      </c>
      <c r="F387" t="str">
        <f>VLOOKUP(A387, Athletes_Map!A:C, 3, FALSE)</f>
        <v>Player 366</v>
      </c>
      <c r="G387">
        <v>93</v>
      </c>
      <c r="H387">
        <f t="shared" ref="H387:H450" si="27">IF(OR(B387&gt;150, C387&gt;37.5, G387&lt;92), 3,
IF(OR(B387&gt;120, C387&gt;37, G387&lt;94), 2,
1))</f>
        <v>3</v>
      </c>
      <c r="I387" t="str">
        <f t="shared" si="24"/>
        <v>Alert</v>
      </c>
      <c r="J387" t="str">
        <f t="shared" si="25"/>
        <v>Heart Rate</v>
      </c>
      <c r="K387">
        <f t="shared" si="26"/>
        <v>175.26774495053201</v>
      </c>
    </row>
    <row r="388" spans="1:11" x14ac:dyDescent="0.25">
      <c r="A388">
        <v>4672</v>
      </c>
      <c r="B388">
        <v>162.601827082949</v>
      </c>
      <c r="C388">
        <v>33.471968460006302</v>
      </c>
      <c r="D388">
        <v>386</v>
      </c>
      <c r="E388">
        <f>VLOOKUP(A388, Athletes_Map!A:B, 2, FALSE)</f>
        <v>367</v>
      </c>
      <c r="F388" t="str">
        <f>VLOOKUP(A388, Athletes_Map!A:C, 3, FALSE)</f>
        <v>Player 367</v>
      </c>
      <c r="G388">
        <v>93</v>
      </c>
      <c r="H388">
        <f t="shared" si="27"/>
        <v>3</v>
      </c>
      <c r="I388" t="str">
        <f t="shared" si="24"/>
        <v>Alert</v>
      </c>
      <c r="J388" t="str">
        <f t="shared" si="25"/>
        <v>Heart Rate</v>
      </c>
      <c r="K388">
        <f t="shared" si="26"/>
        <v>162.601827082949</v>
      </c>
    </row>
    <row r="389" spans="1:11" x14ac:dyDescent="0.25">
      <c r="A389">
        <v>4687</v>
      </c>
      <c r="B389">
        <v>124.34598320676101</v>
      </c>
      <c r="C389">
        <v>32.635979919027399</v>
      </c>
      <c r="D389">
        <v>387</v>
      </c>
      <c r="E389">
        <f>VLOOKUP(A389, Athletes_Map!A:B, 2, FALSE)</f>
        <v>368</v>
      </c>
      <c r="F389" t="str">
        <f>VLOOKUP(A389, Athletes_Map!A:C, 3, FALSE)</f>
        <v>Player 368</v>
      </c>
      <c r="G389">
        <v>95</v>
      </c>
      <c r="H389">
        <f t="shared" si="27"/>
        <v>2</v>
      </c>
      <c r="I389" t="str">
        <f t="shared" si="24"/>
        <v>Normal</v>
      </c>
      <c r="J389" t="str">
        <f t="shared" si="25"/>
        <v>Normal</v>
      </c>
      <c r="K389" t="str">
        <f t="shared" si="26"/>
        <v/>
      </c>
    </row>
    <row r="390" spans="1:11" x14ac:dyDescent="0.25">
      <c r="A390">
        <v>4696</v>
      </c>
      <c r="B390">
        <v>166.01000985628099</v>
      </c>
      <c r="C390">
        <v>34.485184509014303</v>
      </c>
      <c r="D390">
        <v>388</v>
      </c>
      <c r="E390">
        <f>VLOOKUP(A390, Athletes_Map!A:B, 2, FALSE)</f>
        <v>369</v>
      </c>
      <c r="F390" t="str">
        <f>VLOOKUP(A390, Athletes_Map!A:C, 3, FALSE)</f>
        <v>Player 369</v>
      </c>
      <c r="G390">
        <v>93</v>
      </c>
      <c r="H390">
        <f t="shared" si="27"/>
        <v>3</v>
      </c>
      <c r="I390" t="str">
        <f t="shared" si="24"/>
        <v>Alert</v>
      </c>
      <c r="J390" t="str">
        <f t="shared" si="25"/>
        <v>Heart Rate</v>
      </c>
      <c r="K390">
        <f t="shared" si="26"/>
        <v>166.01000985628099</v>
      </c>
    </row>
    <row r="391" spans="1:11" x14ac:dyDescent="0.25">
      <c r="A391">
        <v>4701</v>
      </c>
      <c r="B391">
        <v>158.74772103129499</v>
      </c>
      <c r="C391">
        <v>31.059943950062301</v>
      </c>
      <c r="D391">
        <v>389</v>
      </c>
      <c r="E391">
        <f>VLOOKUP(A391, Athletes_Map!A:B, 2, FALSE)</f>
        <v>370</v>
      </c>
      <c r="F391" t="str">
        <f>VLOOKUP(A391, Athletes_Map!A:C, 3, FALSE)</f>
        <v>Player 370</v>
      </c>
      <c r="G391">
        <v>90</v>
      </c>
      <c r="H391">
        <f t="shared" si="27"/>
        <v>3</v>
      </c>
      <c r="I391" t="str">
        <f t="shared" si="24"/>
        <v>Alert</v>
      </c>
      <c r="J391" t="str">
        <f t="shared" si="25"/>
        <v>Heart Rate</v>
      </c>
      <c r="K391">
        <f t="shared" si="26"/>
        <v>158.74772103129499</v>
      </c>
    </row>
    <row r="392" spans="1:11" x14ac:dyDescent="0.25">
      <c r="A392">
        <v>4709</v>
      </c>
      <c r="B392">
        <v>120.96016624386399</v>
      </c>
      <c r="C392">
        <v>33.592876702770603</v>
      </c>
      <c r="D392">
        <v>390</v>
      </c>
      <c r="E392">
        <f>VLOOKUP(A392, Athletes_Map!A:B, 2, FALSE)</f>
        <v>371</v>
      </c>
      <c r="F392" t="str">
        <f>VLOOKUP(A392, Athletes_Map!A:C, 3, FALSE)</f>
        <v>Player 371</v>
      </c>
      <c r="G392">
        <v>96</v>
      </c>
      <c r="H392">
        <f t="shared" si="27"/>
        <v>2</v>
      </c>
      <c r="I392" t="str">
        <f t="shared" si="24"/>
        <v>Normal</v>
      </c>
      <c r="J392" t="str">
        <f t="shared" si="25"/>
        <v>Normal</v>
      </c>
      <c r="K392" t="str">
        <f t="shared" si="26"/>
        <v/>
      </c>
    </row>
    <row r="393" spans="1:11" x14ac:dyDescent="0.25">
      <c r="A393">
        <v>4719</v>
      </c>
      <c r="B393">
        <v>110.52119466475401</v>
      </c>
      <c r="C393">
        <v>31.148258126468502</v>
      </c>
      <c r="D393">
        <v>391</v>
      </c>
      <c r="E393">
        <f>VLOOKUP(A393, Athletes_Map!A:B, 2, FALSE)</f>
        <v>372</v>
      </c>
      <c r="F393" t="str">
        <f>VLOOKUP(A393, Athletes_Map!A:C, 3, FALSE)</f>
        <v>Player 372</v>
      </c>
      <c r="G393">
        <v>94</v>
      </c>
      <c r="H393">
        <f t="shared" si="27"/>
        <v>1</v>
      </c>
      <c r="I393" t="str">
        <f t="shared" si="24"/>
        <v>Normal</v>
      </c>
      <c r="J393" t="str">
        <f t="shared" si="25"/>
        <v>Normal</v>
      </c>
      <c r="K393" t="str">
        <f t="shared" si="26"/>
        <v/>
      </c>
    </row>
    <row r="394" spans="1:11" x14ac:dyDescent="0.25">
      <c r="A394">
        <v>4719</v>
      </c>
      <c r="B394">
        <v>145.318784354082</v>
      </c>
      <c r="C394">
        <v>31.524979682639501</v>
      </c>
      <c r="D394">
        <v>392</v>
      </c>
      <c r="E394">
        <f>VLOOKUP(A394, Athletes_Map!A:B, 2, FALSE)</f>
        <v>372</v>
      </c>
      <c r="F394" t="str">
        <f>VLOOKUP(A394, Athletes_Map!A:C, 3, FALSE)</f>
        <v>Player 372</v>
      </c>
      <c r="G394">
        <v>92</v>
      </c>
      <c r="H394">
        <f t="shared" si="27"/>
        <v>2</v>
      </c>
      <c r="I394" t="str">
        <f t="shared" si="24"/>
        <v>Normal</v>
      </c>
      <c r="J394" t="str">
        <f t="shared" si="25"/>
        <v>Normal</v>
      </c>
      <c r="K394" t="str">
        <f t="shared" si="26"/>
        <v/>
      </c>
    </row>
    <row r="395" spans="1:11" x14ac:dyDescent="0.25">
      <c r="A395">
        <v>4735</v>
      </c>
      <c r="B395">
        <v>146.31019291262999</v>
      </c>
      <c r="C395">
        <v>34.5211818134255</v>
      </c>
      <c r="D395">
        <v>393</v>
      </c>
      <c r="E395">
        <f>VLOOKUP(A395, Athletes_Map!A:B, 2, FALSE)</f>
        <v>373</v>
      </c>
      <c r="F395" t="str">
        <f>VLOOKUP(A395, Athletes_Map!A:C, 3, FALSE)</f>
        <v>Player 373</v>
      </c>
      <c r="G395">
        <v>92</v>
      </c>
      <c r="H395">
        <f t="shared" si="27"/>
        <v>2</v>
      </c>
      <c r="I395" t="str">
        <f t="shared" si="24"/>
        <v>Normal</v>
      </c>
      <c r="J395" t="str">
        <f t="shared" si="25"/>
        <v>Normal</v>
      </c>
      <c r="K395" t="str">
        <f t="shared" si="26"/>
        <v/>
      </c>
    </row>
    <row r="396" spans="1:11" x14ac:dyDescent="0.25">
      <c r="A396">
        <v>4744</v>
      </c>
      <c r="B396">
        <v>139.49369451503699</v>
      </c>
      <c r="C396">
        <v>32.959289728886503</v>
      </c>
      <c r="D396">
        <v>394</v>
      </c>
      <c r="E396">
        <f>VLOOKUP(A396, Athletes_Map!A:B, 2, FALSE)</f>
        <v>374</v>
      </c>
      <c r="F396" t="str">
        <f>VLOOKUP(A396, Athletes_Map!A:C, 3, FALSE)</f>
        <v>Player 374</v>
      </c>
      <c r="G396">
        <v>96</v>
      </c>
      <c r="H396">
        <f t="shared" si="27"/>
        <v>2</v>
      </c>
      <c r="I396" t="str">
        <f t="shared" si="24"/>
        <v>Normal</v>
      </c>
      <c r="J396" t="str">
        <f t="shared" si="25"/>
        <v>Normal</v>
      </c>
      <c r="K396" t="str">
        <f t="shared" si="26"/>
        <v/>
      </c>
    </row>
    <row r="397" spans="1:11" x14ac:dyDescent="0.25">
      <c r="A397">
        <v>4748</v>
      </c>
      <c r="B397">
        <v>163.186948803711</v>
      </c>
      <c r="C397">
        <v>33.3231537030968</v>
      </c>
      <c r="D397">
        <v>395</v>
      </c>
      <c r="E397">
        <f>VLOOKUP(A397, Athletes_Map!A:B, 2, FALSE)</f>
        <v>375</v>
      </c>
      <c r="F397" t="str">
        <f>VLOOKUP(A397, Athletes_Map!A:C, 3, FALSE)</f>
        <v>Player 375</v>
      </c>
      <c r="G397">
        <v>94</v>
      </c>
      <c r="H397">
        <f t="shared" si="27"/>
        <v>3</v>
      </c>
      <c r="I397" t="str">
        <f t="shared" si="24"/>
        <v>Alert</v>
      </c>
      <c r="J397" t="str">
        <f t="shared" si="25"/>
        <v>Heart Rate</v>
      </c>
      <c r="K397">
        <f t="shared" si="26"/>
        <v>163.186948803711</v>
      </c>
    </row>
    <row r="398" spans="1:11" x14ac:dyDescent="0.25">
      <c r="A398">
        <v>4756</v>
      </c>
      <c r="B398">
        <v>150.885293592436</v>
      </c>
      <c r="C398">
        <v>32.284306310437302</v>
      </c>
      <c r="D398">
        <v>396</v>
      </c>
      <c r="E398">
        <f>VLOOKUP(A398, Athletes_Map!A:B, 2, FALSE)</f>
        <v>376</v>
      </c>
      <c r="F398" t="str">
        <f>VLOOKUP(A398, Athletes_Map!A:C, 3, FALSE)</f>
        <v>Player 376</v>
      </c>
      <c r="G398">
        <v>93</v>
      </c>
      <c r="H398">
        <f t="shared" si="27"/>
        <v>3</v>
      </c>
      <c r="I398" t="str">
        <f t="shared" si="24"/>
        <v>Alert</v>
      </c>
      <c r="J398" t="str">
        <f t="shared" si="25"/>
        <v>Heart Rate</v>
      </c>
      <c r="K398">
        <f t="shared" si="26"/>
        <v>150.885293592436</v>
      </c>
    </row>
    <row r="399" spans="1:11" x14ac:dyDescent="0.25">
      <c r="A399">
        <v>4763</v>
      </c>
      <c r="B399">
        <v>124.54279945693401</v>
      </c>
      <c r="C399">
        <v>33.585072356504</v>
      </c>
      <c r="D399">
        <v>397</v>
      </c>
      <c r="E399">
        <f>VLOOKUP(A399, Athletes_Map!A:B, 2, FALSE)</f>
        <v>377</v>
      </c>
      <c r="F399" t="str">
        <f>VLOOKUP(A399, Athletes_Map!A:C, 3, FALSE)</f>
        <v>Player 377</v>
      </c>
      <c r="G399">
        <v>96</v>
      </c>
      <c r="H399">
        <f t="shared" si="27"/>
        <v>2</v>
      </c>
      <c r="I399" t="str">
        <f t="shared" si="24"/>
        <v>Normal</v>
      </c>
      <c r="J399" t="str">
        <f t="shared" si="25"/>
        <v>Normal</v>
      </c>
      <c r="K399" t="str">
        <f t="shared" si="26"/>
        <v/>
      </c>
    </row>
    <row r="400" spans="1:11" x14ac:dyDescent="0.25">
      <c r="A400">
        <v>4766</v>
      </c>
      <c r="B400">
        <v>141.57524820606901</v>
      </c>
      <c r="C400">
        <v>34.987449902468697</v>
      </c>
      <c r="D400">
        <v>398</v>
      </c>
      <c r="E400">
        <f>VLOOKUP(A400, Athletes_Map!A:B, 2, FALSE)</f>
        <v>378</v>
      </c>
      <c r="F400" t="str">
        <f>VLOOKUP(A400, Athletes_Map!A:C, 3, FALSE)</f>
        <v>Player 378</v>
      </c>
      <c r="G400">
        <v>93</v>
      </c>
      <c r="H400">
        <f t="shared" si="27"/>
        <v>2</v>
      </c>
      <c r="I400" t="str">
        <f t="shared" si="24"/>
        <v>Normal</v>
      </c>
      <c r="J400" t="str">
        <f t="shared" si="25"/>
        <v>Normal</v>
      </c>
      <c r="K400" t="str">
        <f t="shared" si="26"/>
        <v/>
      </c>
    </row>
    <row r="401" spans="1:11" x14ac:dyDescent="0.25">
      <c r="A401">
        <v>4769</v>
      </c>
      <c r="B401">
        <v>152.903864400554</v>
      </c>
      <c r="C401">
        <v>30</v>
      </c>
      <c r="D401">
        <v>399</v>
      </c>
      <c r="E401">
        <f>VLOOKUP(A401, Athletes_Map!A:B, 2, FALSE)</f>
        <v>379</v>
      </c>
      <c r="F401" t="str">
        <f>VLOOKUP(A401, Athletes_Map!A:C, 3, FALSE)</f>
        <v>Player 379</v>
      </c>
      <c r="G401">
        <v>91</v>
      </c>
      <c r="H401">
        <f t="shared" si="27"/>
        <v>3</v>
      </c>
      <c r="I401" t="str">
        <f t="shared" si="24"/>
        <v>Alert</v>
      </c>
      <c r="J401" t="str">
        <f t="shared" si="25"/>
        <v>Heart Rate</v>
      </c>
      <c r="K401">
        <f t="shared" si="26"/>
        <v>152.903864400554</v>
      </c>
    </row>
    <row r="402" spans="1:11" x14ac:dyDescent="0.25">
      <c r="A402">
        <v>4775</v>
      </c>
      <c r="B402">
        <v>151.670579232178</v>
      </c>
      <c r="C402">
        <v>33.252802158243703</v>
      </c>
      <c r="D402">
        <v>400</v>
      </c>
      <c r="E402">
        <f>VLOOKUP(A402, Athletes_Map!A:B, 2, FALSE)</f>
        <v>380</v>
      </c>
      <c r="F402" t="str">
        <f>VLOOKUP(A402, Athletes_Map!A:C, 3, FALSE)</f>
        <v>Player 380</v>
      </c>
      <c r="G402">
        <v>91</v>
      </c>
      <c r="H402">
        <f t="shared" si="27"/>
        <v>3</v>
      </c>
      <c r="I402" t="str">
        <f t="shared" si="24"/>
        <v>Alert</v>
      </c>
      <c r="J402" t="str">
        <f t="shared" si="25"/>
        <v>Heart Rate</v>
      </c>
      <c r="K402">
        <f t="shared" si="26"/>
        <v>151.670579232178</v>
      </c>
    </row>
    <row r="403" spans="1:11" x14ac:dyDescent="0.25">
      <c r="A403">
        <v>4797</v>
      </c>
      <c r="B403">
        <v>131.34207117790299</v>
      </c>
      <c r="C403">
        <v>32.740847375579698</v>
      </c>
      <c r="D403">
        <v>401</v>
      </c>
      <c r="E403">
        <f>VLOOKUP(A403, Athletes_Map!A:B, 2, FALSE)</f>
        <v>381</v>
      </c>
      <c r="F403" t="str">
        <f>VLOOKUP(A403, Athletes_Map!A:C, 3, FALSE)</f>
        <v>Player 381</v>
      </c>
      <c r="G403">
        <v>94</v>
      </c>
      <c r="H403">
        <f t="shared" si="27"/>
        <v>2</v>
      </c>
      <c r="I403" t="str">
        <f t="shared" si="24"/>
        <v>Normal</v>
      </c>
      <c r="J403" t="str">
        <f t="shared" si="25"/>
        <v>Normal</v>
      </c>
      <c r="K403" t="str">
        <f t="shared" si="26"/>
        <v/>
      </c>
    </row>
    <row r="404" spans="1:11" x14ac:dyDescent="0.25">
      <c r="A404">
        <v>4812</v>
      </c>
      <c r="B404">
        <v>124.427666365004</v>
      </c>
      <c r="C404">
        <v>31.946084096611798</v>
      </c>
      <c r="D404">
        <v>402</v>
      </c>
      <c r="E404">
        <f>VLOOKUP(A404, Athletes_Map!A:B, 2, FALSE)</f>
        <v>382</v>
      </c>
      <c r="F404" t="str">
        <f>VLOOKUP(A404, Athletes_Map!A:C, 3, FALSE)</f>
        <v>Player 382</v>
      </c>
      <c r="G404">
        <v>93</v>
      </c>
      <c r="H404">
        <f t="shared" si="27"/>
        <v>2</v>
      </c>
      <c r="I404" t="str">
        <f t="shared" si="24"/>
        <v>Normal</v>
      </c>
      <c r="J404" t="str">
        <f t="shared" si="25"/>
        <v>Normal</v>
      </c>
      <c r="K404" t="str">
        <f t="shared" si="26"/>
        <v/>
      </c>
    </row>
    <row r="405" spans="1:11" x14ac:dyDescent="0.25">
      <c r="A405">
        <v>4818</v>
      </c>
      <c r="B405">
        <v>124.07511103495</v>
      </c>
      <c r="C405">
        <v>33.2724413746378</v>
      </c>
      <c r="D405">
        <v>403</v>
      </c>
      <c r="E405">
        <f>VLOOKUP(A405, Athletes_Map!A:B, 2, FALSE)</f>
        <v>383</v>
      </c>
      <c r="F405" t="str">
        <f>VLOOKUP(A405, Athletes_Map!A:C, 3, FALSE)</f>
        <v>Player 383</v>
      </c>
      <c r="G405">
        <v>93</v>
      </c>
      <c r="H405">
        <f t="shared" si="27"/>
        <v>2</v>
      </c>
      <c r="I405" t="str">
        <f t="shared" si="24"/>
        <v>Normal</v>
      </c>
      <c r="J405" t="str">
        <f t="shared" si="25"/>
        <v>Normal</v>
      </c>
      <c r="K405" t="str">
        <f t="shared" si="26"/>
        <v/>
      </c>
    </row>
    <row r="406" spans="1:11" x14ac:dyDescent="0.25">
      <c r="A406">
        <v>4840</v>
      </c>
      <c r="B406">
        <v>120.45725648350199</v>
      </c>
      <c r="C406">
        <v>30.802626145993901</v>
      </c>
      <c r="D406">
        <v>404</v>
      </c>
      <c r="E406">
        <f>VLOOKUP(A406, Athletes_Map!A:B, 2, FALSE)</f>
        <v>384</v>
      </c>
      <c r="F406" t="str">
        <f>VLOOKUP(A406, Athletes_Map!A:C, 3, FALSE)</f>
        <v>Player 384</v>
      </c>
      <c r="G406">
        <v>96</v>
      </c>
      <c r="H406">
        <f t="shared" si="27"/>
        <v>2</v>
      </c>
      <c r="I406" t="str">
        <f t="shared" si="24"/>
        <v>Normal</v>
      </c>
      <c r="J406" t="str">
        <f t="shared" si="25"/>
        <v>Normal</v>
      </c>
      <c r="K406" t="str">
        <f t="shared" si="26"/>
        <v/>
      </c>
    </row>
    <row r="407" spans="1:11" x14ac:dyDescent="0.25">
      <c r="A407">
        <v>4843</v>
      </c>
      <c r="B407">
        <v>124.20480639381201</v>
      </c>
      <c r="C407">
        <v>31.560362965961598</v>
      </c>
      <c r="D407">
        <v>405</v>
      </c>
      <c r="E407">
        <f>VLOOKUP(A407, Athletes_Map!A:B, 2, FALSE)</f>
        <v>385</v>
      </c>
      <c r="F407" t="str">
        <f>VLOOKUP(A407, Athletes_Map!A:C, 3, FALSE)</f>
        <v>Player 385</v>
      </c>
      <c r="G407">
        <v>93</v>
      </c>
      <c r="H407">
        <f t="shared" si="27"/>
        <v>2</v>
      </c>
      <c r="I407" t="str">
        <f t="shared" si="24"/>
        <v>Normal</v>
      </c>
      <c r="J407" t="str">
        <f t="shared" si="25"/>
        <v>Normal</v>
      </c>
      <c r="K407" t="str">
        <f t="shared" si="26"/>
        <v/>
      </c>
    </row>
    <row r="408" spans="1:11" x14ac:dyDescent="0.25">
      <c r="A408">
        <v>4854</v>
      </c>
      <c r="B408">
        <v>121.216243638208</v>
      </c>
      <c r="C408">
        <v>33.238416011456799</v>
      </c>
      <c r="D408">
        <v>406</v>
      </c>
      <c r="E408">
        <f>VLOOKUP(A408, Athletes_Map!A:B, 2, FALSE)</f>
        <v>386</v>
      </c>
      <c r="F408" t="str">
        <f>VLOOKUP(A408, Athletes_Map!A:C, 3, FALSE)</f>
        <v>Player 386</v>
      </c>
      <c r="G408">
        <v>93</v>
      </c>
      <c r="H408">
        <f t="shared" si="27"/>
        <v>2</v>
      </c>
      <c r="I408" t="str">
        <f t="shared" si="24"/>
        <v>Normal</v>
      </c>
      <c r="J408" t="str">
        <f t="shared" si="25"/>
        <v>Normal</v>
      </c>
      <c r="K408" t="str">
        <f t="shared" si="26"/>
        <v/>
      </c>
    </row>
    <row r="409" spans="1:11" x14ac:dyDescent="0.25">
      <c r="A409">
        <v>4863</v>
      </c>
      <c r="B409">
        <v>151.812870979774</v>
      </c>
      <c r="C409">
        <v>33.417073936564201</v>
      </c>
      <c r="D409">
        <v>407</v>
      </c>
      <c r="E409">
        <f>VLOOKUP(A409, Athletes_Map!A:B, 2, FALSE)</f>
        <v>387</v>
      </c>
      <c r="F409" t="str">
        <f>VLOOKUP(A409, Athletes_Map!A:C, 3, FALSE)</f>
        <v>Player 387</v>
      </c>
      <c r="G409">
        <v>94</v>
      </c>
      <c r="H409">
        <f t="shared" si="27"/>
        <v>3</v>
      </c>
      <c r="I409" t="str">
        <f t="shared" si="24"/>
        <v>Alert</v>
      </c>
      <c r="J409" t="str">
        <f t="shared" si="25"/>
        <v>Heart Rate</v>
      </c>
      <c r="K409">
        <f t="shared" si="26"/>
        <v>151.812870979774</v>
      </c>
    </row>
    <row r="410" spans="1:11" x14ac:dyDescent="0.25">
      <c r="A410">
        <v>4876</v>
      </c>
      <c r="B410">
        <v>113.557219760287</v>
      </c>
      <c r="C410">
        <v>32.263694873564603</v>
      </c>
      <c r="D410">
        <v>408</v>
      </c>
      <c r="E410">
        <f>VLOOKUP(A410, Athletes_Map!A:B, 2, FALSE)</f>
        <v>388</v>
      </c>
      <c r="F410" t="str">
        <f>VLOOKUP(A410, Athletes_Map!A:C, 3, FALSE)</f>
        <v>Player 388</v>
      </c>
      <c r="G410">
        <v>94</v>
      </c>
      <c r="H410">
        <f t="shared" si="27"/>
        <v>1</v>
      </c>
      <c r="I410" t="str">
        <f t="shared" si="24"/>
        <v>Normal</v>
      </c>
      <c r="J410" t="str">
        <f t="shared" si="25"/>
        <v>Normal</v>
      </c>
      <c r="K410" t="str">
        <f t="shared" si="26"/>
        <v/>
      </c>
    </row>
    <row r="411" spans="1:11" x14ac:dyDescent="0.25">
      <c r="A411">
        <v>4890</v>
      </c>
      <c r="B411">
        <v>168.92912736580001</v>
      </c>
      <c r="C411">
        <v>33.047336457888797</v>
      </c>
      <c r="D411">
        <v>409</v>
      </c>
      <c r="E411">
        <f>VLOOKUP(A411, Athletes_Map!A:B, 2, FALSE)</f>
        <v>389</v>
      </c>
      <c r="F411" t="str">
        <f>VLOOKUP(A411, Athletes_Map!A:C, 3, FALSE)</f>
        <v>Player 389</v>
      </c>
      <c r="G411">
        <v>91</v>
      </c>
      <c r="H411">
        <f t="shared" si="27"/>
        <v>3</v>
      </c>
      <c r="I411" t="str">
        <f t="shared" si="24"/>
        <v>Alert</v>
      </c>
      <c r="J411" t="str">
        <f t="shared" si="25"/>
        <v>Heart Rate</v>
      </c>
      <c r="K411">
        <f t="shared" si="26"/>
        <v>168.92912736580001</v>
      </c>
    </row>
    <row r="412" spans="1:11" x14ac:dyDescent="0.25">
      <c r="A412">
        <v>4900</v>
      </c>
      <c r="B412">
        <v>122.88768920526201</v>
      </c>
      <c r="C412">
        <v>33.354335928745002</v>
      </c>
      <c r="D412">
        <v>410</v>
      </c>
      <c r="E412">
        <f>VLOOKUP(A412, Athletes_Map!A:B, 2, FALSE)</f>
        <v>390</v>
      </c>
      <c r="F412" t="str">
        <f>VLOOKUP(A412, Athletes_Map!A:C, 3, FALSE)</f>
        <v>Player 390</v>
      </c>
      <c r="G412">
        <v>93</v>
      </c>
      <c r="H412">
        <f t="shared" si="27"/>
        <v>2</v>
      </c>
      <c r="I412" t="str">
        <f t="shared" si="24"/>
        <v>Normal</v>
      </c>
      <c r="J412" t="str">
        <f t="shared" si="25"/>
        <v>Normal</v>
      </c>
      <c r="K412" t="str">
        <f t="shared" si="26"/>
        <v/>
      </c>
    </row>
    <row r="413" spans="1:11" x14ac:dyDescent="0.25">
      <c r="A413">
        <v>4913</v>
      </c>
      <c r="B413">
        <v>134.25555526980301</v>
      </c>
      <c r="C413">
        <v>34.7046051447252</v>
      </c>
      <c r="D413">
        <v>411</v>
      </c>
      <c r="E413">
        <f>VLOOKUP(A413, Athletes_Map!A:B, 2, FALSE)</f>
        <v>391</v>
      </c>
      <c r="F413" t="str">
        <f>VLOOKUP(A413, Athletes_Map!A:C, 3, FALSE)</f>
        <v>Player 391</v>
      </c>
      <c r="G413">
        <v>95</v>
      </c>
      <c r="H413">
        <f t="shared" si="27"/>
        <v>2</v>
      </c>
      <c r="I413" t="str">
        <f t="shared" si="24"/>
        <v>Normal</v>
      </c>
      <c r="J413" t="str">
        <f t="shared" si="25"/>
        <v>Normal</v>
      </c>
      <c r="K413" t="str">
        <f t="shared" si="26"/>
        <v/>
      </c>
    </row>
    <row r="414" spans="1:11" x14ac:dyDescent="0.25">
      <c r="A414">
        <v>4925</v>
      </c>
      <c r="B414">
        <v>128.81767071594999</v>
      </c>
      <c r="C414">
        <v>33.436764757023198</v>
      </c>
      <c r="D414">
        <v>412</v>
      </c>
      <c r="E414">
        <f>VLOOKUP(A414, Athletes_Map!A:B, 2, FALSE)</f>
        <v>392</v>
      </c>
      <c r="F414" t="str">
        <f>VLOOKUP(A414, Athletes_Map!A:C, 3, FALSE)</f>
        <v>Player 392</v>
      </c>
      <c r="G414">
        <v>95</v>
      </c>
      <c r="H414">
        <f t="shared" si="27"/>
        <v>2</v>
      </c>
      <c r="I414" t="str">
        <f t="shared" si="24"/>
        <v>Normal</v>
      </c>
      <c r="J414" t="str">
        <f t="shared" si="25"/>
        <v>Normal</v>
      </c>
      <c r="K414" t="str">
        <f t="shared" si="26"/>
        <v/>
      </c>
    </row>
    <row r="415" spans="1:11" x14ac:dyDescent="0.25">
      <c r="A415">
        <v>4943</v>
      </c>
      <c r="B415">
        <v>138.41730876255801</v>
      </c>
      <c r="C415">
        <v>32.253558233334701</v>
      </c>
      <c r="D415">
        <v>413</v>
      </c>
      <c r="E415">
        <f>VLOOKUP(A415, Athletes_Map!A:B, 2, FALSE)</f>
        <v>393</v>
      </c>
      <c r="F415" t="str">
        <f>VLOOKUP(A415, Athletes_Map!A:C, 3, FALSE)</f>
        <v>Player 393</v>
      </c>
      <c r="G415">
        <v>95</v>
      </c>
      <c r="H415">
        <f t="shared" si="27"/>
        <v>2</v>
      </c>
      <c r="I415" t="str">
        <f t="shared" si="24"/>
        <v>Normal</v>
      </c>
      <c r="J415" t="str">
        <f t="shared" si="25"/>
        <v>Normal</v>
      </c>
      <c r="K415" t="str">
        <f t="shared" si="26"/>
        <v/>
      </c>
    </row>
    <row r="416" spans="1:11" x14ac:dyDescent="0.25">
      <c r="A416">
        <v>4974</v>
      </c>
      <c r="B416">
        <v>114.20188145748899</v>
      </c>
      <c r="C416">
        <v>33.291748150215398</v>
      </c>
      <c r="D416">
        <v>414</v>
      </c>
      <c r="E416">
        <f>VLOOKUP(A416, Athletes_Map!A:B, 2, FALSE)</f>
        <v>394</v>
      </c>
      <c r="F416" t="str">
        <f>VLOOKUP(A416, Athletes_Map!A:C, 3, FALSE)</f>
        <v>Player 394</v>
      </c>
      <c r="G416">
        <v>93</v>
      </c>
      <c r="H416">
        <f t="shared" si="27"/>
        <v>2</v>
      </c>
      <c r="I416" t="str">
        <f t="shared" si="24"/>
        <v>Normal</v>
      </c>
      <c r="J416" t="str">
        <f t="shared" si="25"/>
        <v>Normal</v>
      </c>
      <c r="K416" t="str">
        <f t="shared" si="26"/>
        <v/>
      </c>
    </row>
    <row r="417" spans="1:11" x14ac:dyDescent="0.25">
      <c r="A417">
        <v>4987</v>
      </c>
      <c r="B417">
        <v>114.469694011778</v>
      </c>
      <c r="C417">
        <v>33.269081693442303</v>
      </c>
      <c r="D417">
        <v>415</v>
      </c>
      <c r="E417">
        <f>VLOOKUP(A417, Athletes_Map!A:B, 2, FALSE)</f>
        <v>395</v>
      </c>
      <c r="F417" t="str">
        <f>VLOOKUP(A417, Athletes_Map!A:C, 3, FALSE)</f>
        <v>Player 395</v>
      </c>
      <c r="G417">
        <v>94</v>
      </c>
      <c r="H417">
        <f t="shared" si="27"/>
        <v>1</v>
      </c>
      <c r="I417" t="str">
        <f t="shared" si="24"/>
        <v>Normal</v>
      </c>
      <c r="J417" t="str">
        <f t="shared" si="25"/>
        <v>Normal</v>
      </c>
      <c r="K417" t="str">
        <f t="shared" si="26"/>
        <v/>
      </c>
    </row>
    <row r="418" spans="1:11" x14ac:dyDescent="0.25">
      <c r="A418">
        <v>5000</v>
      </c>
      <c r="B418">
        <v>142.63870904463101</v>
      </c>
      <c r="C418">
        <v>34.573400997363102</v>
      </c>
      <c r="D418">
        <v>416</v>
      </c>
      <c r="E418">
        <f>VLOOKUP(A418, Athletes_Map!A:B, 2, FALSE)</f>
        <v>396</v>
      </c>
      <c r="F418" t="str">
        <f>VLOOKUP(A418, Athletes_Map!A:C, 3, FALSE)</f>
        <v>Player 396</v>
      </c>
      <c r="G418">
        <v>94</v>
      </c>
      <c r="H418">
        <f t="shared" si="27"/>
        <v>2</v>
      </c>
      <c r="I418" t="str">
        <f t="shared" si="24"/>
        <v>Normal</v>
      </c>
      <c r="J418" t="str">
        <f t="shared" si="25"/>
        <v>Normal</v>
      </c>
      <c r="K418" t="str">
        <f t="shared" si="26"/>
        <v/>
      </c>
    </row>
    <row r="419" spans="1:11" x14ac:dyDescent="0.25">
      <c r="A419">
        <v>5000</v>
      </c>
      <c r="B419">
        <v>154.13404633589099</v>
      </c>
      <c r="C419">
        <v>34.167721873217999</v>
      </c>
      <c r="D419">
        <v>417</v>
      </c>
      <c r="E419">
        <f>VLOOKUP(A419, Athletes_Map!A:B, 2, FALSE)</f>
        <v>396</v>
      </c>
      <c r="F419" t="str">
        <f>VLOOKUP(A419, Athletes_Map!A:C, 3, FALSE)</f>
        <v>Player 396</v>
      </c>
      <c r="G419">
        <v>92</v>
      </c>
      <c r="H419">
        <f t="shared" si="27"/>
        <v>3</v>
      </c>
      <c r="I419" t="str">
        <f t="shared" si="24"/>
        <v>Alert</v>
      </c>
      <c r="J419" t="str">
        <f t="shared" si="25"/>
        <v>Heart Rate</v>
      </c>
      <c r="K419">
        <f t="shared" si="26"/>
        <v>154.13404633589099</v>
      </c>
    </row>
    <row r="420" spans="1:11" x14ac:dyDescent="0.25">
      <c r="A420">
        <v>5014</v>
      </c>
      <c r="B420">
        <v>126.076331335704</v>
      </c>
      <c r="C420">
        <v>33.426802738275804</v>
      </c>
      <c r="D420">
        <v>418</v>
      </c>
      <c r="E420">
        <f>VLOOKUP(A420, Athletes_Map!A:B, 2, FALSE)</f>
        <v>397</v>
      </c>
      <c r="F420" t="str">
        <f>VLOOKUP(A420, Athletes_Map!A:C, 3, FALSE)</f>
        <v>Player 397</v>
      </c>
      <c r="G420">
        <v>96</v>
      </c>
      <c r="H420">
        <f t="shared" si="27"/>
        <v>2</v>
      </c>
      <c r="I420" t="str">
        <f t="shared" si="24"/>
        <v>Normal</v>
      </c>
      <c r="J420" t="str">
        <f t="shared" si="25"/>
        <v>Normal</v>
      </c>
      <c r="K420" t="str">
        <f t="shared" si="26"/>
        <v/>
      </c>
    </row>
    <row r="421" spans="1:11" x14ac:dyDescent="0.25">
      <c r="A421">
        <v>5018</v>
      </c>
      <c r="B421">
        <v>111.601663285794</v>
      </c>
      <c r="C421">
        <v>32.737360497917201</v>
      </c>
      <c r="D421">
        <v>419</v>
      </c>
      <c r="E421">
        <f>VLOOKUP(A421, Athletes_Map!A:B, 2, FALSE)</f>
        <v>398</v>
      </c>
      <c r="F421" t="str">
        <f>VLOOKUP(A421, Athletes_Map!A:C, 3, FALSE)</f>
        <v>Player 398</v>
      </c>
      <c r="G421">
        <v>95</v>
      </c>
      <c r="H421">
        <f t="shared" si="27"/>
        <v>1</v>
      </c>
      <c r="I421" t="str">
        <f t="shared" si="24"/>
        <v>Normal</v>
      </c>
      <c r="J421" t="str">
        <f t="shared" si="25"/>
        <v>Normal</v>
      </c>
      <c r="K421" t="str">
        <f t="shared" si="26"/>
        <v/>
      </c>
    </row>
    <row r="422" spans="1:11" x14ac:dyDescent="0.25">
      <c r="A422">
        <v>5021</v>
      </c>
      <c r="B422">
        <v>129.16377462168899</v>
      </c>
      <c r="C422">
        <v>33.081406216700302</v>
      </c>
      <c r="D422">
        <v>420</v>
      </c>
      <c r="E422">
        <f>VLOOKUP(A422, Athletes_Map!A:B, 2, FALSE)</f>
        <v>399</v>
      </c>
      <c r="F422" t="str">
        <f>VLOOKUP(A422, Athletes_Map!A:C, 3, FALSE)</f>
        <v>Player 399</v>
      </c>
      <c r="G422">
        <v>95</v>
      </c>
      <c r="H422">
        <f t="shared" si="27"/>
        <v>2</v>
      </c>
      <c r="I422" t="str">
        <f t="shared" si="24"/>
        <v>Normal</v>
      </c>
      <c r="J422" t="str">
        <f t="shared" si="25"/>
        <v>Normal</v>
      </c>
      <c r="K422" t="str">
        <f t="shared" si="26"/>
        <v/>
      </c>
    </row>
    <row r="423" spans="1:11" x14ac:dyDescent="0.25">
      <c r="A423">
        <v>5033</v>
      </c>
      <c r="B423">
        <v>103.105938654664</v>
      </c>
      <c r="C423">
        <v>32.234894949508799</v>
      </c>
      <c r="D423">
        <v>421</v>
      </c>
      <c r="E423">
        <f>VLOOKUP(A423, Athletes_Map!A:B, 2, FALSE)</f>
        <v>400</v>
      </c>
      <c r="F423" t="str">
        <f>VLOOKUP(A423, Athletes_Map!A:C, 3, FALSE)</f>
        <v>Player 400</v>
      </c>
      <c r="G423">
        <v>96</v>
      </c>
      <c r="H423">
        <f t="shared" si="27"/>
        <v>1</v>
      </c>
      <c r="I423" t="str">
        <f t="shared" si="24"/>
        <v>Normal</v>
      </c>
      <c r="J423" t="str">
        <f t="shared" si="25"/>
        <v>Normal</v>
      </c>
      <c r="K423" t="str">
        <f t="shared" si="26"/>
        <v/>
      </c>
    </row>
    <row r="424" spans="1:11" x14ac:dyDescent="0.25">
      <c r="A424">
        <v>5061</v>
      </c>
      <c r="B424">
        <v>127.81415818425801</v>
      </c>
      <c r="C424">
        <v>32.805451229424101</v>
      </c>
      <c r="D424">
        <v>422</v>
      </c>
      <c r="E424">
        <f>VLOOKUP(A424, Athletes_Map!A:B, 2, FALSE)</f>
        <v>401</v>
      </c>
      <c r="F424" t="str">
        <f>VLOOKUP(A424, Athletes_Map!A:C, 3, FALSE)</f>
        <v>Player 401</v>
      </c>
      <c r="G424">
        <v>95</v>
      </c>
      <c r="H424">
        <f t="shared" si="27"/>
        <v>2</v>
      </c>
      <c r="I424" t="str">
        <f t="shared" si="24"/>
        <v>Normal</v>
      </c>
      <c r="J424" t="str">
        <f t="shared" si="25"/>
        <v>Normal</v>
      </c>
      <c r="K424" t="str">
        <f t="shared" si="26"/>
        <v/>
      </c>
    </row>
    <row r="425" spans="1:11" x14ac:dyDescent="0.25">
      <c r="A425">
        <v>5070</v>
      </c>
      <c r="B425">
        <v>144.880603725654</v>
      </c>
      <c r="C425">
        <v>33.552325949978702</v>
      </c>
      <c r="D425">
        <v>423</v>
      </c>
      <c r="E425">
        <f>VLOOKUP(A425, Athletes_Map!A:B, 2, FALSE)</f>
        <v>402</v>
      </c>
      <c r="F425" t="str">
        <f>VLOOKUP(A425, Athletes_Map!A:C, 3, FALSE)</f>
        <v>Player 402</v>
      </c>
      <c r="G425">
        <v>93</v>
      </c>
      <c r="H425">
        <f t="shared" si="27"/>
        <v>2</v>
      </c>
      <c r="I425" t="str">
        <f t="shared" si="24"/>
        <v>Normal</v>
      </c>
      <c r="J425" t="str">
        <f t="shared" si="25"/>
        <v>Normal</v>
      </c>
      <c r="K425" t="str">
        <f t="shared" si="26"/>
        <v/>
      </c>
    </row>
    <row r="426" spans="1:11" x14ac:dyDescent="0.25">
      <c r="A426">
        <v>5079</v>
      </c>
      <c r="B426">
        <v>158.740606111207</v>
      </c>
      <c r="C426">
        <v>32.835226841053299</v>
      </c>
      <c r="D426">
        <v>424</v>
      </c>
      <c r="E426">
        <f>VLOOKUP(A426, Athletes_Map!A:B, 2, FALSE)</f>
        <v>403</v>
      </c>
      <c r="F426" t="str">
        <f>VLOOKUP(A426, Athletes_Map!A:C, 3, FALSE)</f>
        <v>Player 403</v>
      </c>
      <c r="G426">
        <v>91</v>
      </c>
      <c r="H426">
        <f t="shared" si="27"/>
        <v>3</v>
      </c>
      <c r="I426" t="str">
        <f t="shared" si="24"/>
        <v>Alert</v>
      </c>
      <c r="J426" t="str">
        <f t="shared" si="25"/>
        <v>Heart Rate</v>
      </c>
      <c r="K426">
        <f t="shared" si="26"/>
        <v>158.740606111207</v>
      </c>
    </row>
    <row r="427" spans="1:11" x14ac:dyDescent="0.25">
      <c r="A427">
        <v>5107</v>
      </c>
      <c r="B427">
        <v>133.385668397828</v>
      </c>
      <c r="C427">
        <v>31.761653709486598</v>
      </c>
      <c r="D427">
        <v>425</v>
      </c>
      <c r="E427">
        <f>VLOOKUP(A427, Athletes_Map!A:B, 2, FALSE)</f>
        <v>404</v>
      </c>
      <c r="F427" t="str">
        <f>VLOOKUP(A427, Athletes_Map!A:C, 3, FALSE)</f>
        <v>Player 404</v>
      </c>
      <c r="G427">
        <v>96</v>
      </c>
      <c r="H427">
        <f t="shared" si="27"/>
        <v>2</v>
      </c>
      <c r="I427" t="str">
        <f t="shared" si="24"/>
        <v>Normal</v>
      </c>
      <c r="J427" t="str">
        <f t="shared" si="25"/>
        <v>Normal</v>
      </c>
      <c r="K427" t="str">
        <f t="shared" si="26"/>
        <v/>
      </c>
    </row>
    <row r="428" spans="1:11" x14ac:dyDescent="0.25">
      <c r="A428">
        <v>5142</v>
      </c>
      <c r="B428">
        <v>169.55086340201399</v>
      </c>
      <c r="C428">
        <v>32.185628326447002</v>
      </c>
      <c r="D428">
        <v>426</v>
      </c>
      <c r="E428">
        <f>VLOOKUP(A428, Athletes_Map!A:B, 2, FALSE)</f>
        <v>405</v>
      </c>
      <c r="F428" t="str">
        <f>VLOOKUP(A428, Athletes_Map!A:C, 3, FALSE)</f>
        <v>Player 405</v>
      </c>
      <c r="G428">
        <v>93</v>
      </c>
      <c r="H428">
        <f t="shared" si="27"/>
        <v>3</v>
      </c>
      <c r="I428" t="str">
        <f t="shared" si="24"/>
        <v>Alert</v>
      </c>
      <c r="J428" t="str">
        <f t="shared" si="25"/>
        <v>Heart Rate</v>
      </c>
      <c r="K428">
        <f t="shared" si="26"/>
        <v>169.55086340201399</v>
      </c>
    </row>
    <row r="429" spans="1:11" x14ac:dyDescent="0.25">
      <c r="A429">
        <v>5143</v>
      </c>
      <c r="B429">
        <v>121.445692604957</v>
      </c>
      <c r="C429">
        <v>33.983910303162197</v>
      </c>
      <c r="D429">
        <v>427</v>
      </c>
      <c r="E429">
        <f>VLOOKUP(A429, Athletes_Map!A:B, 2, FALSE)</f>
        <v>406</v>
      </c>
      <c r="F429" t="str">
        <f>VLOOKUP(A429, Athletes_Map!A:C, 3, FALSE)</f>
        <v>Player 406</v>
      </c>
      <c r="G429">
        <v>95</v>
      </c>
      <c r="H429">
        <f t="shared" si="27"/>
        <v>2</v>
      </c>
      <c r="I429" t="str">
        <f t="shared" si="24"/>
        <v>Normal</v>
      </c>
      <c r="J429" t="str">
        <f t="shared" si="25"/>
        <v>Normal</v>
      </c>
      <c r="K429" t="str">
        <f t="shared" si="26"/>
        <v/>
      </c>
    </row>
    <row r="430" spans="1:11" x14ac:dyDescent="0.25">
      <c r="A430">
        <v>5146</v>
      </c>
      <c r="B430">
        <v>142.86970770843499</v>
      </c>
      <c r="C430">
        <v>33.7110807286168</v>
      </c>
      <c r="D430">
        <v>428</v>
      </c>
      <c r="E430">
        <f>VLOOKUP(A430, Athletes_Map!A:B, 2, FALSE)</f>
        <v>407</v>
      </c>
      <c r="F430" t="str">
        <f>VLOOKUP(A430, Athletes_Map!A:C, 3, FALSE)</f>
        <v>Player 407</v>
      </c>
      <c r="G430">
        <v>93</v>
      </c>
      <c r="H430">
        <f t="shared" si="27"/>
        <v>2</v>
      </c>
      <c r="I430" t="str">
        <f t="shared" si="24"/>
        <v>Normal</v>
      </c>
      <c r="J430" t="str">
        <f t="shared" si="25"/>
        <v>Normal</v>
      </c>
      <c r="K430" t="str">
        <f t="shared" si="26"/>
        <v/>
      </c>
    </row>
    <row r="431" spans="1:11" x14ac:dyDescent="0.25">
      <c r="A431">
        <v>5146</v>
      </c>
      <c r="B431">
        <v>176.14990939423399</v>
      </c>
      <c r="C431">
        <v>34.549528606819003</v>
      </c>
      <c r="D431">
        <v>429</v>
      </c>
      <c r="E431">
        <f>VLOOKUP(A431, Athletes_Map!A:B, 2, FALSE)</f>
        <v>407</v>
      </c>
      <c r="F431" t="str">
        <f>VLOOKUP(A431, Athletes_Map!A:C, 3, FALSE)</f>
        <v>Player 407</v>
      </c>
      <c r="G431">
        <v>94</v>
      </c>
      <c r="H431">
        <f t="shared" si="27"/>
        <v>3</v>
      </c>
      <c r="I431" t="str">
        <f t="shared" si="24"/>
        <v>Alert</v>
      </c>
      <c r="J431" t="str">
        <f t="shared" si="25"/>
        <v>Heart Rate</v>
      </c>
      <c r="K431">
        <f t="shared" si="26"/>
        <v>176.14990939423399</v>
      </c>
    </row>
    <row r="432" spans="1:11" x14ac:dyDescent="0.25">
      <c r="A432">
        <v>5158</v>
      </c>
      <c r="B432">
        <v>138.8409823298</v>
      </c>
      <c r="C432">
        <v>32.918251889798398</v>
      </c>
      <c r="D432">
        <v>430</v>
      </c>
      <c r="E432">
        <f>VLOOKUP(A432, Athletes_Map!A:B, 2, FALSE)</f>
        <v>408</v>
      </c>
      <c r="F432" t="str">
        <f>VLOOKUP(A432, Athletes_Map!A:C, 3, FALSE)</f>
        <v>Player 408</v>
      </c>
      <c r="G432">
        <v>95</v>
      </c>
      <c r="H432">
        <f t="shared" si="27"/>
        <v>2</v>
      </c>
      <c r="I432" t="str">
        <f t="shared" si="24"/>
        <v>Normal</v>
      </c>
      <c r="J432" t="str">
        <f t="shared" si="25"/>
        <v>Normal</v>
      </c>
      <c r="K432" t="str">
        <f t="shared" si="26"/>
        <v/>
      </c>
    </row>
    <row r="433" spans="1:11" x14ac:dyDescent="0.25">
      <c r="A433">
        <v>5164</v>
      </c>
      <c r="B433">
        <v>98.960391248399603</v>
      </c>
      <c r="C433">
        <v>33.056992161901903</v>
      </c>
      <c r="D433">
        <v>431</v>
      </c>
      <c r="E433">
        <f>VLOOKUP(A433, Athletes_Map!A:B, 2, FALSE)</f>
        <v>409</v>
      </c>
      <c r="F433" t="str">
        <f>VLOOKUP(A433, Athletes_Map!A:C, 3, FALSE)</f>
        <v>Player 409</v>
      </c>
      <c r="G433">
        <v>99</v>
      </c>
      <c r="H433">
        <f t="shared" si="27"/>
        <v>1</v>
      </c>
      <c r="I433" t="str">
        <f t="shared" si="24"/>
        <v>Normal</v>
      </c>
      <c r="J433" t="str">
        <f t="shared" si="25"/>
        <v>Normal</v>
      </c>
      <c r="K433" t="str">
        <f t="shared" si="26"/>
        <v/>
      </c>
    </row>
    <row r="434" spans="1:11" x14ac:dyDescent="0.25">
      <c r="A434">
        <v>5171</v>
      </c>
      <c r="B434">
        <v>137.51152906943</v>
      </c>
      <c r="C434">
        <v>33.373983427205701</v>
      </c>
      <c r="D434">
        <v>432</v>
      </c>
      <c r="E434">
        <f>VLOOKUP(A434, Athletes_Map!A:B, 2, FALSE)</f>
        <v>410</v>
      </c>
      <c r="F434" t="str">
        <f>VLOOKUP(A434, Athletes_Map!A:C, 3, FALSE)</f>
        <v>Player 410</v>
      </c>
      <c r="G434">
        <v>94</v>
      </c>
      <c r="H434">
        <f t="shared" si="27"/>
        <v>2</v>
      </c>
      <c r="I434" t="str">
        <f t="shared" si="24"/>
        <v>Normal</v>
      </c>
      <c r="J434" t="str">
        <f t="shared" si="25"/>
        <v>Normal</v>
      </c>
      <c r="K434" t="str">
        <f t="shared" si="26"/>
        <v/>
      </c>
    </row>
    <row r="435" spans="1:11" x14ac:dyDescent="0.25">
      <c r="A435">
        <v>5175</v>
      </c>
      <c r="B435">
        <v>131.29424682244499</v>
      </c>
      <c r="C435">
        <v>31.351916533236299</v>
      </c>
      <c r="D435">
        <v>433</v>
      </c>
      <c r="E435">
        <f>VLOOKUP(A435, Athletes_Map!A:B, 2, FALSE)</f>
        <v>411</v>
      </c>
      <c r="F435" t="str">
        <f>VLOOKUP(A435, Athletes_Map!A:C, 3, FALSE)</f>
        <v>Player 411</v>
      </c>
      <c r="G435">
        <v>95</v>
      </c>
      <c r="H435">
        <f t="shared" si="27"/>
        <v>2</v>
      </c>
      <c r="I435" t="str">
        <f t="shared" si="24"/>
        <v>Normal</v>
      </c>
      <c r="J435" t="str">
        <f t="shared" si="25"/>
        <v>Normal</v>
      </c>
      <c r="K435" t="str">
        <f t="shared" si="26"/>
        <v/>
      </c>
    </row>
    <row r="436" spans="1:11" x14ac:dyDescent="0.25">
      <c r="A436">
        <v>5178</v>
      </c>
      <c r="B436">
        <v>129.19450911622599</v>
      </c>
      <c r="C436">
        <v>33.151521283480797</v>
      </c>
      <c r="D436">
        <v>434</v>
      </c>
      <c r="E436">
        <f>VLOOKUP(A436, Athletes_Map!A:B, 2, FALSE)</f>
        <v>412</v>
      </c>
      <c r="F436" t="str">
        <f>VLOOKUP(A436, Athletes_Map!A:C, 3, FALSE)</f>
        <v>Player 412</v>
      </c>
      <c r="G436">
        <v>95</v>
      </c>
      <c r="H436">
        <f t="shared" si="27"/>
        <v>2</v>
      </c>
      <c r="I436" t="str">
        <f t="shared" si="24"/>
        <v>Normal</v>
      </c>
      <c r="J436" t="str">
        <f t="shared" si="25"/>
        <v>Normal</v>
      </c>
      <c r="K436" t="str">
        <f t="shared" si="26"/>
        <v/>
      </c>
    </row>
    <row r="437" spans="1:11" x14ac:dyDescent="0.25">
      <c r="A437">
        <v>5186</v>
      </c>
      <c r="B437">
        <v>137.504490052958</v>
      </c>
      <c r="C437">
        <v>33.292388668443202</v>
      </c>
      <c r="D437">
        <v>435</v>
      </c>
      <c r="E437">
        <f>VLOOKUP(A437, Athletes_Map!A:B, 2, FALSE)</f>
        <v>413</v>
      </c>
      <c r="F437" t="str">
        <f>VLOOKUP(A437, Athletes_Map!A:C, 3, FALSE)</f>
        <v>Player 413</v>
      </c>
      <c r="G437">
        <v>93</v>
      </c>
      <c r="H437">
        <f t="shared" si="27"/>
        <v>2</v>
      </c>
      <c r="I437" t="str">
        <f t="shared" si="24"/>
        <v>Normal</v>
      </c>
      <c r="J437" t="str">
        <f t="shared" si="25"/>
        <v>Normal</v>
      </c>
      <c r="K437" t="str">
        <f t="shared" si="26"/>
        <v/>
      </c>
    </row>
    <row r="438" spans="1:11" x14ac:dyDescent="0.25">
      <c r="A438">
        <v>5188</v>
      </c>
      <c r="B438">
        <v>131.541078801531</v>
      </c>
      <c r="C438">
        <v>30.909333968837601</v>
      </c>
      <c r="D438">
        <v>436</v>
      </c>
      <c r="E438">
        <f>VLOOKUP(A438, Athletes_Map!A:B, 2, FALSE)</f>
        <v>414</v>
      </c>
      <c r="F438" t="str">
        <f>VLOOKUP(A438, Athletes_Map!A:C, 3, FALSE)</f>
        <v>Player 414</v>
      </c>
      <c r="G438">
        <v>96</v>
      </c>
      <c r="H438">
        <f t="shared" si="27"/>
        <v>2</v>
      </c>
      <c r="I438" t="str">
        <f t="shared" si="24"/>
        <v>Normal</v>
      </c>
      <c r="J438" t="str">
        <f t="shared" si="25"/>
        <v>Normal</v>
      </c>
      <c r="K438" t="str">
        <f t="shared" si="26"/>
        <v/>
      </c>
    </row>
    <row r="439" spans="1:11" x14ac:dyDescent="0.25">
      <c r="A439">
        <v>5199</v>
      </c>
      <c r="B439">
        <v>135.92873096312201</v>
      </c>
      <c r="C439">
        <v>32.613566214609499</v>
      </c>
      <c r="D439">
        <v>437</v>
      </c>
      <c r="E439">
        <f>VLOOKUP(A439, Athletes_Map!A:B, 2, FALSE)</f>
        <v>415</v>
      </c>
      <c r="F439" t="str">
        <f>VLOOKUP(A439, Athletes_Map!A:C, 3, FALSE)</f>
        <v>Player 415</v>
      </c>
      <c r="G439">
        <v>93</v>
      </c>
      <c r="H439">
        <f t="shared" si="27"/>
        <v>2</v>
      </c>
      <c r="I439" t="str">
        <f t="shared" si="24"/>
        <v>Normal</v>
      </c>
      <c r="J439" t="str">
        <f t="shared" si="25"/>
        <v>Normal</v>
      </c>
      <c r="K439" t="str">
        <f t="shared" si="26"/>
        <v/>
      </c>
    </row>
    <row r="440" spans="1:11" x14ac:dyDescent="0.25">
      <c r="A440">
        <v>5206</v>
      </c>
      <c r="B440">
        <v>167.14691152039899</v>
      </c>
      <c r="C440">
        <v>32.672946334365797</v>
      </c>
      <c r="D440">
        <v>438</v>
      </c>
      <c r="E440">
        <f>VLOOKUP(A440, Athletes_Map!A:B, 2, FALSE)</f>
        <v>416</v>
      </c>
      <c r="F440" t="str">
        <f>VLOOKUP(A440, Athletes_Map!A:C, 3, FALSE)</f>
        <v>Player 416</v>
      </c>
      <c r="G440">
        <v>91</v>
      </c>
      <c r="H440">
        <f t="shared" si="27"/>
        <v>3</v>
      </c>
      <c r="I440" t="str">
        <f t="shared" si="24"/>
        <v>Alert</v>
      </c>
      <c r="J440" t="str">
        <f t="shared" si="25"/>
        <v>Heart Rate</v>
      </c>
      <c r="K440">
        <f t="shared" si="26"/>
        <v>167.14691152039899</v>
      </c>
    </row>
    <row r="441" spans="1:11" x14ac:dyDescent="0.25">
      <c r="A441">
        <v>5208</v>
      </c>
      <c r="B441">
        <v>147.965608676877</v>
      </c>
      <c r="C441">
        <v>33.616875062909699</v>
      </c>
      <c r="D441">
        <v>439</v>
      </c>
      <c r="E441">
        <f>VLOOKUP(A441, Athletes_Map!A:B, 2, FALSE)</f>
        <v>417</v>
      </c>
      <c r="F441" t="str">
        <f>VLOOKUP(A441, Athletes_Map!A:C, 3, FALSE)</f>
        <v>Player 417</v>
      </c>
      <c r="G441">
        <v>94</v>
      </c>
      <c r="H441">
        <f t="shared" si="27"/>
        <v>2</v>
      </c>
      <c r="I441" t="str">
        <f t="shared" si="24"/>
        <v>Normal</v>
      </c>
      <c r="J441" t="str">
        <f t="shared" si="25"/>
        <v>Normal</v>
      </c>
      <c r="K441" t="str">
        <f t="shared" si="26"/>
        <v/>
      </c>
    </row>
    <row r="442" spans="1:11" x14ac:dyDescent="0.25">
      <c r="A442">
        <v>5212</v>
      </c>
      <c r="B442">
        <v>157.968914183935</v>
      </c>
      <c r="C442">
        <v>32.873017491002699</v>
      </c>
      <c r="D442">
        <v>440</v>
      </c>
      <c r="E442">
        <f>VLOOKUP(A442, Athletes_Map!A:B, 2, FALSE)</f>
        <v>418</v>
      </c>
      <c r="F442" t="str">
        <f>VLOOKUP(A442, Athletes_Map!A:C, 3, FALSE)</f>
        <v>Player 418</v>
      </c>
      <c r="G442">
        <v>94</v>
      </c>
      <c r="H442">
        <f t="shared" si="27"/>
        <v>3</v>
      </c>
      <c r="I442" t="str">
        <f t="shared" si="24"/>
        <v>Alert</v>
      </c>
      <c r="J442" t="str">
        <f t="shared" si="25"/>
        <v>Heart Rate</v>
      </c>
      <c r="K442">
        <f t="shared" si="26"/>
        <v>157.968914183935</v>
      </c>
    </row>
    <row r="443" spans="1:11" x14ac:dyDescent="0.25">
      <c r="A443">
        <v>5218</v>
      </c>
      <c r="B443">
        <v>122.25225745386901</v>
      </c>
      <c r="C443">
        <v>34.555275674137597</v>
      </c>
      <c r="D443">
        <v>441</v>
      </c>
      <c r="E443">
        <f>VLOOKUP(A443, Athletes_Map!A:B, 2, FALSE)</f>
        <v>419</v>
      </c>
      <c r="F443" t="str">
        <f>VLOOKUP(A443, Athletes_Map!A:C, 3, FALSE)</f>
        <v>Player 419</v>
      </c>
      <c r="G443">
        <v>93</v>
      </c>
      <c r="H443">
        <f t="shared" si="27"/>
        <v>2</v>
      </c>
      <c r="I443" t="str">
        <f t="shared" si="24"/>
        <v>Normal</v>
      </c>
      <c r="J443" t="str">
        <f t="shared" si="25"/>
        <v>Normal</v>
      </c>
      <c r="K443" t="str">
        <f t="shared" si="26"/>
        <v/>
      </c>
    </row>
    <row r="444" spans="1:11" x14ac:dyDescent="0.25">
      <c r="A444">
        <v>5225</v>
      </c>
      <c r="B444">
        <v>109.914211536615</v>
      </c>
      <c r="C444">
        <v>32.640981873087</v>
      </c>
      <c r="D444">
        <v>442</v>
      </c>
      <c r="E444">
        <f>VLOOKUP(A444, Athletes_Map!A:B, 2, FALSE)</f>
        <v>420</v>
      </c>
      <c r="F444" t="str">
        <f>VLOOKUP(A444, Athletes_Map!A:C, 3, FALSE)</f>
        <v>Player 420</v>
      </c>
      <c r="G444">
        <v>98</v>
      </c>
      <c r="H444">
        <f t="shared" si="27"/>
        <v>1</v>
      </c>
      <c r="I444" t="str">
        <f t="shared" si="24"/>
        <v>Normal</v>
      </c>
      <c r="J444" t="str">
        <f t="shared" si="25"/>
        <v>Normal</v>
      </c>
      <c r="K444" t="str">
        <f t="shared" si="26"/>
        <v/>
      </c>
    </row>
    <row r="445" spans="1:11" x14ac:dyDescent="0.25">
      <c r="A445">
        <v>5227</v>
      </c>
      <c r="B445">
        <v>146.64195406937199</v>
      </c>
      <c r="C445">
        <v>34.2891996057242</v>
      </c>
      <c r="D445">
        <v>443</v>
      </c>
      <c r="E445">
        <f>VLOOKUP(A445, Athletes_Map!A:B, 2, FALSE)</f>
        <v>421</v>
      </c>
      <c r="F445" t="str">
        <f>VLOOKUP(A445, Athletes_Map!A:C, 3, FALSE)</f>
        <v>Player 421</v>
      </c>
      <c r="G445">
        <v>94</v>
      </c>
      <c r="H445">
        <f t="shared" si="27"/>
        <v>2</v>
      </c>
      <c r="I445" t="str">
        <f t="shared" si="24"/>
        <v>Normal</v>
      </c>
      <c r="J445" t="str">
        <f t="shared" si="25"/>
        <v>Normal</v>
      </c>
      <c r="K445" t="str">
        <f t="shared" si="26"/>
        <v/>
      </c>
    </row>
    <row r="446" spans="1:11" x14ac:dyDescent="0.25">
      <c r="A446">
        <v>5234</v>
      </c>
      <c r="B446">
        <v>127.54333695816401</v>
      </c>
      <c r="C446">
        <v>33.342963944153603</v>
      </c>
      <c r="D446">
        <v>444</v>
      </c>
      <c r="E446">
        <f>VLOOKUP(A446, Athletes_Map!A:B, 2, FALSE)</f>
        <v>422</v>
      </c>
      <c r="F446" t="str">
        <f>VLOOKUP(A446, Athletes_Map!A:C, 3, FALSE)</f>
        <v>Player 422</v>
      </c>
      <c r="G446">
        <v>94</v>
      </c>
      <c r="H446">
        <f t="shared" si="27"/>
        <v>2</v>
      </c>
      <c r="I446" t="str">
        <f t="shared" si="24"/>
        <v>Normal</v>
      </c>
      <c r="J446" t="str">
        <f t="shared" si="25"/>
        <v>Normal</v>
      </c>
      <c r="K446" t="str">
        <f t="shared" si="26"/>
        <v/>
      </c>
    </row>
    <row r="447" spans="1:11" x14ac:dyDescent="0.25">
      <c r="A447">
        <v>5243</v>
      </c>
      <c r="B447">
        <v>154.714599913597</v>
      </c>
      <c r="C447">
        <v>32.958539251255203</v>
      </c>
      <c r="D447">
        <v>445</v>
      </c>
      <c r="E447">
        <f>VLOOKUP(A447, Athletes_Map!A:B, 2, FALSE)</f>
        <v>423</v>
      </c>
      <c r="F447" t="str">
        <f>VLOOKUP(A447, Athletes_Map!A:C, 3, FALSE)</f>
        <v>Player 423</v>
      </c>
      <c r="G447">
        <v>94</v>
      </c>
      <c r="H447">
        <f t="shared" si="27"/>
        <v>3</v>
      </c>
      <c r="I447" t="str">
        <f t="shared" si="24"/>
        <v>Alert</v>
      </c>
      <c r="J447" t="str">
        <f t="shared" si="25"/>
        <v>Heart Rate</v>
      </c>
      <c r="K447">
        <f t="shared" si="26"/>
        <v>154.714599913597</v>
      </c>
    </row>
    <row r="448" spans="1:11" x14ac:dyDescent="0.25">
      <c r="A448">
        <v>5249</v>
      </c>
      <c r="B448">
        <v>158.454580385187</v>
      </c>
      <c r="C448">
        <v>33.538362917417402</v>
      </c>
      <c r="D448">
        <v>446</v>
      </c>
      <c r="E448">
        <f>VLOOKUP(A448, Athletes_Map!A:B, 2, FALSE)</f>
        <v>424</v>
      </c>
      <c r="F448" t="str">
        <f>VLOOKUP(A448, Athletes_Map!A:C, 3, FALSE)</f>
        <v>Player 424</v>
      </c>
      <c r="G448">
        <v>90</v>
      </c>
      <c r="H448">
        <f t="shared" si="27"/>
        <v>3</v>
      </c>
      <c r="I448" t="str">
        <f t="shared" si="24"/>
        <v>Alert</v>
      </c>
      <c r="J448" t="str">
        <f t="shared" si="25"/>
        <v>Heart Rate</v>
      </c>
      <c r="K448">
        <f t="shared" si="26"/>
        <v>158.454580385187</v>
      </c>
    </row>
    <row r="449" spans="1:11" x14ac:dyDescent="0.25">
      <c r="A449">
        <v>5261</v>
      </c>
      <c r="B449">
        <v>137.973349144042</v>
      </c>
      <c r="C449">
        <v>33.5676459385922</v>
      </c>
      <c r="D449">
        <v>447</v>
      </c>
      <c r="E449">
        <f>VLOOKUP(A449, Athletes_Map!A:B, 2, FALSE)</f>
        <v>425</v>
      </c>
      <c r="F449" t="str">
        <f>VLOOKUP(A449, Athletes_Map!A:C, 3, FALSE)</f>
        <v>Player 425</v>
      </c>
      <c r="G449">
        <v>96</v>
      </c>
      <c r="H449">
        <f t="shared" si="27"/>
        <v>2</v>
      </c>
      <c r="I449" t="str">
        <f t="shared" si="24"/>
        <v>Normal</v>
      </c>
      <c r="J449" t="str">
        <f t="shared" si="25"/>
        <v>Normal</v>
      </c>
      <c r="K449" t="str">
        <f t="shared" si="26"/>
        <v/>
      </c>
    </row>
    <row r="450" spans="1:11" x14ac:dyDescent="0.25">
      <c r="A450">
        <v>5268</v>
      </c>
      <c r="B450">
        <v>145.86596058072701</v>
      </c>
      <c r="C450">
        <v>31.836307536438301</v>
      </c>
      <c r="D450">
        <v>448</v>
      </c>
      <c r="E450">
        <f>VLOOKUP(A450, Athletes_Map!A:B, 2, FALSE)</f>
        <v>426</v>
      </c>
      <c r="F450" t="str">
        <f>VLOOKUP(A450, Athletes_Map!A:C, 3, FALSE)</f>
        <v>Player 426</v>
      </c>
      <c r="G450">
        <v>91</v>
      </c>
      <c r="H450">
        <f t="shared" si="27"/>
        <v>3</v>
      </c>
      <c r="I450" t="str">
        <f t="shared" ref="I450:I513" si="28">IF(H450=3, "Alert", "Normal")</f>
        <v>Alert</v>
      </c>
      <c r="J450" t="str">
        <f t="shared" ref="J450:J513" si="29">IF(B450&gt;150,"Heart Rate",
IF(C450&gt;37.5,"Temperature",
IF(G450&lt;92,"Oxygen","Normal")))</f>
        <v>Oxygen</v>
      </c>
      <c r="K450">
        <f t="shared" ref="K450:K513" si="30">IF(J450="Heart Rate",B450,IF(J450="Temperature",C450,IF(J450="Oxygen",G450,"")))</f>
        <v>91</v>
      </c>
    </row>
    <row r="451" spans="1:11" x14ac:dyDescent="0.25">
      <c r="A451">
        <v>5282</v>
      </c>
      <c r="B451">
        <v>122.74422619031201</v>
      </c>
      <c r="C451">
        <v>32.5537705412656</v>
      </c>
      <c r="D451">
        <v>449</v>
      </c>
      <c r="E451">
        <f>VLOOKUP(A451, Athletes_Map!A:B, 2, FALSE)</f>
        <v>427</v>
      </c>
      <c r="F451" t="str">
        <f>VLOOKUP(A451, Athletes_Map!A:C, 3, FALSE)</f>
        <v>Player 427</v>
      </c>
      <c r="G451">
        <v>93</v>
      </c>
      <c r="H451">
        <f t="shared" ref="H451:H514" si="31">IF(OR(B451&gt;150, C451&gt;37.5, G451&lt;92), 3,
IF(OR(B451&gt;120, C451&gt;37, G451&lt;94), 2,
1))</f>
        <v>2</v>
      </c>
      <c r="I451" t="str">
        <f t="shared" si="28"/>
        <v>Normal</v>
      </c>
      <c r="J451" t="str">
        <f t="shared" si="29"/>
        <v>Normal</v>
      </c>
      <c r="K451" t="str">
        <f t="shared" si="30"/>
        <v/>
      </c>
    </row>
    <row r="452" spans="1:11" x14ac:dyDescent="0.25">
      <c r="A452">
        <v>5289</v>
      </c>
      <c r="B452">
        <v>143.89205336440199</v>
      </c>
      <c r="C452">
        <v>33.464845776759503</v>
      </c>
      <c r="D452">
        <v>450</v>
      </c>
      <c r="E452">
        <f>VLOOKUP(A452, Athletes_Map!A:B, 2, FALSE)</f>
        <v>428</v>
      </c>
      <c r="F452" t="str">
        <f>VLOOKUP(A452, Athletes_Map!A:C, 3, FALSE)</f>
        <v>Player 428</v>
      </c>
      <c r="G452">
        <v>91</v>
      </c>
      <c r="H452">
        <f t="shared" si="31"/>
        <v>3</v>
      </c>
      <c r="I452" t="str">
        <f t="shared" si="28"/>
        <v>Alert</v>
      </c>
      <c r="J452" t="str">
        <f t="shared" si="29"/>
        <v>Oxygen</v>
      </c>
      <c r="K452">
        <f t="shared" si="30"/>
        <v>91</v>
      </c>
    </row>
    <row r="453" spans="1:11" x14ac:dyDescent="0.25">
      <c r="A453">
        <v>5297</v>
      </c>
      <c r="B453">
        <v>100.948327915243</v>
      </c>
      <c r="C453">
        <v>33.174076495151198</v>
      </c>
      <c r="D453">
        <v>451</v>
      </c>
      <c r="E453">
        <f>VLOOKUP(A453, Athletes_Map!A:B, 2, FALSE)</f>
        <v>429</v>
      </c>
      <c r="F453" t="str">
        <f>VLOOKUP(A453, Athletes_Map!A:C, 3, FALSE)</f>
        <v>Player 429</v>
      </c>
      <c r="G453">
        <v>96</v>
      </c>
      <c r="H453">
        <f t="shared" si="31"/>
        <v>1</v>
      </c>
      <c r="I453" t="str">
        <f t="shared" si="28"/>
        <v>Normal</v>
      </c>
      <c r="J453" t="str">
        <f t="shared" si="29"/>
        <v>Normal</v>
      </c>
      <c r="K453" t="str">
        <f t="shared" si="30"/>
        <v/>
      </c>
    </row>
    <row r="454" spans="1:11" x14ac:dyDescent="0.25">
      <c r="A454">
        <v>5300</v>
      </c>
      <c r="B454">
        <v>123.46979198546499</v>
      </c>
      <c r="C454">
        <v>33.4850554383328</v>
      </c>
      <c r="D454">
        <v>452</v>
      </c>
      <c r="E454">
        <f>VLOOKUP(A454, Athletes_Map!A:B, 2, FALSE)</f>
        <v>430</v>
      </c>
      <c r="F454" t="str">
        <f>VLOOKUP(A454, Athletes_Map!A:C, 3, FALSE)</f>
        <v>Player 430</v>
      </c>
      <c r="G454">
        <v>96</v>
      </c>
      <c r="H454">
        <f t="shared" si="31"/>
        <v>2</v>
      </c>
      <c r="I454" t="str">
        <f t="shared" si="28"/>
        <v>Normal</v>
      </c>
      <c r="J454" t="str">
        <f t="shared" si="29"/>
        <v>Normal</v>
      </c>
      <c r="K454" t="str">
        <f t="shared" si="30"/>
        <v/>
      </c>
    </row>
    <row r="455" spans="1:11" x14ac:dyDescent="0.25">
      <c r="A455">
        <v>5312</v>
      </c>
      <c r="B455">
        <v>108.319490101635</v>
      </c>
      <c r="C455">
        <v>33.316260974345703</v>
      </c>
      <c r="D455">
        <v>453</v>
      </c>
      <c r="E455">
        <f>VLOOKUP(A455, Athletes_Map!A:B, 2, FALSE)</f>
        <v>431</v>
      </c>
      <c r="F455" t="str">
        <f>VLOOKUP(A455, Athletes_Map!A:C, 3, FALSE)</f>
        <v>Player 431</v>
      </c>
      <c r="G455">
        <v>98</v>
      </c>
      <c r="H455">
        <f t="shared" si="31"/>
        <v>1</v>
      </c>
      <c r="I455" t="str">
        <f t="shared" si="28"/>
        <v>Normal</v>
      </c>
      <c r="J455" t="str">
        <f t="shared" si="29"/>
        <v>Normal</v>
      </c>
      <c r="K455" t="str">
        <f t="shared" si="30"/>
        <v/>
      </c>
    </row>
    <row r="456" spans="1:11" x14ac:dyDescent="0.25">
      <c r="A456">
        <v>5324</v>
      </c>
      <c r="B456">
        <v>160.795055081654</v>
      </c>
      <c r="C456">
        <v>31.138185301129202</v>
      </c>
      <c r="D456">
        <v>454</v>
      </c>
      <c r="E456">
        <f>VLOOKUP(A456, Athletes_Map!A:B, 2, FALSE)</f>
        <v>432</v>
      </c>
      <c r="F456" t="str">
        <f>VLOOKUP(A456, Athletes_Map!A:C, 3, FALSE)</f>
        <v>Player 432</v>
      </c>
      <c r="G456">
        <v>90</v>
      </c>
      <c r="H456">
        <f t="shared" si="31"/>
        <v>3</v>
      </c>
      <c r="I456" t="str">
        <f t="shared" si="28"/>
        <v>Alert</v>
      </c>
      <c r="J456" t="str">
        <f t="shared" si="29"/>
        <v>Heart Rate</v>
      </c>
      <c r="K456">
        <f t="shared" si="30"/>
        <v>160.795055081654</v>
      </c>
    </row>
    <row r="457" spans="1:11" x14ac:dyDescent="0.25">
      <c r="A457">
        <v>5330</v>
      </c>
      <c r="B457">
        <v>152.068311175606</v>
      </c>
      <c r="C457">
        <v>32.145632127289197</v>
      </c>
      <c r="D457">
        <v>455</v>
      </c>
      <c r="E457">
        <f>VLOOKUP(A457, Athletes_Map!A:B, 2, FALSE)</f>
        <v>433</v>
      </c>
      <c r="F457" t="str">
        <f>VLOOKUP(A457, Athletes_Map!A:C, 3, FALSE)</f>
        <v>Player 433</v>
      </c>
      <c r="G457">
        <v>94</v>
      </c>
      <c r="H457">
        <f t="shared" si="31"/>
        <v>3</v>
      </c>
      <c r="I457" t="str">
        <f t="shared" si="28"/>
        <v>Alert</v>
      </c>
      <c r="J457" t="str">
        <f t="shared" si="29"/>
        <v>Heart Rate</v>
      </c>
      <c r="K457">
        <f t="shared" si="30"/>
        <v>152.068311175606</v>
      </c>
    </row>
    <row r="458" spans="1:11" x14ac:dyDescent="0.25">
      <c r="A458">
        <v>5360</v>
      </c>
      <c r="B458">
        <v>131.53856351432199</v>
      </c>
      <c r="C458">
        <v>31.177307009891901</v>
      </c>
      <c r="D458">
        <v>456</v>
      </c>
      <c r="E458">
        <f>VLOOKUP(A458, Athletes_Map!A:B, 2, FALSE)</f>
        <v>434</v>
      </c>
      <c r="F458" t="str">
        <f>VLOOKUP(A458, Athletes_Map!A:C, 3, FALSE)</f>
        <v>Player 434</v>
      </c>
      <c r="G458">
        <v>95</v>
      </c>
      <c r="H458">
        <f t="shared" si="31"/>
        <v>2</v>
      </c>
      <c r="I458" t="str">
        <f t="shared" si="28"/>
        <v>Normal</v>
      </c>
      <c r="J458" t="str">
        <f t="shared" si="29"/>
        <v>Normal</v>
      </c>
      <c r="K458" t="str">
        <f t="shared" si="30"/>
        <v/>
      </c>
    </row>
    <row r="459" spans="1:11" x14ac:dyDescent="0.25">
      <c r="A459">
        <v>5363</v>
      </c>
      <c r="B459">
        <v>146.156206127037</v>
      </c>
      <c r="C459">
        <v>33.4601220376843</v>
      </c>
      <c r="D459">
        <v>457</v>
      </c>
      <c r="E459">
        <f>VLOOKUP(A459, Athletes_Map!A:B, 2, FALSE)</f>
        <v>435</v>
      </c>
      <c r="F459" t="str">
        <f>VLOOKUP(A459, Athletes_Map!A:C, 3, FALSE)</f>
        <v>Player 435</v>
      </c>
      <c r="G459">
        <v>90</v>
      </c>
      <c r="H459">
        <f t="shared" si="31"/>
        <v>3</v>
      </c>
      <c r="I459" t="str">
        <f t="shared" si="28"/>
        <v>Alert</v>
      </c>
      <c r="J459" t="str">
        <f t="shared" si="29"/>
        <v>Oxygen</v>
      </c>
      <c r="K459">
        <f t="shared" si="30"/>
        <v>90</v>
      </c>
    </row>
    <row r="460" spans="1:11" x14ac:dyDescent="0.25">
      <c r="A460">
        <v>5380</v>
      </c>
      <c r="B460">
        <v>149.65280154431099</v>
      </c>
      <c r="C460">
        <v>34.481702296853697</v>
      </c>
      <c r="D460">
        <v>458</v>
      </c>
      <c r="E460">
        <f>VLOOKUP(A460, Athletes_Map!A:B, 2, FALSE)</f>
        <v>436</v>
      </c>
      <c r="F460" t="str">
        <f>VLOOKUP(A460, Athletes_Map!A:C, 3, FALSE)</f>
        <v>Player 436</v>
      </c>
      <c r="G460">
        <v>91</v>
      </c>
      <c r="H460">
        <f t="shared" si="31"/>
        <v>3</v>
      </c>
      <c r="I460" t="str">
        <f t="shared" si="28"/>
        <v>Alert</v>
      </c>
      <c r="J460" t="str">
        <f t="shared" si="29"/>
        <v>Oxygen</v>
      </c>
      <c r="K460">
        <f t="shared" si="30"/>
        <v>91</v>
      </c>
    </row>
    <row r="461" spans="1:11" x14ac:dyDescent="0.25">
      <c r="A461">
        <v>5380</v>
      </c>
      <c r="B461">
        <v>113.649341714914</v>
      </c>
      <c r="C461">
        <v>30</v>
      </c>
      <c r="D461">
        <v>459</v>
      </c>
      <c r="E461">
        <f>VLOOKUP(A461, Athletes_Map!A:B, 2, FALSE)</f>
        <v>436</v>
      </c>
      <c r="F461" t="str">
        <f>VLOOKUP(A461, Athletes_Map!A:C, 3, FALSE)</f>
        <v>Player 436</v>
      </c>
      <c r="G461">
        <v>95</v>
      </c>
      <c r="H461">
        <f t="shared" si="31"/>
        <v>1</v>
      </c>
      <c r="I461" t="str">
        <f t="shared" si="28"/>
        <v>Normal</v>
      </c>
      <c r="J461" t="str">
        <f t="shared" si="29"/>
        <v>Normal</v>
      </c>
      <c r="K461" t="str">
        <f t="shared" si="30"/>
        <v/>
      </c>
    </row>
    <row r="462" spans="1:11" x14ac:dyDescent="0.25">
      <c r="A462">
        <v>5389</v>
      </c>
      <c r="B462">
        <v>163.41008495979699</v>
      </c>
      <c r="C462">
        <v>32.561392875617599</v>
      </c>
      <c r="D462">
        <v>460</v>
      </c>
      <c r="E462">
        <f>VLOOKUP(A462, Athletes_Map!A:B, 2, FALSE)</f>
        <v>437</v>
      </c>
      <c r="F462" t="str">
        <f>VLOOKUP(A462, Athletes_Map!A:C, 3, FALSE)</f>
        <v>Player 437</v>
      </c>
      <c r="G462">
        <v>91</v>
      </c>
      <c r="H462">
        <f t="shared" si="31"/>
        <v>3</v>
      </c>
      <c r="I462" t="str">
        <f t="shared" si="28"/>
        <v>Alert</v>
      </c>
      <c r="J462" t="str">
        <f t="shared" si="29"/>
        <v>Heart Rate</v>
      </c>
      <c r="K462">
        <f t="shared" si="30"/>
        <v>163.41008495979699</v>
      </c>
    </row>
    <row r="463" spans="1:11" x14ac:dyDescent="0.25">
      <c r="A463">
        <v>5413</v>
      </c>
      <c r="B463">
        <v>124.654230997992</v>
      </c>
      <c r="C463">
        <v>32.5201211254426</v>
      </c>
      <c r="D463">
        <v>461</v>
      </c>
      <c r="E463">
        <f>VLOOKUP(A463, Athletes_Map!A:B, 2, FALSE)</f>
        <v>438</v>
      </c>
      <c r="F463" t="str">
        <f>VLOOKUP(A463, Athletes_Map!A:C, 3, FALSE)</f>
        <v>Player 438</v>
      </c>
      <c r="G463">
        <v>95</v>
      </c>
      <c r="H463">
        <f t="shared" si="31"/>
        <v>2</v>
      </c>
      <c r="I463" t="str">
        <f t="shared" si="28"/>
        <v>Normal</v>
      </c>
      <c r="J463" t="str">
        <f t="shared" si="29"/>
        <v>Normal</v>
      </c>
      <c r="K463" t="str">
        <f t="shared" si="30"/>
        <v/>
      </c>
    </row>
    <row r="464" spans="1:11" x14ac:dyDescent="0.25">
      <c r="A464">
        <v>5422</v>
      </c>
      <c r="B464">
        <v>138.887686031546</v>
      </c>
      <c r="C464">
        <v>33.054676657370202</v>
      </c>
      <c r="D464">
        <v>462</v>
      </c>
      <c r="E464">
        <f>VLOOKUP(A464, Athletes_Map!A:B, 2, FALSE)</f>
        <v>439</v>
      </c>
      <c r="F464" t="str">
        <f>VLOOKUP(A464, Athletes_Map!A:C, 3, FALSE)</f>
        <v>Player 439</v>
      </c>
      <c r="G464">
        <v>93</v>
      </c>
      <c r="H464">
        <f t="shared" si="31"/>
        <v>2</v>
      </c>
      <c r="I464" t="str">
        <f t="shared" si="28"/>
        <v>Normal</v>
      </c>
      <c r="J464" t="str">
        <f t="shared" si="29"/>
        <v>Normal</v>
      </c>
      <c r="K464" t="str">
        <f t="shared" si="30"/>
        <v/>
      </c>
    </row>
    <row r="465" spans="1:11" x14ac:dyDescent="0.25">
      <c r="A465">
        <v>5426</v>
      </c>
      <c r="B465">
        <v>112.418964575655</v>
      </c>
      <c r="C465">
        <v>32.527764172836299</v>
      </c>
      <c r="D465">
        <v>463</v>
      </c>
      <c r="E465">
        <f>VLOOKUP(A465, Athletes_Map!A:B, 2, FALSE)</f>
        <v>440</v>
      </c>
      <c r="F465" t="str">
        <f>VLOOKUP(A465, Athletes_Map!A:C, 3, FALSE)</f>
        <v>Player 440</v>
      </c>
      <c r="G465">
        <v>95</v>
      </c>
      <c r="H465">
        <f t="shared" si="31"/>
        <v>1</v>
      </c>
      <c r="I465" t="str">
        <f t="shared" si="28"/>
        <v>Normal</v>
      </c>
      <c r="J465" t="str">
        <f t="shared" si="29"/>
        <v>Normal</v>
      </c>
      <c r="K465" t="str">
        <f t="shared" si="30"/>
        <v/>
      </c>
    </row>
    <row r="466" spans="1:11" x14ac:dyDescent="0.25">
      <c r="A466">
        <v>5432</v>
      </c>
      <c r="B466">
        <v>137.73070662165401</v>
      </c>
      <c r="C466">
        <v>32.360729402139697</v>
      </c>
      <c r="D466">
        <v>464</v>
      </c>
      <c r="E466">
        <f>VLOOKUP(A466, Athletes_Map!A:B, 2, FALSE)</f>
        <v>441</v>
      </c>
      <c r="F466" t="str">
        <f>VLOOKUP(A466, Athletes_Map!A:C, 3, FALSE)</f>
        <v>Player 441</v>
      </c>
      <c r="G466">
        <v>96</v>
      </c>
      <c r="H466">
        <f t="shared" si="31"/>
        <v>2</v>
      </c>
      <c r="I466" t="str">
        <f t="shared" si="28"/>
        <v>Normal</v>
      </c>
      <c r="J466" t="str">
        <f t="shared" si="29"/>
        <v>Normal</v>
      </c>
      <c r="K466" t="str">
        <f t="shared" si="30"/>
        <v/>
      </c>
    </row>
    <row r="467" spans="1:11" x14ac:dyDescent="0.25">
      <c r="A467">
        <v>5433</v>
      </c>
      <c r="B467">
        <v>166.54906559526901</v>
      </c>
      <c r="C467">
        <v>31.986070273687801</v>
      </c>
      <c r="D467">
        <v>465</v>
      </c>
      <c r="E467">
        <f>VLOOKUP(A467, Athletes_Map!A:B, 2, FALSE)</f>
        <v>442</v>
      </c>
      <c r="F467" t="str">
        <f>VLOOKUP(A467, Athletes_Map!A:C, 3, FALSE)</f>
        <v>Player 442</v>
      </c>
      <c r="G467">
        <v>92</v>
      </c>
      <c r="H467">
        <f t="shared" si="31"/>
        <v>3</v>
      </c>
      <c r="I467" t="str">
        <f t="shared" si="28"/>
        <v>Alert</v>
      </c>
      <c r="J467" t="str">
        <f t="shared" si="29"/>
        <v>Heart Rate</v>
      </c>
      <c r="K467">
        <f t="shared" si="30"/>
        <v>166.54906559526901</v>
      </c>
    </row>
    <row r="468" spans="1:11" x14ac:dyDescent="0.25">
      <c r="A468">
        <v>5451</v>
      </c>
      <c r="B468">
        <v>136.722877660927</v>
      </c>
      <c r="C468">
        <v>31.704189062662198</v>
      </c>
      <c r="D468">
        <v>466</v>
      </c>
      <c r="E468">
        <f>VLOOKUP(A468, Athletes_Map!A:B, 2, FALSE)</f>
        <v>443</v>
      </c>
      <c r="F468" t="str">
        <f>VLOOKUP(A468, Athletes_Map!A:C, 3, FALSE)</f>
        <v>Player 443</v>
      </c>
      <c r="G468">
        <v>96</v>
      </c>
      <c r="H468">
        <f t="shared" si="31"/>
        <v>2</v>
      </c>
      <c r="I468" t="str">
        <f t="shared" si="28"/>
        <v>Normal</v>
      </c>
      <c r="J468" t="str">
        <f t="shared" si="29"/>
        <v>Normal</v>
      </c>
      <c r="K468" t="str">
        <f t="shared" si="30"/>
        <v/>
      </c>
    </row>
    <row r="469" spans="1:11" x14ac:dyDescent="0.25">
      <c r="A469">
        <v>5452</v>
      </c>
      <c r="B469">
        <v>125.64597597376201</v>
      </c>
      <c r="C469">
        <v>31.572921041907399</v>
      </c>
      <c r="D469">
        <v>467</v>
      </c>
      <c r="E469">
        <f>VLOOKUP(A469, Athletes_Map!A:B, 2, FALSE)</f>
        <v>444</v>
      </c>
      <c r="F469" t="str">
        <f>VLOOKUP(A469, Athletes_Map!A:C, 3, FALSE)</f>
        <v>Player 444</v>
      </c>
      <c r="G469">
        <v>96</v>
      </c>
      <c r="H469">
        <f t="shared" si="31"/>
        <v>2</v>
      </c>
      <c r="I469" t="str">
        <f t="shared" si="28"/>
        <v>Normal</v>
      </c>
      <c r="J469" t="str">
        <f t="shared" si="29"/>
        <v>Normal</v>
      </c>
      <c r="K469" t="str">
        <f t="shared" si="30"/>
        <v/>
      </c>
    </row>
    <row r="470" spans="1:11" x14ac:dyDescent="0.25">
      <c r="A470">
        <v>5465</v>
      </c>
      <c r="B470">
        <v>114.544148696031</v>
      </c>
      <c r="C470">
        <v>33.962554150341703</v>
      </c>
      <c r="D470">
        <v>468</v>
      </c>
      <c r="E470">
        <f>VLOOKUP(A470, Athletes_Map!A:B, 2, FALSE)</f>
        <v>445</v>
      </c>
      <c r="F470" t="str">
        <f>VLOOKUP(A470, Athletes_Map!A:C, 3, FALSE)</f>
        <v>Player 445</v>
      </c>
      <c r="G470">
        <v>94</v>
      </c>
      <c r="H470">
        <f t="shared" si="31"/>
        <v>1</v>
      </c>
      <c r="I470" t="str">
        <f t="shared" si="28"/>
        <v>Normal</v>
      </c>
      <c r="J470" t="str">
        <f t="shared" si="29"/>
        <v>Normal</v>
      </c>
      <c r="K470" t="str">
        <f t="shared" si="30"/>
        <v/>
      </c>
    </row>
    <row r="471" spans="1:11" x14ac:dyDescent="0.25">
      <c r="A471">
        <v>5468</v>
      </c>
      <c r="B471">
        <v>114.704865386142</v>
      </c>
      <c r="C471">
        <v>33.8384265762204</v>
      </c>
      <c r="D471">
        <v>469</v>
      </c>
      <c r="E471">
        <f>VLOOKUP(A471, Athletes_Map!A:B, 2, FALSE)</f>
        <v>446</v>
      </c>
      <c r="F471" t="str">
        <f>VLOOKUP(A471, Athletes_Map!A:C, 3, FALSE)</f>
        <v>Player 446</v>
      </c>
      <c r="G471">
        <v>95</v>
      </c>
      <c r="H471">
        <f t="shared" si="31"/>
        <v>1</v>
      </c>
      <c r="I471" t="str">
        <f t="shared" si="28"/>
        <v>Normal</v>
      </c>
      <c r="J471" t="str">
        <f t="shared" si="29"/>
        <v>Normal</v>
      </c>
      <c r="K471" t="str">
        <f t="shared" si="30"/>
        <v/>
      </c>
    </row>
    <row r="472" spans="1:11" x14ac:dyDescent="0.25">
      <c r="A472">
        <v>5488</v>
      </c>
      <c r="B472">
        <v>142.603957020119</v>
      </c>
      <c r="C472">
        <v>31.748906766395301</v>
      </c>
      <c r="D472">
        <v>470</v>
      </c>
      <c r="E472">
        <f>VLOOKUP(A472, Athletes_Map!A:B, 2, FALSE)</f>
        <v>447</v>
      </c>
      <c r="F472" t="str">
        <f>VLOOKUP(A472, Athletes_Map!A:C, 3, FALSE)</f>
        <v>Player 447</v>
      </c>
      <c r="G472">
        <v>94</v>
      </c>
      <c r="H472">
        <f t="shared" si="31"/>
        <v>2</v>
      </c>
      <c r="I472" t="str">
        <f t="shared" si="28"/>
        <v>Normal</v>
      </c>
      <c r="J472" t="str">
        <f t="shared" si="29"/>
        <v>Normal</v>
      </c>
      <c r="K472" t="str">
        <f t="shared" si="30"/>
        <v/>
      </c>
    </row>
    <row r="473" spans="1:11" x14ac:dyDescent="0.25">
      <c r="A473">
        <v>5491</v>
      </c>
      <c r="B473">
        <v>108.53820413184999</v>
      </c>
      <c r="C473">
        <v>32.103692057915801</v>
      </c>
      <c r="D473">
        <v>471</v>
      </c>
      <c r="E473">
        <f>VLOOKUP(A473, Athletes_Map!A:B, 2, FALSE)</f>
        <v>448</v>
      </c>
      <c r="F473" t="str">
        <f>VLOOKUP(A473, Athletes_Map!A:C, 3, FALSE)</f>
        <v>Player 448</v>
      </c>
      <c r="G473">
        <v>96</v>
      </c>
      <c r="H473">
        <f t="shared" si="31"/>
        <v>1</v>
      </c>
      <c r="I473" t="str">
        <f t="shared" si="28"/>
        <v>Normal</v>
      </c>
      <c r="J473" t="str">
        <f t="shared" si="29"/>
        <v>Normal</v>
      </c>
      <c r="K473" t="str">
        <f t="shared" si="30"/>
        <v/>
      </c>
    </row>
    <row r="474" spans="1:11" x14ac:dyDescent="0.25">
      <c r="A474">
        <v>5492</v>
      </c>
      <c r="B474">
        <v>110.44784369726</v>
      </c>
      <c r="C474">
        <v>33.405549033878501</v>
      </c>
      <c r="D474">
        <v>472</v>
      </c>
      <c r="E474">
        <f>VLOOKUP(A474, Athletes_Map!A:B, 2, FALSE)</f>
        <v>449</v>
      </c>
      <c r="F474" t="str">
        <f>VLOOKUP(A474, Athletes_Map!A:C, 3, FALSE)</f>
        <v>Player 449</v>
      </c>
      <c r="G474">
        <v>96</v>
      </c>
      <c r="H474">
        <f t="shared" si="31"/>
        <v>1</v>
      </c>
      <c r="I474" t="str">
        <f t="shared" si="28"/>
        <v>Normal</v>
      </c>
      <c r="J474" t="str">
        <f t="shared" si="29"/>
        <v>Normal</v>
      </c>
      <c r="K474" t="str">
        <f t="shared" si="30"/>
        <v/>
      </c>
    </row>
    <row r="475" spans="1:11" x14ac:dyDescent="0.25">
      <c r="A475">
        <v>5493</v>
      </c>
      <c r="B475">
        <v>138.881799857966</v>
      </c>
      <c r="C475">
        <v>32.928701782472999</v>
      </c>
      <c r="D475">
        <v>473</v>
      </c>
      <c r="E475">
        <f>VLOOKUP(A475, Athletes_Map!A:B, 2, FALSE)</f>
        <v>450</v>
      </c>
      <c r="F475" t="str">
        <f>VLOOKUP(A475, Athletes_Map!A:C, 3, FALSE)</f>
        <v>Player 450</v>
      </c>
      <c r="G475">
        <v>93</v>
      </c>
      <c r="H475">
        <f t="shared" si="31"/>
        <v>2</v>
      </c>
      <c r="I475" t="str">
        <f t="shared" si="28"/>
        <v>Normal</v>
      </c>
      <c r="J475" t="str">
        <f t="shared" si="29"/>
        <v>Normal</v>
      </c>
      <c r="K475" t="str">
        <f t="shared" si="30"/>
        <v/>
      </c>
    </row>
    <row r="476" spans="1:11" x14ac:dyDescent="0.25">
      <c r="A476">
        <v>5495</v>
      </c>
      <c r="B476">
        <v>162.98710873172001</v>
      </c>
      <c r="C476">
        <v>31.963807674041998</v>
      </c>
      <c r="D476">
        <v>474</v>
      </c>
      <c r="E476">
        <f>VLOOKUP(A476, Athletes_Map!A:B, 2, FALSE)</f>
        <v>451</v>
      </c>
      <c r="F476" t="str">
        <f>VLOOKUP(A476, Athletes_Map!A:C, 3, FALSE)</f>
        <v>Player 451</v>
      </c>
      <c r="G476">
        <v>92</v>
      </c>
      <c r="H476">
        <f t="shared" si="31"/>
        <v>3</v>
      </c>
      <c r="I476" t="str">
        <f t="shared" si="28"/>
        <v>Alert</v>
      </c>
      <c r="J476" t="str">
        <f t="shared" si="29"/>
        <v>Heart Rate</v>
      </c>
      <c r="K476">
        <f t="shared" si="30"/>
        <v>162.98710873172001</v>
      </c>
    </row>
    <row r="477" spans="1:11" x14ac:dyDescent="0.25">
      <c r="A477">
        <v>5496</v>
      </c>
      <c r="B477">
        <v>158.900932578496</v>
      </c>
      <c r="C477">
        <v>32.6848085756206</v>
      </c>
      <c r="D477">
        <v>475</v>
      </c>
      <c r="E477">
        <f>VLOOKUP(A477, Athletes_Map!A:B, 2, FALSE)</f>
        <v>452</v>
      </c>
      <c r="F477" t="str">
        <f>VLOOKUP(A477, Athletes_Map!A:C, 3, FALSE)</f>
        <v>Player 452</v>
      </c>
      <c r="G477">
        <v>92</v>
      </c>
      <c r="H477">
        <f t="shared" si="31"/>
        <v>3</v>
      </c>
      <c r="I477" t="str">
        <f t="shared" si="28"/>
        <v>Alert</v>
      </c>
      <c r="J477" t="str">
        <f t="shared" si="29"/>
        <v>Heart Rate</v>
      </c>
      <c r="K477">
        <f t="shared" si="30"/>
        <v>158.900932578496</v>
      </c>
    </row>
    <row r="478" spans="1:11" x14ac:dyDescent="0.25">
      <c r="A478">
        <v>5499</v>
      </c>
      <c r="B478">
        <v>142.373466177458</v>
      </c>
      <c r="C478">
        <v>32.332657503886999</v>
      </c>
      <c r="D478">
        <v>476</v>
      </c>
      <c r="E478">
        <f>VLOOKUP(A478, Athletes_Map!A:B, 2, FALSE)</f>
        <v>453</v>
      </c>
      <c r="F478" t="str">
        <f>VLOOKUP(A478, Athletes_Map!A:C, 3, FALSE)</f>
        <v>Player 453</v>
      </c>
      <c r="G478">
        <v>92</v>
      </c>
      <c r="H478">
        <f t="shared" si="31"/>
        <v>2</v>
      </c>
      <c r="I478" t="str">
        <f t="shared" si="28"/>
        <v>Normal</v>
      </c>
      <c r="J478" t="str">
        <f t="shared" si="29"/>
        <v>Normal</v>
      </c>
      <c r="K478" t="str">
        <f t="shared" si="30"/>
        <v/>
      </c>
    </row>
    <row r="479" spans="1:11" x14ac:dyDescent="0.25">
      <c r="A479">
        <v>5524</v>
      </c>
      <c r="B479">
        <v>161.342301346797</v>
      </c>
      <c r="C479">
        <v>34.778352922123801</v>
      </c>
      <c r="D479">
        <v>477</v>
      </c>
      <c r="E479">
        <f>VLOOKUP(A479, Athletes_Map!A:B, 2, FALSE)</f>
        <v>454</v>
      </c>
      <c r="F479" t="str">
        <f>VLOOKUP(A479, Athletes_Map!A:C, 3, FALSE)</f>
        <v>Player 454</v>
      </c>
      <c r="G479">
        <v>91</v>
      </c>
      <c r="H479">
        <f t="shared" si="31"/>
        <v>3</v>
      </c>
      <c r="I479" t="str">
        <f t="shared" si="28"/>
        <v>Alert</v>
      </c>
      <c r="J479" t="str">
        <f t="shared" si="29"/>
        <v>Heart Rate</v>
      </c>
      <c r="K479">
        <f t="shared" si="30"/>
        <v>161.342301346797</v>
      </c>
    </row>
    <row r="480" spans="1:11" x14ac:dyDescent="0.25">
      <c r="A480">
        <v>5530</v>
      </c>
      <c r="B480">
        <v>116.213292123624</v>
      </c>
      <c r="C480">
        <v>32.2853580777793</v>
      </c>
      <c r="D480">
        <v>478</v>
      </c>
      <c r="E480">
        <f>VLOOKUP(A480, Athletes_Map!A:B, 2, FALSE)</f>
        <v>455</v>
      </c>
      <c r="F480" t="str">
        <f>VLOOKUP(A480, Athletes_Map!A:C, 3, FALSE)</f>
        <v>Player 455</v>
      </c>
      <c r="G480">
        <v>96</v>
      </c>
      <c r="H480">
        <f t="shared" si="31"/>
        <v>1</v>
      </c>
      <c r="I480" t="str">
        <f t="shared" si="28"/>
        <v>Normal</v>
      </c>
      <c r="J480" t="str">
        <f t="shared" si="29"/>
        <v>Normal</v>
      </c>
      <c r="K480" t="str">
        <f t="shared" si="30"/>
        <v/>
      </c>
    </row>
    <row r="481" spans="1:11" x14ac:dyDescent="0.25">
      <c r="A481">
        <v>5544</v>
      </c>
      <c r="B481">
        <v>135.563623147382</v>
      </c>
      <c r="C481">
        <v>32.243970024559303</v>
      </c>
      <c r="D481">
        <v>479</v>
      </c>
      <c r="E481">
        <f>VLOOKUP(A481, Athletes_Map!A:B, 2, FALSE)</f>
        <v>456</v>
      </c>
      <c r="F481" t="str">
        <f>VLOOKUP(A481, Athletes_Map!A:C, 3, FALSE)</f>
        <v>Player 456</v>
      </c>
      <c r="G481">
        <v>94</v>
      </c>
      <c r="H481">
        <f t="shared" si="31"/>
        <v>2</v>
      </c>
      <c r="I481" t="str">
        <f t="shared" si="28"/>
        <v>Normal</v>
      </c>
      <c r="J481" t="str">
        <f t="shared" si="29"/>
        <v>Normal</v>
      </c>
      <c r="K481" t="str">
        <f t="shared" si="30"/>
        <v/>
      </c>
    </row>
    <row r="482" spans="1:11" x14ac:dyDescent="0.25">
      <c r="A482">
        <v>5548</v>
      </c>
      <c r="B482">
        <v>158.38591180891299</v>
      </c>
      <c r="C482">
        <v>30.710397435451998</v>
      </c>
      <c r="D482">
        <v>480</v>
      </c>
      <c r="E482">
        <f>VLOOKUP(A482, Athletes_Map!A:B, 2, FALSE)</f>
        <v>457</v>
      </c>
      <c r="F482" t="str">
        <f>VLOOKUP(A482, Athletes_Map!A:C, 3, FALSE)</f>
        <v>Player 457</v>
      </c>
      <c r="G482">
        <v>92</v>
      </c>
      <c r="H482">
        <f t="shared" si="31"/>
        <v>3</v>
      </c>
      <c r="I482" t="str">
        <f t="shared" si="28"/>
        <v>Alert</v>
      </c>
      <c r="J482" t="str">
        <f t="shared" si="29"/>
        <v>Heart Rate</v>
      </c>
      <c r="K482">
        <f t="shared" si="30"/>
        <v>158.38591180891299</v>
      </c>
    </row>
    <row r="483" spans="1:11" x14ac:dyDescent="0.25">
      <c r="A483">
        <v>5555</v>
      </c>
      <c r="B483">
        <v>113.378733448002</v>
      </c>
      <c r="C483">
        <v>34.461833654105099</v>
      </c>
      <c r="D483">
        <v>481</v>
      </c>
      <c r="E483">
        <f>VLOOKUP(A483, Athletes_Map!A:B, 2, FALSE)</f>
        <v>458</v>
      </c>
      <c r="F483" t="str">
        <f>VLOOKUP(A483, Athletes_Map!A:C, 3, FALSE)</f>
        <v>Player 458</v>
      </c>
      <c r="G483">
        <v>95</v>
      </c>
      <c r="H483">
        <f t="shared" si="31"/>
        <v>1</v>
      </c>
      <c r="I483" t="str">
        <f t="shared" si="28"/>
        <v>Normal</v>
      </c>
      <c r="J483" t="str">
        <f t="shared" si="29"/>
        <v>Normal</v>
      </c>
      <c r="K483" t="str">
        <f t="shared" si="30"/>
        <v/>
      </c>
    </row>
    <row r="484" spans="1:11" x14ac:dyDescent="0.25">
      <c r="A484">
        <v>5555</v>
      </c>
      <c r="B484">
        <v>123.821563054568</v>
      </c>
      <c r="C484">
        <v>34.152365755537701</v>
      </c>
      <c r="D484">
        <v>482</v>
      </c>
      <c r="E484">
        <f>VLOOKUP(A484, Athletes_Map!A:B, 2, FALSE)</f>
        <v>458</v>
      </c>
      <c r="F484" t="str">
        <f>VLOOKUP(A484, Athletes_Map!A:C, 3, FALSE)</f>
        <v>Player 458</v>
      </c>
      <c r="G484">
        <v>94</v>
      </c>
      <c r="H484">
        <f t="shared" si="31"/>
        <v>2</v>
      </c>
      <c r="I484" t="str">
        <f t="shared" si="28"/>
        <v>Normal</v>
      </c>
      <c r="J484" t="str">
        <f t="shared" si="29"/>
        <v>Normal</v>
      </c>
      <c r="K484" t="str">
        <f t="shared" si="30"/>
        <v/>
      </c>
    </row>
    <row r="485" spans="1:11" x14ac:dyDescent="0.25">
      <c r="A485">
        <v>5611</v>
      </c>
      <c r="B485">
        <v>125.12486833677301</v>
      </c>
      <c r="C485">
        <v>33.135768548463602</v>
      </c>
      <c r="D485">
        <v>483</v>
      </c>
      <c r="E485">
        <f>VLOOKUP(A485, Athletes_Map!A:B, 2, FALSE)</f>
        <v>459</v>
      </c>
      <c r="F485" t="str">
        <f>VLOOKUP(A485, Athletes_Map!A:C, 3, FALSE)</f>
        <v>Player 459</v>
      </c>
      <c r="G485">
        <v>96</v>
      </c>
      <c r="H485">
        <f t="shared" si="31"/>
        <v>2</v>
      </c>
      <c r="I485" t="str">
        <f t="shared" si="28"/>
        <v>Normal</v>
      </c>
      <c r="J485" t="str">
        <f t="shared" si="29"/>
        <v>Normal</v>
      </c>
      <c r="K485" t="str">
        <f t="shared" si="30"/>
        <v/>
      </c>
    </row>
    <row r="486" spans="1:11" x14ac:dyDescent="0.25">
      <c r="A486">
        <v>5612</v>
      </c>
      <c r="B486">
        <v>129.57752797914799</v>
      </c>
      <c r="C486">
        <v>33.786484595820198</v>
      </c>
      <c r="D486">
        <v>484</v>
      </c>
      <c r="E486">
        <f>VLOOKUP(A486, Athletes_Map!A:B, 2, FALSE)</f>
        <v>460</v>
      </c>
      <c r="F486" t="str">
        <f>VLOOKUP(A486, Athletes_Map!A:C, 3, FALSE)</f>
        <v>Player 460</v>
      </c>
      <c r="G486">
        <v>95</v>
      </c>
      <c r="H486">
        <f t="shared" si="31"/>
        <v>2</v>
      </c>
      <c r="I486" t="str">
        <f t="shared" si="28"/>
        <v>Normal</v>
      </c>
      <c r="J486" t="str">
        <f t="shared" si="29"/>
        <v>Normal</v>
      </c>
      <c r="K486" t="str">
        <f t="shared" si="30"/>
        <v/>
      </c>
    </row>
    <row r="487" spans="1:11" x14ac:dyDescent="0.25">
      <c r="A487">
        <v>5621</v>
      </c>
      <c r="B487">
        <v>154.920953716116</v>
      </c>
      <c r="C487">
        <v>32.849790685940199</v>
      </c>
      <c r="D487">
        <v>485</v>
      </c>
      <c r="E487">
        <f>VLOOKUP(A487, Athletes_Map!A:B, 2, FALSE)</f>
        <v>461</v>
      </c>
      <c r="F487" t="str">
        <f>VLOOKUP(A487, Athletes_Map!A:C, 3, FALSE)</f>
        <v>Player 461</v>
      </c>
      <c r="G487">
        <v>90</v>
      </c>
      <c r="H487">
        <f t="shared" si="31"/>
        <v>3</v>
      </c>
      <c r="I487" t="str">
        <f t="shared" si="28"/>
        <v>Alert</v>
      </c>
      <c r="J487" t="str">
        <f t="shared" si="29"/>
        <v>Heart Rate</v>
      </c>
      <c r="K487">
        <f t="shared" si="30"/>
        <v>154.920953716116</v>
      </c>
    </row>
    <row r="488" spans="1:11" x14ac:dyDescent="0.25">
      <c r="A488">
        <v>5632</v>
      </c>
      <c r="B488">
        <v>129.463734002221</v>
      </c>
      <c r="C488">
        <v>32.420606891031603</v>
      </c>
      <c r="D488">
        <v>486</v>
      </c>
      <c r="E488">
        <f>VLOOKUP(A488, Athletes_Map!A:B, 2, FALSE)</f>
        <v>462</v>
      </c>
      <c r="F488" t="str">
        <f>VLOOKUP(A488, Athletes_Map!A:C, 3, FALSE)</f>
        <v>Player 462</v>
      </c>
      <c r="G488">
        <v>95</v>
      </c>
      <c r="H488">
        <f t="shared" si="31"/>
        <v>2</v>
      </c>
      <c r="I488" t="str">
        <f t="shared" si="28"/>
        <v>Normal</v>
      </c>
      <c r="J488" t="str">
        <f t="shared" si="29"/>
        <v>Normal</v>
      </c>
      <c r="K488" t="str">
        <f t="shared" si="30"/>
        <v/>
      </c>
    </row>
    <row r="489" spans="1:11" x14ac:dyDescent="0.25">
      <c r="A489">
        <v>5636</v>
      </c>
      <c r="B489">
        <v>136.922415538819</v>
      </c>
      <c r="C489">
        <v>31.539260769335399</v>
      </c>
      <c r="D489">
        <v>487</v>
      </c>
      <c r="E489">
        <f>VLOOKUP(A489, Athletes_Map!A:B, 2, FALSE)</f>
        <v>463</v>
      </c>
      <c r="F489" t="str">
        <f>VLOOKUP(A489, Athletes_Map!A:C, 3, FALSE)</f>
        <v>Player 463</v>
      </c>
      <c r="G489">
        <v>96</v>
      </c>
      <c r="H489">
        <f t="shared" si="31"/>
        <v>2</v>
      </c>
      <c r="I489" t="str">
        <f t="shared" si="28"/>
        <v>Normal</v>
      </c>
      <c r="J489" t="str">
        <f t="shared" si="29"/>
        <v>Normal</v>
      </c>
      <c r="K489" t="str">
        <f t="shared" si="30"/>
        <v/>
      </c>
    </row>
    <row r="490" spans="1:11" x14ac:dyDescent="0.25">
      <c r="A490">
        <v>5637</v>
      </c>
      <c r="B490">
        <v>128.95060627023699</v>
      </c>
      <c r="C490">
        <v>33.6039024776994</v>
      </c>
      <c r="D490">
        <v>488</v>
      </c>
      <c r="E490">
        <f>VLOOKUP(A490, Athletes_Map!A:B, 2, FALSE)</f>
        <v>464</v>
      </c>
      <c r="F490" t="str">
        <f>VLOOKUP(A490, Athletes_Map!A:C, 3, FALSE)</f>
        <v>Player 464</v>
      </c>
      <c r="G490">
        <v>95</v>
      </c>
      <c r="H490">
        <f t="shared" si="31"/>
        <v>2</v>
      </c>
      <c r="I490" t="str">
        <f t="shared" si="28"/>
        <v>Normal</v>
      </c>
      <c r="J490" t="str">
        <f t="shared" si="29"/>
        <v>Normal</v>
      </c>
      <c r="K490" t="str">
        <f t="shared" si="30"/>
        <v/>
      </c>
    </row>
    <row r="491" spans="1:11" x14ac:dyDescent="0.25">
      <c r="A491">
        <v>5642</v>
      </c>
      <c r="B491">
        <v>148.00402355917299</v>
      </c>
      <c r="C491">
        <v>32.283630855934703</v>
      </c>
      <c r="D491">
        <v>489</v>
      </c>
      <c r="E491">
        <f>VLOOKUP(A491, Athletes_Map!A:B, 2, FALSE)</f>
        <v>465</v>
      </c>
      <c r="F491" t="str">
        <f>VLOOKUP(A491, Athletes_Map!A:C, 3, FALSE)</f>
        <v>Player 465</v>
      </c>
      <c r="G491">
        <v>92</v>
      </c>
      <c r="H491">
        <f t="shared" si="31"/>
        <v>2</v>
      </c>
      <c r="I491" t="str">
        <f t="shared" si="28"/>
        <v>Normal</v>
      </c>
      <c r="J491" t="str">
        <f t="shared" si="29"/>
        <v>Normal</v>
      </c>
      <c r="K491" t="str">
        <f t="shared" si="30"/>
        <v/>
      </c>
    </row>
    <row r="492" spans="1:11" x14ac:dyDescent="0.25">
      <c r="A492">
        <v>5658</v>
      </c>
      <c r="B492">
        <v>106.830774072728</v>
      </c>
      <c r="C492">
        <v>31.995695155444398</v>
      </c>
      <c r="D492">
        <v>490</v>
      </c>
      <c r="E492">
        <f>VLOOKUP(A492, Athletes_Map!A:B, 2, FALSE)</f>
        <v>466</v>
      </c>
      <c r="F492" t="str">
        <f>VLOOKUP(A492, Athletes_Map!A:C, 3, FALSE)</f>
        <v>Player 466</v>
      </c>
      <c r="G492">
        <v>97</v>
      </c>
      <c r="H492">
        <f t="shared" si="31"/>
        <v>1</v>
      </c>
      <c r="I492" t="str">
        <f t="shared" si="28"/>
        <v>Normal</v>
      </c>
      <c r="J492" t="str">
        <f t="shared" si="29"/>
        <v>Normal</v>
      </c>
      <c r="K492" t="str">
        <f t="shared" si="30"/>
        <v/>
      </c>
    </row>
    <row r="493" spans="1:11" x14ac:dyDescent="0.25">
      <c r="A493">
        <v>5662</v>
      </c>
      <c r="B493">
        <v>103.736183826066</v>
      </c>
      <c r="C493">
        <v>30.576087201412602</v>
      </c>
      <c r="D493">
        <v>491</v>
      </c>
      <c r="E493">
        <f>VLOOKUP(A493, Athletes_Map!A:B, 2, FALSE)</f>
        <v>467</v>
      </c>
      <c r="F493" t="str">
        <f>VLOOKUP(A493, Athletes_Map!A:C, 3, FALSE)</f>
        <v>Player 467</v>
      </c>
      <c r="G493">
        <v>98</v>
      </c>
      <c r="H493">
        <f t="shared" si="31"/>
        <v>1</v>
      </c>
      <c r="I493" t="str">
        <f t="shared" si="28"/>
        <v>Normal</v>
      </c>
      <c r="J493" t="str">
        <f t="shared" si="29"/>
        <v>Normal</v>
      </c>
      <c r="K493" t="str">
        <f t="shared" si="30"/>
        <v/>
      </c>
    </row>
    <row r="494" spans="1:11" x14ac:dyDescent="0.25">
      <c r="A494">
        <v>5670</v>
      </c>
      <c r="B494">
        <v>137.81772493822399</v>
      </c>
      <c r="C494">
        <v>33.201618408639</v>
      </c>
      <c r="D494">
        <v>492</v>
      </c>
      <c r="E494">
        <f>VLOOKUP(A494, Athletes_Map!A:B, 2, FALSE)</f>
        <v>468</v>
      </c>
      <c r="F494" t="str">
        <f>VLOOKUP(A494, Athletes_Map!A:C, 3, FALSE)</f>
        <v>Player 468</v>
      </c>
      <c r="G494">
        <v>96</v>
      </c>
      <c r="H494">
        <f t="shared" si="31"/>
        <v>2</v>
      </c>
      <c r="I494" t="str">
        <f t="shared" si="28"/>
        <v>Normal</v>
      </c>
      <c r="J494" t="str">
        <f t="shared" si="29"/>
        <v>Normal</v>
      </c>
      <c r="K494" t="str">
        <f t="shared" si="30"/>
        <v/>
      </c>
    </row>
    <row r="495" spans="1:11" x14ac:dyDescent="0.25">
      <c r="A495">
        <v>5673</v>
      </c>
      <c r="B495">
        <v>95.490668672922496</v>
      </c>
      <c r="C495">
        <v>34.243563470486897</v>
      </c>
      <c r="D495">
        <v>493</v>
      </c>
      <c r="E495">
        <f>VLOOKUP(A495, Athletes_Map!A:B, 2, FALSE)</f>
        <v>469</v>
      </c>
      <c r="F495" t="str">
        <f>VLOOKUP(A495, Athletes_Map!A:C, 3, FALSE)</f>
        <v>Player 469</v>
      </c>
      <c r="G495">
        <v>96</v>
      </c>
      <c r="H495">
        <f t="shared" si="31"/>
        <v>1</v>
      </c>
      <c r="I495" t="str">
        <f t="shared" si="28"/>
        <v>Normal</v>
      </c>
      <c r="J495" t="str">
        <f t="shared" si="29"/>
        <v>Normal</v>
      </c>
      <c r="K495" t="str">
        <f t="shared" si="30"/>
        <v/>
      </c>
    </row>
    <row r="496" spans="1:11" x14ac:dyDescent="0.25">
      <c r="A496">
        <v>5719</v>
      </c>
      <c r="B496">
        <v>136.132998497942</v>
      </c>
      <c r="C496">
        <v>32.976151637557997</v>
      </c>
      <c r="D496">
        <v>494</v>
      </c>
      <c r="E496">
        <f>VLOOKUP(A496, Athletes_Map!A:B, 2, FALSE)</f>
        <v>470</v>
      </c>
      <c r="F496" t="str">
        <f>VLOOKUP(A496, Athletes_Map!A:C, 3, FALSE)</f>
        <v>Player 470</v>
      </c>
      <c r="G496">
        <v>96</v>
      </c>
      <c r="H496">
        <f t="shared" si="31"/>
        <v>2</v>
      </c>
      <c r="I496" t="str">
        <f t="shared" si="28"/>
        <v>Normal</v>
      </c>
      <c r="J496" t="str">
        <f t="shared" si="29"/>
        <v>Normal</v>
      </c>
      <c r="K496" t="str">
        <f t="shared" si="30"/>
        <v/>
      </c>
    </row>
    <row r="497" spans="1:11" x14ac:dyDescent="0.25">
      <c r="A497">
        <v>5729</v>
      </c>
      <c r="B497">
        <v>183.79504812678499</v>
      </c>
      <c r="C497">
        <v>33.952582160572497</v>
      </c>
      <c r="D497">
        <v>495</v>
      </c>
      <c r="E497">
        <f>VLOOKUP(A497, Athletes_Map!A:B, 2, FALSE)</f>
        <v>471</v>
      </c>
      <c r="F497" t="str">
        <f>VLOOKUP(A497, Athletes_Map!A:C, 3, FALSE)</f>
        <v>Player 471</v>
      </c>
      <c r="G497">
        <v>93</v>
      </c>
      <c r="H497">
        <f t="shared" si="31"/>
        <v>3</v>
      </c>
      <c r="I497" t="str">
        <f t="shared" si="28"/>
        <v>Alert</v>
      </c>
      <c r="J497" t="str">
        <f t="shared" si="29"/>
        <v>Heart Rate</v>
      </c>
      <c r="K497">
        <f t="shared" si="30"/>
        <v>183.79504812678499</v>
      </c>
    </row>
    <row r="498" spans="1:11" x14ac:dyDescent="0.25">
      <c r="A498">
        <v>5735</v>
      </c>
      <c r="B498">
        <v>104.53626190432399</v>
      </c>
      <c r="C498">
        <v>32.596335665506601</v>
      </c>
      <c r="D498">
        <v>496</v>
      </c>
      <c r="E498">
        <f>VLOOKUP(A498, Athletes_Map!A:B, 2, FALSE)</f>
        <v>472</v>
      </c>
      <c r="F498" t="str">
        <f>VLOOKUP(A498, Athletes_Map!A:C, 3, FALSE)</f>
        <v>Player 472</v>
      </c>
      <c r="G498">
        <v>100</v>
      </c>
      <c r="H498">
        <f t="shared" si="31"/>
        <v>1</v>
      </c>
      <c r="I498" t="str">
        <f t="shared" si="28"/>
        <v>Normal</v>
      </c>
      <c r="J498" t="str">
        <f t="shared" si="29"/>
        <v>Normal</v>
      </c>
      <c r="K498" t="str">
        <f t="shared" si="30"/>
        <v/>
      </c>
    </row>
    <row r="499" spans="1:11" x14ac:dyDescent="0.25">
      <c r="A499">
        <v>5736</v>
      </c>
      <c r="B499">
        <v>124.382624541593</v>
      </c>
      <c r="C499">
        <v>33.210643475494301</v>
      </c>
      <c r="D499">
        <v>497</v>
      </c>
      <c r="E499">
        <f>VLOOKUP(A499, Athletes_Map!A:B, 2, FALSE)</f>
        <v>473</v>
      </c>
      <c r="F499" t="str">
        <f>VLOOKUP(A499, Athletes_Map!A:C, 3, FALSE)</f>
        <v>Player 473</v>
      </c>
      <c r="G499">
        <v>95</v>
      </c>
      <c r="H499">
        <f t="shared" si="31"/>
        <v>2</v>
      </c>
      <c r="I499" t="str">
        <f t="shared" si="28"/>
        <v>Normal</v>
      </c>
      <c r="J499" t="str">
        <f t="shared" si="29"/>
        <v>Normal</v>
      </c>
      <c r="K499" t="str">
        <f t="shared" si="30"/>
        <v/>
      </c>
    </row>
    <row r="500" spans="1:11" x14ac:dyDescent="0.25">
      <c r="A500">
        <v>5737</v>
      </c>
      <c r="B500">
        <v>154.686447969531</v>
      </c>
      <c r="C500">
        <v>31.838345089787701</v>
      </c>
      <c r="D500">
        <v>498</v>
      </c>
      <c r="E500">
        <f>VLOOKUP(A500, Athletes_Map!A:B, 2, FALSE)</f>
        <v>474</v>
      </c>
      <c r="F500" t="str">
        <f>VLOOKUP(A500, Athletes_Map!A:C, 3, FALSE)</f>
        <v>Player 474</v>
      </c>
      <c r="G500">
        <v>92</v>
      </c>
      <c r="H500">
        <f t="shared" si="31"/>
        <v>3</v>
      </c>
      <c r="I500" t="str">
        <f t="shared" si="28"/>
        <v>Alert</v>
      </c>
      <c r="J500" t="str">
        <f t="shared" si="29"/>
        <v>Heart Rate</v>
      </c>
      <c r="K500">
        <f t="shared" si="30"/>
        <v>154.686447969531</v>
      </c>
    </row>
    <row r="501" spans="1:11" x14ac:dyDescent="0.25">
      <c r="A501">
        <v>5748</v>
      </c>
      <c r="B501">
        <v>135.97720140651401</v>
      </c>
      <c r="C501">
        <v>33.132642380968697</v>
      </c>
      <c r="D501">
        <v>499</v>
      </c>
      <c r="E501">
        <f>VLOOKUP(A501, Athletes_Map!A:B, 2, FALSE)</f>
        <v>475</v>
      </c>
      <c r="F501" t="str">
        <f>VLOOKUP(A501, Athletes_Map!A:C, 3, FALSE)</f>
        <v>Player 475</v>
      </c>
      <c r="G501">
        <v>94</v>
      </c>
      <c r="H501">
        <f t="shared" si="31"/>
        <v>2</v>
      </c>
      <c r="I501" t="str">
        <f t="shared" si="28"/>
        <v>Normal</v>
      </c>
      <c r="J501" t="str">
        <f t="shared" si="29"/>
        <v>Normal</v>
      </c>
      <c r="K501" t="str">
        <f t="shared" si="30"/>
        <v/>
      </c>
    </row>
    <row r="502" spans="1:11" x14ac:dyDescent="0.25">
      <c r="A502">
        <v>5752</v>
      </c>
      <c r="B502">
        <v>142.98446245210499</v>
      </c>
      <c r="C502">
        <v>31.618615516136501</v>
      </c>
      <c r="D502">
        <v>500</v>
      </c>
      <c r="E502">
        <f>VLOOKUP(A502, Athletes_Map!A:B, 2, FALSE)</f>
        <v>476</v>
      </c>
      <c r="F502" t="str">
        <f>VLOOKUP(A502, Athletes_Map!A:C, 3, FALSE)</f>
        <v>Player 476</v>
      </c>
      <c r="G502">
        <v>90</v>
      </c>
      <c r="H502">
        <f t="shared" si="31"/>
        <v>3</v>
      </c>
      <c r="I502" t="str">
        <f t="shared" si="28"/>
        <v>Alert</v>
      </c>
      <c r="J502" t="str">
        <f t="shared" si="29"/>
        <v>Oxygen</v>
      </c>
      <c r="K502">
        <f t="shared" si="30"/>
        <v>90</v>
      </c>
    </row>
    <row r="503" spans="1:11" x14ac:dyDescent="0.25">
      <c r="A503">
        <v>5757</v>
      </c>
      <c r="B503">
        <v>135.48438913345501</v>
      </c>
      <c r="C503">
        <v>33.976777032237202</v>
      </c>
      <c r="D503">
        <v>501</v>
      </c>
      <c r="E503">
        <f>VLOOKUP(A503, Athletes_Map!A:B, 2, FALSE)</f>
        <v>477</v>
      </c>
      <c r="F503" t="str">
        <f>VLOOKUP(A503, Athletes_Map!A:C, 3, FALSE)</f>
        <v>Player 477</v>
      </c>
      <c r="G503">
        <v>94</v>
      </c>
      <c r="H503">
        <f t="shared" si="31"/>
        <v>2</v>
      </c>
      <c r="I503" t="str">
        <f t="shared" si="28"/>
        <v>Normal</v>
      </c>
      <c r="J503" t="str">
        <f t="shared" si="29"/>
        <v>Normal</v>
      </c>
      <c r="K503" t="str">
        <f t="shared" si="30"/>
        <v/>
      </c>
    </row>
    <row r="504" spans="1:11" x14ac:dyDescent="0.25">
      <c r="A504">
        <v>5777</v>
      </c>
      <c r="B504">
        <v>176.50521745250501</v>
      </c>
      <c r="C504">
        <v>31.818008249019499</v>
      </c>
      <c r="D504">
        <v>502</v>
      </c>
      <c r="E504">
        <f>VLOOKUP(A504, Athletes_Map!A:B, 2, FALSE)</f>
        <v>478</v>
      </c>
      <c r="F504" t="str">
        <f>VLOOKUP(A504, Athletes_Map!A:C, 3, FALSE)</f>
        <v>Player 478</v>
      </c>
      <c r="G504">
        <v>92</v>
      </c>
      <c r="H504">
        <f t="shared" si="31"/>
        <v>3</v>
      </c>
      <c r="I504" t="str">
        <f t="shared" si="28"/>
        <v>Alert</v>
      </c>
      <c r="J504" t="str">
        <f t="shared" si="29"/>
        <v>Heart Rate</v>
      </c>
      <c r="K504">
        <f t="shared" si="30"/>
        <v>176.50521745250501</v>
      </c>
    </row>
    <row r="505" spans="1:11" x14ac:dyDescent="0.25">
      <c r="A505">
        <v>5777</v>
      </c>
      <c r="B505">
        <v>155.798093747921</v>
      </c>
      <c r="C505">
        <v>35.450483583513403</v>
      </c>
      <c r="D505">
        <v>503</v>
      </c>
      <c r="E505">
        <f>VLOOKUP(A505, Athletes_Map!A:B, 2, FALSE)</f>
        <v>478</v>
      </c>
      <c r="F505" t="str">
        <f>VLOOKUP(A505, Athletes_Map!A:C, 3, FALSE)</f>
        <v>Player 478</v>
      </c>
      <c r="G505">
        <v>93</v>
      </c>
      <c r="H505">
        <f t="shared" si="31"/>
        <v>3</v>
      </c>
      <c r="I505" t="str">
        <f t="shared" si="28"/>
        <v>Alert</v>
      </c>
      <c r="J505" t="str">
        <f t="shared" si="29"/>
        <v>Heart Rate</v>
      </c>
      <c r="K505">
        <f t="shared" si="30"/>
        <v>155.798093747921</v>
      </c>
    </row>
    <row r="506" spans="1:11" x14ac:dyDescent="0.25">
      <c r="A506">
        <v>5780</v>
      </c>
      <c r="B506">
        <v>170.95373053699001</v>
      </c>
      <c r="C506">
        <v>30.506625816172502</v>
      </c>
      <c r="D506">
        <v>504</v>
      </c>
      <c r="E506">
        <f>VLOOKUP(A506, Athletes_Map!A:B, 2, FALSE)</f>
        <v>479</v>
      </c>
      <c r="F506" t="str">
        <f>VLOOKUP(A506, Athletes_Map!A:C, 3, FALSE)</f>
        <v>Player 479</v>
      </c>
      <c r="G506">
        <v>92</v>
      </c>
      <c r="H506">
        <f t="shared" si="31"/>
        <v>3</v>
      </c>
      <c r="I506" t="str">
        <f t="shared" si="28"/>
        <v>Alert</v>
      </c>
      <c r="J506" t="str">
        <f t="shared" si="29"/>
        <v>Heart Rate</v>
      </c>
      <c r="K506">
        <f t="shared" si="30"/>
        <v>170.95373053699001</v>
      </c>
    </row>
    <row r="507" spans="1:11" x14ac:dyDescent="0.25">
      <c r="A507">
        <v>5780</v>
      </c>
      <c r="B507">
        <v>131.50080486609099</v>
      </c>
      <c r="C507">
        <v>31.831053784540298</v>
      </c>
      <c r="D507">
        <v>505</v>
      </c>
      <c r="E507">
        <f>VLOOKUP(A507, Athletes_Map!A:B, 2, FALSE)</f>
        <v>479</v>
      </c>
      <c r="F507" t="str">
        <f>VLOOKUP(A507, Athletes_Map!A:C, 3, FALSE)</f>
        <v>Player 479</v>
      </c>
      <c r="G507">
        <v>94</v>
      </c>
      <c r="H507">
        <f t="shared" si="31"/>
        <v>2</v>
      </c>
      <c r="I507" t="str">
        <f t="shared" si="28"/>
        <v>Normal</v>
      </c>
      <c r="J507" t="str">
        <f t="shared" si="29"/>
        <v>Normal</v>
      </c>
      <c r="K507" t="str">
        <f t="shared" si="30"/>
        <v/>
      </c>
    </row>
    <row r="508" spans="1:11" x14ac:dyDescent="0.25">
      <c r="A508">
        <v>5784</v>
      </c>
      <c r="B508">
        <v>149.16217353377101</v>
      </c>
      <c r="C508">
        <v>34.391257251960603</v>
      </c>
      <c r="D508">
        <v>506</v>
      </c>
      <c r="E508">
        <f>VLOOKUP(A508, Athletes_Map!A:B, 2, FALSE)</f>
        <v>480</v>
      </c>
      <c r="F508" t="str">
        <f>VLOOKUP(A508, Athletes_Map!A:C, 3, FALSE)</f>
        <v>Player 480</v>
      </c>
      <c r="G508">
        <v>94</v>
      </c>
      <c r="H508">
        <f t="shared" si="31"/>
        <v>2</v>
      </c>
      <c r="I508" t="str">
        <f t="shared" si="28"/>
        <v>Normal</v>
      </c>
      <c r="J508" t="str">
        <f t="shared" si="29"/>
        <v>Normal</v>
      </c>
      <c r="K508" t="str">
        <f t="shared" si="30"/>
        <v/>
      </c>
    </row>
    <row r="509" spans="1:11" x14ac:dyDescent="0.25">
      <c r="A509">
        <v>5804</v>
      </c>
      <c r="B509">
        <v>132.77547877302499</v>
      </c>
      <c r="C509">
        <v>33.349076469107999</v>
      </c>
      <c r="D509">
        <v>507</v>
      </c>
      <c r="E509">
        <f>VLOOKUP(A509, Athletes_Map!A:B, 2, FALSE)</f>
        <v>481</v>
      </c>
      <c r="F509" t="str">
        <f>VLOOKUP(A509, Athletes_Map!A:C, 3, FALSE)</f>
        <v>Player 481</v>
      </c>
      <c r="G509">
        <v>93</v>
      </c>
      <c r="H509">
        <f t="shared" si="31"/>
        <v>2</v>
      </c>
      <c r="I509" t="str">
        <f t="shared" si="28"/>
        <v>Normal</v>
      </c>
      <c r="J509" t="str">
        <f t="shared" si="29"/>
        <v>Normal</v>
      </c>
      <c r="K509" t="str">
        <f t="shared" si="30"/>
        <v/>
      </c>
    </row>
    <row r="510" spans="1:11" x14ac:dyDescent="0.25">
      <c r="A510">
        <v>5809</v>
      </c>
      <c r="B510">
        <v>153.38152965975499</v>
      </c>
      <c r="C510">
        <v>31.733892758187899</v>
      </c>
      <c r="D510">
        <v>508</v>
      </c>
      <c r="E510">
        <f>VLOOKUP(A510, Athletes_Map!A:B, 2, FALSE)</f>
        <v>482</v>
      </c>
      <c r="F510" t="str">
        <f>VLOOKUP(A510, Athletes_Map!A:C, 3, FALSE)</f>
        <v>Player 482</v>
      </c>
      <c r="G510">
        <v>92</v>
      </c>
      <c r="H510">
        <f t="shared" si="31"/>
        <v>3</v>
      </c>
      <c r="I510" t="str">
        <f t="shared" si="28"/>
        <v>Alert</v>
      </c>
      <c r="J510" t="str">
        <f t="shared" si="29"/>
        <v>Heart Rate</v>
      </c>
      <c r="K510">
        <f t="shared" si="30"/>
        <v>153.38152965975499</v>
      </c>
    </row>
    <row r="511" spans="1:11" x14ac:dyDescent="0.25">
      <c r="A511">
        <v>5820</v>
      </c>
      <c r="B511">
        <v>165.268994864842</v>
      </c>
      <c r="C511">
        <v>32.499083541612599</v>
      </c>
      <c r="D511">
        <v>509</v>
      </c>
      <c r="E511">
        <f>VLOOKUP(A511, Athletes_Map!A:B, 2, FALSE)</f>
        <v>483</v>
      </c>
      <c r="F511" t="str">
        <f>VLOOKUP(A511, Athletes_Map!A:C, 3, FALSE)</f>
        <v>Player 483</v>
      </c>
      <c r="G511">
        <v>91</v>
      </c>
      <c r="H511">
        <f t="shared" si="31"/>
        <v>3</v>
      </c>
      <c r="I511" t="str">
        <f t="shared" si="28"/>
        <v>Alert</v>
      </c>
      <c r="J511" t="str">
        <f t="shared" si="29"/>
        <v>Heart Rate</v>
      </c>
      <c r="K511">
        <f t="shared" si="30"/>
        <v>165.268994864842</v>
      </c>
    </row>
    <row r="512" spans="1:11" x14ac:dyDescent="0.25">
      <c r="A512">
        <v>5835</v>
      </c>
      <c r="B512">
        <v>141.617604644289</v>
      </c>
      <c r="C512">
        <v>34.290412082348197</v>
      </c>
      <c r="D512">
        <v>510</v>
      </c>
      <c r="E512">
        <f>VLOOKUP(A512, Athletes_Map!A:B, 2, FALSE)</f>
        <v>484</v>
      </c>
      <c r="F512" t="str">
        <f>VLOOKUP(A512, Athletes_Map!A:C, 3, FALSE)</f>
        <v>Player 484</v>
      </c>
      <c r="G512">
        <v>92</v>
      </c>
      <c r="H512">
        <f t="shared" si="31"/>
        <v>2</v>
      </c>
      <c r="I512" t="str">
        <f t="shared" si="28"/>
        <v>Normal</v>
      </c>
      <c r="J512" t="str">
        <f t="shared" si="29"/>
        <v>Normal</v>
      </c>
      <c r="K512" t="str">
        <f t="shared" si="30"/>
        <v/>
      </c>
    </row>
    <row r="513" spans="1:11" x14ac:dyDescent="0.25">
      <c r="A513">
        <v>5846</v>
      </c>
      <c r="B513">
        <v>137.084022079037</v>
      </c>
      <c r="C513">
        <v>32.418991258501499</v>
      </c>
      <c r="D513">
        <v>511</v>
      </c>
      <c r="E513">
        <f>VLOOKUP(A513, Athletes_Map!A:B, 2, FALSE)</f>
        <v>485</v>
      </c>
      <c r="F513" t="str">
        <f>VLOOKUP(A513, Athletes_Map!A:C, 3, FALSE)</f>
        <v>Player 485</v>
      </c>
      <c r="G513">
        <v>94</v>
      </c>
      <c r="H513">
        <f t="shared" si="31"/>
        <v>2</v>
      </c>
      <c r="I513" t="str">
        <f t="shared" si="28"/>
        <v>Normal</v>
      </c>
      <c r="J513" t="str">
        <f t="shared" si="29"/>
        <v>Normal</v>
      </c>
      <c r="K513" t="str">
        <f t="shared" si="30"/>
        <v/>
      </c>
    </row>
    <row r="514" spans="1:11" x14ac:dyDescent="0.25">
      <c r="A514">
        <v>5849</v>
      </c>
      <c r="B514">
        <v>135.81183382407701</v>
      </c>
      <c r="C514">
        <v>32.248421668580299</v>
      </c>
      <c r="D514">
        <v>512</v>
      </c>
      <c r="E514">
        <f>VLOOKUP(A514, Athletes_Map!A:B, 2, FALSE)</f>
        <v>486</v>
      </c>
      <c r="F514" t="str">
        <f>VLOOKUP(A514, Athletes_Map!A:C, 3, FALSE)</f>
        <v>Player 486</v>
      </c>
      <c r="G514">
        <v>94</v>
      </c>
      <c r="H514">
        <f t="shared" si="31"/>
        <v>2</v>
      </c>
      <c r="I514" t="str">
        <f t="shared" ref="I514:I577" si="32">IF(H514=3, "Alert", "Normal")</f>
        <v>Normal</v>
      </c>
      <c r="J514" t="str">
        <f t="shared" ref="J514:J577" si="33">IF(B514&gt;150,"Heart Rate",
IF(C514&gt;37.5,"Temperature",
IF(G514&lt;92,"Oxygen","Normal")))</f>
        <v>Normal</v>
      </c>
      <c r="K514" t="str">
        <f t="shared" ref="K514:K577" si="34">IF(J514="Heart Rate",B514,IF(J514="Temperature",C514,IF(J514="Oxygen",G514,"")))</f>
        <v/>
      </c>
    </row>
    <row r="515" spans="1:11" x14ac:dyDescent="0.25">
      <c r="A515">
        <v>5854</v>
      </c>
      <c r="B515">
        <v>127.23646362917501</v>
      </c>
      <c r="C515">
        <v>30.523916217024599</v>
      </c>
      <c r="D515">
        <v>513</v>
      </c>
      <c r="E515">
        <f>VLOOKUP(A515, Athletes_Map!A:B, 2, FALSE)</f>
        <v>487</v>
      </c>
      <c r="F515" t="str">
        <f>VLOOKUP(A515, Athletes_Map!A:C, 3, FALSE)</f>
        <v>Player 487</v>
      </c>
      <c r="G515">
        <v>94</v>
      </c>
      <c r="H515">
        <f t="shared" ref="H515:H578" si="35">IF(OR(B515&gt;150, C515&gt;37.5, G515&lt;92), 3,
IF(OR(B515&gt;120, C515&gt;37, G515&lt;94), 2,
1))</f>
        <v>2</v>
      </c>
      <c r="I515" t="str">
        <f t="shared" si="32"/>
        <v>Normal</v>
      </c>
      <c r="J515" t="str">
        <f t="shared" si="33"/>
        <v>Normal</v>
      </c>
      <c r="K515" t="str">
        <f t="shared" si="34"/>
        <v/>
      </c>
    </row>
    <row r="516" spans="1:11" x14ac:dyDescent="0.25">
      <c r="A516">
        <v>5858</v>
      </c>
      <c r="B516">
        <v>122.809755956814</v>
      </c>
      <c r="C516">
        <v>33.185392398714299</v>
      </c>
      <c r="D516">
        <v>514</v>
      </c>
      <c r="E516">
        <f>VLOOKUP(A516, Athletes_Map!A:B, 2, FALSE)</f>
        <v>488</v>
      </c>
      <c r="F516" t="str">
        <f>VLOOKUP(A516, Athletes_Map!A:C, 3, FALSE)</f>
        <v>Player 488</v>
      </c>
      <c r="G516">
        <v>95</v>
      </c>
      <c r="H516">
        <f t="shared" si="35"/>
        <v>2</v>
      </c>
      <c r="I516" t="str">
        <f t="shared" si="32"/>
        <v>Normal</v>
      </c>
      <c r="J516" t="str">
        <f t="shared" si="33"/>
        <v>Normal</v>
      </c>
      <c r="K516" t="str">
        <f t="shared" si="34"/>
        <v/>
      </c>
    </row>
    <row r="517" spans="1:11" x14ac:dyDescent="0.25">
      <c r="A517">
        <v>5859</v>
      </c>
      <c r="B517">
        <v>120.48512373693001</v>
      </c>
      <c r="C517">
        <v>32.782196205437202</v>
      </c>
      <c r="D517">
        <v>515</v>
      </c>
      <c r="E517">
        <f>VLOOKUP(A517, Athletes_Map!A:B, 2, FALSE)</f>
        <v>489</v>
      </c>
      <c r="F517" t="str">
        <f>VLOOKUP(A517, Athletes_Map!A:C, 3, FALSE)</f>
        <v>Player 489</v>
      </c>
      <c r="G517">
        <v>94</v>
      </c>
      <c r="H517">
        <f t="shared" si="35"/>
        <v>2</v>
      </c>
      <c r="I517" t="str">
        <f t="shared" si="32"/>
        <v>Normal</v>
      </c>
      <c r="J517" t="str">
        <f t="shared" si="33"/>
        <v>Normal</v>
      </c>
      <c r="K517" t="str">
        <f t="shared" si="34"/>
        <v/>
      </c>
    </row>
    <row r="518" spans="1:11" x14ac:dyDescent="0.25">
      <c r="A518">
        <v>5869</v>
      </c>
      <c r="B518">
        <v>123.52599992122801</v>
      </c>
      <c r="C518">
        <v>31.2915808357392</v>
      </c>
      <c r="D518">
        <v>516</v>
      </c>
      <c r="E518">
        <f>VLOOKUP(A518, Athletes_Map!A:B, 2, FALSE)</f>
        <v>490</v>
      </c>
      <c r="F518" t="str">
        <f>VLOOKUP(A518, Athletes_Map!A:C, 3, FALSE)</f>
        <v>Player 490</v>
      </c>
      <c r="G518">
        <v>93</v>
      </c>
      <c r="H518">
        <f t="shared" si="35"/>
        <v>2</v>
      </c>
      <c r="I518" t="str">
        <f t="shared" si="32"/>
        <v>Normal</v>
      </c>
      <c r="J518" t="str">
        <f t="shared" si="33"/>
        <v>Normal</v>
      </c>
      <c r="K518" t="str">
        <f t="shared" si="34"/>
        <v/>
      </c>
    </row>
    <row r="519" spans="1:11" x14ac:dyDescent="0.25">
      <c r="A519">
        <v>5887</v>
      </c>
      <c r="B519">
        <v>145.35318040938199</v>
      </c>
      <c r="C519">
        <v>31.805821821775901</v>
      </c>
      <c r="D519">
        <v>517</v>
      </c>
      <c r="E519">
        <f>VLOOKUP(A519, Athletes_Map!A:B, 2, FALSE)</f>
        <v>491</v>
      </c>
      <c r="F519" t="str">
        <f>VLOOKUP(A519, Athletes_Map!A:C, 3, FALSE)</f>
        <v>Player 491</v>
      </c>
      <c r="G519">
        <v>91</v>
      </c>
      <c r="H519">
        <f t="shared" si="35"/>
        <v>3</v>
      </c>
      <c r="I519" t="str">
        <f t="shared" si="32"/>
        <v>Alert</v>
      </c>
      <c r="J519" t="str">
        <f t="shared" si="33"/>
        <v>Oxygen</v>
      </c>
      <c r="K519">
        <f t="shared" si="34"/>
        <v>91</v>
      </c>
    </row>
    <row r="520" spans="1:11" x14ac:dyDescent="0.25">
      <c r="A520">
        <v>5892</v>
      </c>
      <c r="B520">
        <v>143.73876339492699</v>
      </c>
      <c r="C520">
        <v>35.338011173747702</v>
      </c>
      <c r="D520">
        <v>518</v>
      </c>
      <c r="E520">
        <f>VLOOKUP(A520, Athletes_Map!A:B, 2, FALSE)</f>
        <v>492</v>
      </c>
      <c r="F520" t="str">
        <f>VLOOKUP(A520, Athletes_Map!A:C, 3, FALSE)</f>
        <v>Player 492</v>
      </c>
      <c r="G520">
        <v>92</v>
      </c>
      <c r="H520">
        <f t="shared" si="35"/>
        <v>2</v>
      </c>
      <c r="I520" t="str">
        <f t="shared" si="32"/>
        <v>Normal</v>
      </c>
      <c r="J520" t="str">
        <f t="shared" si="33"/>
        <v>Normal</v>
      </c>
      <c r="K520" t="str">
        <f t="shared" si="34"/>
        <v/>
      </c>
    </row>
    <row r="521" spans="1:11" x14ac:dyDescent="0.25">
      <c r="A521">
        <v>5893</v>
      </c>
      <c r="B521">
        <v>149.167128945987</v>
      </c>
      <c r="C521">
        <v>31.400667123024402</v>
      </c>
      <c r="D521">
        <v>519</v>
      </c>
      <c r="E521">
        <f>VLOOKUP(A521, Athletes_Map!A:B, 2, FALSE)</f>
        <v>493</v>
      </c>
      <c r="F521" t="str">
        <f>VLOOKUP(A521, Athletes_Map!A:C, 3, FALSE)</f>
        <v>Player 493</v>
      </c>
      <c r="G521">
        <v>91</v>
      </c>
      <c r="H521">
        <f t="shared" si="35"/>
        <v>3</v>
      </c>
      <c r="I521" t="str">
        <f t="shared" si="32"/>
        <v>Alert</v>
      </c>
      <c r="J521" t="str">
        <f t="shared" si="33"/>
        <v>Oxygen</v>
      </c>
      <c r="K521">
        <f t="shared" si="34"/>
        <v>91</v>
      </c>
    </row>
    <row r="522" spans="1:11" x14ac:dyDescent="0.25">
      <c r="A522">
        <v>5910</v>
      </c>
      <c r="B522">
        <v>143.27598194902899</v>
      </c>
      <c r="C522">
        <v>34.414215227758099</v>
      </c>
      <c r="D522">
        <v>520</v>
      </c>
      <c r="E522">
        <f>VLOOKUP(A522, Athletes_Map!A:B, 2, FALSE)</f>
        <v>494</v>
      </c>
      <c r="F522" t="str">
        <f>VLOOKUP(A522, Athletes_Map!A:C, 3, FALSE)</f>
        <v>Player 494</v>
      </c>
      <c r="G522">
        <v>93</v>
      </c>
      <c r="H522">
        <f t="shared" si="35"/>
        <v>2</v>
      </c>
      <c r="I522" t="str">
        <f t="shared" si="32"/>
        <v>Normal</v>
      </c>
      <c r="J522" t="str">
        <f t="shared" si="33"/>
        <v>Normal</v>
      </c>
      <c r="K522" t="str">
        <f t="shared" si="34"/>
        <v/>
      </c>
    </row>
    <row r="523" spans="1:11" x14ac:dyDescent="0.25">
      <c r="A523">
        <v>5911</v>
      </c>
      <c r="B523">
        <v>156.472634997195</v>
      </c>
      <c r="C523">
        <v>35.226603977753101</v>
      </c>
      <c r="D523">
        <v>521</v>
      </c>
      <c r="E523">
        <f>VLOOKUP(A523, Athletes_Map!A:B, 2, FALSE)</f>
        <v>495</v>
      </c>
      <c r="F523" t="str">
        <f>VLOOKUP(A523, Athletes_Map!A:C, 3, FALSE)</f>
        <v>Player 495</v>
      </c>
      <c r="G523">
        <v>92</v>
      </c>
      <c r="H523">
        <f t="shared" si="35"/>
        <v>3</v>
      </c>
      <c r="I523" t="str">
        <f t="shared" si="32"/>
        <v>Alert</v>
      </c>
      <c r="J523" t="str">
        <f t="shared" si="33"/>
        <v>Heart Rate</v>
      </c>
      <c r="K523">
        <f t="shared" si="34"/>
        <v>156.472634997195</v>
      </c>
    </row>
    <row r="524" spans="1:11" x14ac:dyDescent="0.25">
      <c r="A524">
        <v>5926</v>
      </c>
      <c r="B524">
        <v>127.663511763706</v>
      </c>
      <c r="C524">
        <v>31.042397867499499</v>
      </c>
      <c r="D524">
        <v>522</v>
      </c>
      <c r="E524">
        <f>VLOOKUP(A524, Athletes_Map!A:B, 2, FALSE)</f>
        <v>496</v>
      </c>
      <c r="F524" t="str">
        <f>VLOOKUP(A524, Athletes_Map!A:C, 3, FALSE)</f>
        <v>Player 496</v>
      </c>
      <c r="G524">
        <v>96</v>
      </c>
      <c r="H524">
        <f t="shared" si="35"/>
        <v>2</v>
      </c>
      <c r="I524" t="str">
        <f t="shared" si="32"/>
        <v>Normal</v>
      </c>
      <c r="J524" t="str">
        <f t="shared" si="33"/>
        <v>Normal</v>
      </c>
      <c r="K524" t="str">
        <f t="shared" si="34"/>
        <v/>
      </c>
    </row>
    <row r="525" spans="1:11" x14ac:dyDescent="0.25">
      <c r="A525">
        <v>5931</v>
      </c>
      <c r="B525">
        <v>124.380060899963</v>
      </c>
      <c r="C525">
        <v>31.2802178225703</v>
      </c>
      <c r="D525">
        <v>523</v>
      </c>
      <c r="E525">
        <f>VLOOKUP(A525, Athletes_Map!A:B, 2, FALSE)</f>
        <v>497</v>
      </c>
      <c r="F525" t="str">
        <f>VLOOKUP(A525, Athletes_Map!A:C, 3, FALSE)</f>
        <v>Player 497</v>
      </c>
      <c r="G525">
        <v>95</v>
      </c>
      <c r="H525">
        <f t="shared" si="35"/>
        <v>2</v>
      </c>
      <c r="I525" t="str">
        <f t="shared" si="32"/>
        <v>Normal</v>
      </c>
      <c r="J525" t="str">
        <f t="shared" si="33"/>
        <v>Normal</v>
      </c>
      <c r="K525" t="str">
        <f t="shared" si="34"/>
        <v/>
      </c>
    </row>
    <row r="526" spans="1:11" x14ac:dyDescent="0.25">
      <c r="A526">
        <v>5944</v>
      </c>
      <c r="B526">
        <v>113.752129437062</v>
      </c>
      <c r="C526">
        <v>33.764789619627599</v>
      </c>
      <c r="D526">
        <v>524</v>
      </c>
      <c r="E526">
        <f>VLOOKUP(A526, Athletes_Map!A:B, 2, FALSE)</f>
        <v>498</v>
      </c>
      <c r="F526" t="str">
        <f>VLOOKUP(A526, Athletes_Map!A:C, 3, FALSE)</f>
        <v>Player 498</v>
      </c>
      <c r="G526">
        <v>96</v>
      </c>
      <c r="H526">
        <f t="shared" si="35"/>
        <v>1</v>
      </c>
      <c r="I526" t="str">
        <f t="shared" si="32"/>
        <v>Normal</v>
      </c>
      <c r="J526" t="str">
        <f t="shared" si="33"/>
        <v>Normal</v>
      </c>
      <c r="K526" t="str">
        <f t="shared" si="34"/>
        <v/>
      </c>
    </row>
    <row r="527" spans="1:11" x14ac:dyDescent="0.25">
      <c r="A527">
        <v>5946</v>
      </c>
      <c r="B527">
        <v>166.89010126449901</v>
      </c>
      <c r="C527">
        <v>32.382260790102301</v>
      </c>
      <c r="D527">
        <v>525</v>
      </c>
      <c r="E527">
        <f>VLOOKUP(A527, Athletes_Map!A:B, 2, FALSE)</f>
        <v>499</v>
      </c>
      <c r="F527" t="str">
        <f>VLOOKUP(A527, Athletes_Map!A:C, 3, FALSE)</f>
        <v>Player 499</v>
      </c>
      <c r="G527">
        <v>93</v>
      </c>
      <c r="H527">
        <f t="shared" si="35"/>
        <v>3</v>
      </c>
      <c r="I527" t="str">
        <f t="shared" si="32"/>
        <v>Alert</v>
      </c>
      <c r="J527" t="str">
        <f t="shared" si="33"/>
        <v>Heart Rate</v>
      </c>
      <c r="K527">
        <f t="shared" si="34"/>
        <v>166.89010126449901</v>
      </c>
    </row>
    <row r="528" spans="1:11" x14ac:dyDescent="0.25">
      <c r="A528">
        <v>5964</v>
      </c>
      <c r="B528">
        <v>103.882087075927</v>
      </c>
      <c r="C528">
        <v>32.930978696393403</v>
      </c>
      <c r="D528">
        <v>526</v>
      </c>
      <c r="E528">
        <f>VLOOKUP(A528, Athletes_Map!A:B, 2, FALSE)</f>
        <v>500</v>
      </c>
      <c r="F528" t="str">
        <f>VLOOKUP(A528, Athletes_Map!A:C, 3, FALSE)</f>
        <v>Player 500</v>
      </c>
      <c r="G528">
        <v>96</v>
      </c>
      <c r="H528">
        <f t="shared" si="35"/>
        <v>1</v>
      </c>
      <c r="I528" t="str">
        <f t="shared" si="32"/>
        <v>Normal</v>
      </c>
      <c r="J528" t="str">
        <f t="shared" si="33"/>
        <v>Normal</v>
      </c>
      <c r="K528" t="str">
        <f t="shared" si="34"/>
        <v/>
      </c>
    </row>
    <row r="529" spans="1:11" x14ac:dyDescent="0.25">
      <c r="A529">
        <v>5968</v>
      </c>
      <c r="B529">
        <v>167.27422538117199</v>
      </c>
      <c r="C529">
        <v>34.2844381922759</v>
      </c>
      <c r="D529">
        <v>527</v>
      </c>
      <c r="E529">
        <f>VLOOKUP(A529, Athletes_Map!A:B, 2, FALSE)</f>
        <v>501</v>
      </c>
      <c r="F529" t="str">
        <f>VLOOKUP(A529, Athletes_Map!A:C, 3, FALSE)</f>
        <v>Player 501</v>
      </c>
      <c r="G529">
        <v>93</v>
      </c>
      <c r="H529">
        <f t="shared" si="35"/>
        <v>3</v>
      </c>
      <c r="I529" t="str">
        <f t="shared" si="32"/>
        <v>Alert</v>
      </c>
      <c r="J529" t="str">
        <f t="shared" si="33"/>
        <v>Heart Rate</v>
      </c>
      <c r="K529">
        <f t="shared" si="34"/>
        <v>167.27422538117199</v>
      </c>
    </row>
    <row r="530" spans="1:11" x14ac:dyDescent="0.25">
      <c r="A530">
        <v>5971</v>
      </c>
      <c r="B530">
        <v>122.12900335365001</v>
      </c>
      <c r="C530">
        <v>33.463659184617597</v>
      </c>
      <c r="D530">
        <v>528</v>
      </c>
      <c r="E530">
        <f>VLOOKUP(A530, Athletes_Map!A:B, 2, FALSE)</f>
        <v>502</v>
      </c>
      <c r="F530" t="str">
        <f>VLOOKUP(A530, Athletes_Map!A:C, 3, FALSE)</f>
        <v>Player 502</v>
      </c>
      <c r="G530">
        <v>95</v>
      </c>
      <c r="H530">
        <f t="shared" si="35"/>
        <v>2</v>
      </c>
      <c r="I530" t="str">
        <f t="shared" si="32"/>
        <v>Normal</v>
      </c>
      <c r="J530" t="str">
        <f t="shared" si="33"/>
        <v>Normal</v>
      </c>
      <c r="K530" t="str">
        <f t="shared" si="34"/>
        <v/>
      </c>
    </row>
    <row r="531" spans="1:11" x14ac:dyDescent="0.25">
      <c r="A531">
        <v>5973</v>
      </c>
      <c r="B531">
        <v>139.98767367421499</v>
      </c>
      <c r="C531">
        <v>34.2113661463151</v>
      </c>
      <c r="D531">
        <v>529</v>
      </c>
      <c r="E531">
        <f>VLOOKUP(A531, Athletes_Map!A:B, 2, FALSE)</f>
        <v>503</v>
      </c>
      <c r="F531" t="str">
        <f>VLOOKUP(A531, Athletes_Map!A:C, 3, FALSE)</f>
        <v>Player 503</v>
      </c>
      <c r="G531">
        <v>96</v>
      </c>
      <c r="H531">
        <f t="shared" si="35"/>
        <v>2</v>
      </c>
      <c r="I531" t="str">
        <f t="shared" si="32"/>
        <v>Normal</v>
      </c>
      <c r="J531" t="str">
        <f t="shared" si="33"/>
        <v>Normal</v>
      </c>
      <c r="K531" t="str">
        <f t="shared" si="34"/>
        <v/>
      </c>
    </row>
    <row r="532" spans="1:11" x14ac:dyDescent="0.25">
      <c r="A532">
        <v>5976</v>
      </c>
      <c r="B532">
        <v>134.817620067115</v>
      </c>
      <c r="C532">
        <v>33.878346603011799</v>
      </c>
      <c r="D532">
        <v>530</v>
      </c>
      <c r="E532">
        <f>VLOOKUP(A532, Athletes_Map!A:B, 2, FALSE)</f>
        <v>504</v>
      </c>
      <c r="F532" t="str">
        <f>VLOOKUP(A532, Athletes_Map!A:C, 3, FALSE)</f>
        <v>Player 504</v>
      </c>
      <c r="G532">
        <v>95</v>
      </c>
      <c r="H532">
        <f t="shared" si="35"/>
        <v>2</v>
      </c>
      <c r="I532" t="str">
        <f t="shared" si="32"/>
        <v>Normal</v>
      </c>
      <c r="J532" t="str">
        <f t="shared" si="33"/>
        <v>Normal</v>
      </c>
      <c r="K532" t="str">
        <f t="shared" si="34"/>
        <v/>
      </c>
    </row>
    <row r="533" spans="1:11" x14ac:dyDescent="0.25">
      <c r="A533">
        <v>5980</v>
      </c>
      <c r="B533">
        <v>91.932197727925697</v>
      </c>
      <c r="C533">
        <v>34.353336300760603</v>
      </c>
      <c r="D533">
        <v>531</v>
      </c>
      <c r="E533">
        <f>VLOOKUP(A533, Athletes_Map!A:B, 2, FALSE)</f>
        <v>505</v>
      </c>
      <c r="F533" t="str">
        <f>VLOOKUP(A533, Athletes_Map!A:C, 3, FALSE)</f>
        <v>Player 505</v>
      </c>
      <c r="G533">
        <v>98</v>
      </c>
      <c r="H533">
        <f t="shared" si="35"/>
        <v>1</v>
      </c>
      <c r="I533" t="str">
        <f t="shared" si="32"/>
        <v>Normal</v>
      </c>
      <c r="J533" t="str">
        <f t="shared" si="33"/>
        <v>Normal</v>
      </c>
      <c r="K533" t="str">
        <f t="shared" si="34"/>
        <v/>
      </c>
    </row>
    <row r="534" spans="1:11" x14ac:dyDescent="0.25">
      <c r="A534">
        <v>6029</v>
      </c>
      <c r="B534">
        <v>140.57988324447601</v>
      </c>
      <c r="C534">
        <v>32.421880834687798</v>
      </c>
      <c r="D534">
        <v>532</v>
      </c>
      <c r="E534">
        <f>VLOOKUP(A534, Athletes_Map!A:B, 2, FALSE)</f>
        <v>506</v>
      </c>
      <c r="F534" t="str">
        <f>VLOOKUP(A534, Athletes_Map!A:C, 3, FALSE)</f>
        <v>Player 506</v>
      </c>
      <c r="G534">
        <v>91</v>
      </c>
      <c r="H534">
        <f t="shared" si="35"/>
        <v>3</v>
      </c>
      <c r="I534" t="str">
        <f t="shared" si="32"/>
        <v>Alert</v>
      </c>
      <c r="J534" t="str">
        <f t="shared" si="33"/>
        <v>Oxygen</v>
      </c>
      <c r="K534">
        <f t="shared" si="34"/>
        <v>91</v>
      </c>
    </row>
    <row r="535" spans="1:11" x14ac:dyDescent="0.25">
      <c r="A535">
        <v>6031</v>
      </c>
      <c r="B535">
        <v>133.44325605974299</v>
      </c>
      <c r="C535">
        <v>32.3851509111879</v>
      </c>
      <c r="D535">
        <v>533</v>
      </c>
      <c r="E535">
        <f>VLOOKUP(A535, Athletes_Map!A:B, 2, FALSE)</f>
        <v>507</v>
      </c>
      <c r="F535" t="str">
        <f>VLOOKUP(A535, Athletes_Map!A:C, 3, FALSE)</f>
        <v>Player 507</v>
      </c>
      <c r="G535">
        <v>93</v>
      </c>
      <c r="H535">
        <f t="shared" si="35"/>
        <v>2</v>
      </c>
      <c r="I535" t="str">
        <f t="shared" si="32"/>
        <v>Normal</v>
      </c>
      <c r="J535" t="str">
        <f t="shared" si="33"/>
        <v>Normal</v>
      </c>
      <c r="K535" t="str">
        <f t="shared" si="34"/>
        <v/>
      </c>
    </row>
    <row r="536" spans="1:11" x14ac:dyDescent="0.25">
      <c r="A536">
        <v>6051</v>
      </c>
      <c r="B536">
        <v>143.88526622972</v>
      </c>
      <c r="C536">
        <v>32.817942679707301</v>
      </c>
      <c r="D536">
        <v>534</v>
      </c>
      <c r="E536">
        <f>VLOOKUP(A536, Athletes_Map!A:B, 2, FALSE)</f>
        <v>508</v>
      </c>
      <c r="F536" t="str">
        <f>VLOOKUP(A536, Athletes_Map!A:C, 3, FALSE)</f>
        <v>Player 508</v>
      </c>
      <c r="G536">
        <v>92</v>
      </c>
      <c r="H536">
        <f t="shared" si="35"/>
        <v>2</v>
      </c>
      <c r="I536" t="str">
        <f t="shared" si="32"/>
        <v>Normal</v>
      </c>
      <c r="J536" t="str">
        <f t="shared" si="33"/>
        <v>Normal</v>
      </c>
      <c r="K536" t="str">
        <f t="shared" si="34"/>
        <v/>
      </c>
    </row>
    <row r="537" spans="1:11" x14ac:dyDescent="0.25">
      <c r="A537">
        <v>6052</v>
      </c>
      <c r="B537">
        <v>143.60083294382099</v>
      </c>
      <c r="C537">
        <v>32.730817234946201</v>
      </c>
      <c r="D537">
        <v>535</v>
      </c>
      <c r="E537">
        <f>VLOOKUP(A537, Athletes_Map!A:B, 2, FALSE)</f>
        <v>509</v>
      </c>
      <c r="F537" t="str">
        <f>VLOOKUP(A537, Athletes_Map!A:C, 3, FALSE)</f>
        <v>Player 509</v>
      </c>
      <c r="G537">
        <v>92</v>
      </c>
      <c r="H537">
        <f t="shared" si="35"/>
        <v>2</v>
      </c>
      <c r="I537" t="str">
        <f t="shared" si="32"/>
        <v>Normal</v>
      </c>
      <c r="J537" t="str">
        <f t="shared" si="33"/>
        <v>Normal</v>
      </c>
      <c r="K537" t="str">
        <f t="shared" si="34"/>
        <v/>
      </c>
    </row>
    <row r="538" spans="1:11" x14ac:dyDescent="0.25">
      <c r="A538">
        <v>6056</v>
      </c>
      <c r="B538">
        <v>147.43619924434299</v>
      </c>
      <c r="C538">
        <v>30.874717736294201</v>
      </c>
      <c r="D538">
        <v>536</v>
      </c>
      <c r="E538">
        <f>VLOOKUP(A538, Athletes_Map!A:B, 2, FALSE)</f>
        <v>510</v>
      </c>
      <c r="F538" t="str">
        <f>VLOOKUP(A538, Athletes_Map!A:C, 3, FALSE)</f>
        <v>Player 510</v>
      </c>
      <c r="G538">
        <v>94</v>
      </c>
      <c r="H538">
        <f t="shared" si="35"/>
        <v>2</v>
      </c>
      <c r="I538" t="str">
        <f t="shared" si="32"/>
        <v>Normal</v>
      </c>
      <c r="J538" t="str">
        <f t="shared" si="33"/>
        <v>Normal</v>
      </c>
      <c r="K538" t="str">
        <f t="shared" si="34"/>
        <v/>
      </c>
    </row>
    <row r="539" spans="1:11" x14ac:dyDescent="0.25">
      <c r="A539">
        <v>6063</v>
      </c>
      <c r="B539">
        <v>167.56793246257001</v>
      </c>
      <c r="C539">
        <v>32.906123209129703</v>
      </c>
      <c r="D539">
        <v>537</v>
      </c>
      <c r="E539">
        <f>VLOOKUP(A539, Athletes_Map!A:B, 2, FALSE)</f>
        <v>511</v>
      </c>
      <c r="F539" t="str">
        <f>VLOOKUP(A539, Athletes_Map!A:C, 3, FALSE)</f>
        <v>Player 511</v>
      </c>
      <c r="G539">
        <v>93</v>
      </c>
      <c r="H539">
        <f t="shared" si="35"/>
        <v>3</v>
      </c>
      <c r="I539" t="str">
        <f t="shared" si="32"/>
        <v>Alert</v>
      </c>
      <c r="J539" t="str">
        <f t="shared" si="33"/>
        <v>Heart Rate</v>
      </c>
      <c r="K539">
        <f t="shared" si="34"/>
        <v>167.56793246257001</v>
      </c>
    </row>
    <row r="540" spans="1:11" x14ac:dyDescent="0.25">
      <c r="A540">
        <v>6073</v>
      </c>
      <c r="B540">
        <v>112.13990174539001</v>
      </c>
      <c r="C540">
        <v>33.2491240216807</v>
      </c>
      <c r="D540">
        <v>538</v>
      </c>
      <c r="E540">
        <f>VLOOKUP(A540, Athletes_Map!A:B, 2, FALSE)</f>
        <v>512</v>
      </c>
      <c r="F540" t="str">
        <f>VLOOKUP(A540, Athletes_Map!A:C, 3, FALSE)</f>
        <v>Player 512</v>
      </c>
      <c r="G540">
        <v>94</v>
      </c>
      <c r="H540">
        <f t="shared" si="35"/>
        <v>1</v>
      </c>
      <c r="I540" t="str">
        <f t="shared" si="32"/>
        <v>Normal</v>
      </c>
      <c r="J540" t="str">
        <f t="shared" si="33"/>
        <v>Normal</v>
      </c>
      <c r="K540" t="str">
        <f t="shared" si="34"/>
        <v/>
      </c>
    </row>
    <row r="541" spans="1:11" x14ac:dyDescent="0.25">
      <c r="A541">
        <v>6083</v>
      </c>
      <c r="B541">
        <v>151.812400530091</v>
      </c>
      <c r="C541">
        <v>31.972596191205898</v>
      </c>
      <c r="D541">
        <v>539</v>
      </c>
      <c r="E541">
        <f>VLOOKUP(A541, Athletes_Map!A:B, 2, FALSE)</f>
        <v>513</v>
      </c>
      <c r="F541" t="str">
        <f>VLOOKUP(A541, Athletes_Map!A:C, 3, FALSE)</f>
        <v>Player 513</v>
      </c>
      <c r="G541">
        <v>91</v>
      </c>
      <c r="H541">
        <f t="shared" si="35"/>
        <v>3</v>
      </c>
      <c r="I541" t="str">
        <f t="shared" si="32"/>
        <v>Alert</v>
      </c>
      <c r="J541" t="str">
        <f t="shared" si="33"/>
        <v>Heart Rate</v>
      </c>
      <c r="K541">
        <f t="shared" si="34"/>
        <v>151.812400530091</v>
      </c>
    </row>
    <row r="542" spans="1:11" x14ac:dyDescent="0.25">
      <c r="A542">
        <v>6088</v>
      </c>
      <c r="B542">
        <v>141.85450692755401</v>
      </c>
      <c r="C542">
        <v>32.888466952063602</v>
      </c>
      <c r="D542">
        <v>540</v>
      </c>
      <c r="E542">
        <f>VLOOKUP(A542, Athletes_Map!A:B, 2, FALSE)</f>
        <v>514</v>
      </c>
      <c r="F542" t="str">
        <f>VLOOKUP(A542, Athletes_Map!A:C, 3, FALSE)</f>
        <v>Player 514</v>
      </c>
      <c r="G542">
        <v>94</v>
      </c>
      <c r="H542">
        <f t="shared" si="35"/>
        <v>2</v>
      </c>
      <c r="I542" t="str">
        <f t="shared" si="32"/>
        <v>Normal</v>
      </c>
      <c r="J542" t="str">
        <f t="shared" si="33"/>
        <v>Normal</v>
      </c>
      <c r="K542" t="str">
        <f t="shared" si="34"/>
        <v/>
      </c>
    </row>
    <row r="543" spans="1:11" x14ac:dyDescent="0.25">
      <c r="A543">
        <v>6104</v>
      </c>
      <c r="B543">
        <v>167.668630646021</v>
      </c>
      <c r="C543">
        <v>33.369211984081304</v>
      </c>
      <c r="D543">
        <v>541</v>
      </c>
      <c r="E543">
        <f>VLOOKUP(A543, Athletes_Map!A:B, 2, FALSE)</f>
        <v>515</v>
      </c>
      <c r="F543" t="str">
        <f>VLOOKUP(A543, Athletes_Map!A:C, 3, FALSE)</f>
        <v>Player 515</v>
      </c>
      <c r="G543">
        <v>94</v>
      </c>
      <c r="H543">
        <f t="shared" si="35"/>
        <v>3</v>
      </c>
      <c r="I543" t="str">
        <f t="shared" si="32"/>
        <v>Alert</v>
      </c>
      <c r="J543" t="str">
        <f t="shared" si="33"/>
        <v>Heart Rate</v>
      </c>
      <c r="K543">
        <f t="shared" si="34"/>
        <v>167.668630646021</v>
      </c>
    </row>
    <row r="544" spans="1:11" x14ac:dyDescent="0.25">
      <c r="A544">
        <v>6109</v>
      </c>
      <c r="B544">
        <v>147.383085220103</v>
      </c>
      <c r="C544">
        <v>32.666946892421301</v>
      </c>
      <c r="D544">
        <v>542</v>
      </c>
      <c r="E544">
        <f>VLOOKUP(A544, Athletes_Map!A:B, 2, FALSE)</f>
        <v>516</v>
      </c>
      <c r="F544" t="str">
        <f>VLOOKUP(A544, Athletes_Map!A:C, 3, FALSE)</f>
        <v>Player 516</v>
      </c>
      <c r="G544">
        <v>91</v>
      </c>
      <c r="H544">
        <f t="shared" si="35"/>
        <v>3</v>
      </c>
      <c r="I544" t="str">
        <f t="shared" si="32"/>
        <v>Alert</v>
      </c>
      <c r="J544" t="str">
        <f t="shared" si="33"/>
        <v>Oxygen</v>
      </c>
      <c r="K544">
        <f t="shared" si="34"/>
        <v>91</v>
      </c>
    </row>
    <row r="545" spans="1:11" x14ac:dyDescent="0.25">
      <c r="A545">
        <v>6115</v>
      </c>
      <c r="B545">
        <v>122.731946729181</v>
      </c>
      <c r="C545">
        <v>31.006699901319301</v>
      </c>
      <c r="D545">
        <v>543</v>
      </c>
      <c r="E545">
        <f>VLOOKUP(A545, Athletes_Map!A:B, 2, FALSE)</f>
        <v>517</v>
      </c>
      <c r="F545" t="str">
        <f>VLOOKUP(A545, Athletes_Map!A:C, 3, FALSE)</f>
        <v>Player 517</v>
      </c>
      <c r="G545">
        <v>95</v>
      </c>
      <c r="H545">
        <f t="shared" si="35"/>
        <v>2</v>
      </c>
      <c r="I545" t="str">
        <f t="shared" si="32"/>
        <v>Normal</v>
      </c>
      <c r="J545" t="str">
        <f t="shared" si="33"/>
        <v>Normal</v>
      </c>
      <c r="K545" t="str">
        <f t="shared" si="34"/>
        <v/>
      </c>
    </row>
    <row r="546" spans="1:11" x14ac:dyDescent="0.25">
      <c r="A546">
        <v>6116</v>
      </c>
      <c r="B546">
        <v>113.378869191834</v>
      </c>
      <c r="C546">
        <v>33.009456221633599</v>
      </c>
      <c r="D546">
        <v>544</v>
      </c>
      <c r="E546">
        <f>VLOOKUP(A546, Athletes_Map!A:B, 2, FALSE)</f>
        <v>518</v>
      </c>
      <c r="F546" t="str">
        <f>VLOOKUP(A546, Athletes_Map!A:C, 3, FALSE)</f>
        <v>Player 518</v>
      </c>
      <c r="G546">
        <v>96</v>
      </c>
      <c r="H546">
        <f t="shared" si="35"/>
        <v>1</v>
      </c>
      <c r="I546" t="str">
        <f t="shared" si="32"/>
        <v>Normal</v>
      </c>
      <c r="J546" t="str">
        <f t="shared" si="33"/>
        <v>Normal</v>
      </c>
      <c r="K546" t="str">
        <f t="shared" si="34"/>
        <v/>
      </c>
    </row>
    <row r="547" spans="1:11" x14ac:dyDescent="0.25">
      <c r="A547">
        <v>6122</v>
      </c>
      <c r="B547">
        <v>106.56378666516299</v>
      </c>
      <c r="C547">
        <v>32.861730920937298</v>
      </c>
      <c r="D547">
        <v>545</v>
      </c>
      <c r="E547">
        <f>VLOOKUP(A547, Athletes_Map!A:B, 2, FALSE)</f>
        <v>519</v>
      </c>
      <c r="F547" t="str">
        <f>VLOOKUP(A547, Athletes_Map!A:C, 3, FALSE)</f>
        <v>Player 519</v>
      </c>
      <c r="G547">
        <v>99</v>
      </c>
      <c r="H547">
        <f t="shared" si="35"/>
        <v>1</v>
      </c>
      <c r="I547" t="str">
        <f t="shared" si="32"/>
        <v>Normal</v>
      </c>
      <c r="J547" t="str">
        <f t="shared" si="33"/>
        <v>Normal</v>
      </c>
      <c r="K547" t="str">
        <f t="shared" si="34"/>
        <v/>
      </c>
    </row>
    <row r="548" spans="1:11" x14ac:dyDescent="0.25">
      <c r="A548">
        <v>6124</v>
      </c>
      <c r="B548">
        <v>128.67183100610299</v>
      </c>
      <c r="C548">
        <v>31.704316414468899</v>
      </c>
      <c r="D548">
        <v>546</v>
      </c>
      <c r="E548">
        <f>VLOOKUP(A548, Athletes_Map!A:B, 2, FALSE)</f>
        <v>520</v>
      </c>
      <c r="F548" t="str">
        <f>VLOOKUP(A548, Athletes_Map!A:C, 3, FALSE)</f>
        <v>Player 520</v>
      </c>
      <c r="G548">
        <v>93</v>
      </c>
      <c r="H548">
        <f t="shared" si="35"/>
        <v>2</v>
      </c>
      <c r="I548" t="str">
        <f t="shared" si="32"/>
        <v>Normal</v>
      </c>
      <c r="J548" t="str">
        <f t="shared" si="33"/>
        <v>Normal</v>
      </c>
      <c r="K548" t="str">
        <f t="shared" si="34"/>
        <v/>
      </c>
    </row>
    <row r="549" spans="1:11" x14ac:dyDescent="0.25">
      <c r="A549">
        <v>6124</v>
      </c>
      <c r="B549">
        <v>130.81352645696199</v>
      </c>
      <c r="C549">
        <v>33.775207424537399</v>
      </c>
      <c r="D549">
        <v>547</v>
      </c>
      <c r="E549">
        <f>VLOOKUP(A549, Athletes_Map!A:B, 2, FALSE)</f>
        <v>520</v>
      </c>
      <c r="F549" t="str">
        <f>VLOOKUP(A549, Athletes_Map!A:C, 3, FALSE)</f>
        <v>Player 520</v>
      </c>
      <c r="G549">
        <v>93</v>
      </c>
      <c r="H549">
        <f t="shared" si="35"/>
        <v>2</v>
      </c>
      <c r="I549" t="str">
        <f t="shared" si="32"/>
        <v>Normal</v>
      </c>
      <c r="J549" t="str">
        <f t="shared" si="33"/>
        <v>Normal</v>
      </c>
      <c r="K549" t="str">
        <f t="shared" si="34"/>
        <v/>
      </c>
    </row>
    <row r="550" spans="1:11" x14ac:dyDescent="0.25">
      <c r="A550">
        <v>6126</v>
      </c>
      <c r="B550">
        <v>119.86409822861</v>
      </c>
      <c r="C550">
        <v>34.016258524661801</v>
      </c>
      <c r="D550">
        <v>548</v>
      </c>
      <c r="E550">
        <f>VLOOKUP(A550, Athletes_Map!A:B, 2, FALSE)</f>
        <v>521</v>
      </c>
      <c r="F550" t="str">
        <f>VLOOKUP(A550, Athletes_Map!A:C, 3, FALSE)</f>
        <v>Player 521</v>
      </c>
      <c r="G550">
        <v>94</v>
      </c>
      <c r="H550">
        <f t="shared" si="35"/>
        <v>1</v>
      </c>
      <c r="I550" t="str">
        <f t="shared" si="32"/>
        <v>Normal</v>
      </c>
      <c r="J550" t="str">
        <f t="shared" si="33"/>
        <v>Normal</v>
      </c>
      <c r="K550" t="str">
        <f t="shared" si="34"/>
        <v/>
      </c>
    </row>
    <row r="551" spans="1:11" x14ac:dyDescent="0.25">
      <c r="A551">
        <v>6134</v>
      </c>
      <c r="B551">
        <v>146.19580895862001</v>
      </c>
      <c r="C551">
        <v>33.5572438362558</v>
      </c>
      <c r="D551">
        <v>549</v>
      </c>
      <c r="E551">
        <f>VLOOKUP(A551, Athletes_Map!A:B, 2, FALSE)</f>
        <v>522</v>
      </c>
      <c r="F551" t="str">
        <f>VLOOKUP(A551, Athletes_Map!A:C, 3, FALSE)</f>
        <v>Player 522</v>
      </c>
      <c r="G551">
        <v>91</v>
      </c>
      <c r="H551">
        <f t="shared" si="35"/>
        <v>3</v>
      </c>
      <c r="I551" t="str">
        <f t="shared" si="32"/>
        <v>Alert</v>
      </c>
      <c r="J551" t="str">
        <f t="shared" si="33"/>
        <v>Oxygen</v>
      </c>
      <c r="K551">
        <f t="shared" si="34"/>
        <v>91</v>
      </c>
    </row>
    <row r="552" spans="1:11" x14ac:dyDescent="0.25">
      <c r="A552">
        <v>6142</v>
      </c>
      <c r="B552">
        <v>112.607651334219</v>
      </c>
      <c r="C552">
        <v>32.338821835754104</v>
      </c>
      <c r="D552">
        <v>550</v>
      </c>
      <c r="E552">
        <f>VLOOKUP(A552, Athletes_Map!A:B, 2, FALSE)</f>
        <v>523</v>
      </c>
      <c r="F552" t="str">
        <f>VLOOKUP(A552, Athletes_Map!A:C, 3, FALSE)</f>
        <v>Player 523</v>
      </c>
      <c r="G552">
        <v>95</v>
      </c>
      <c r="H552">
        <f t="shared" si="35"/>
        <v>1</v>
      </c>
      <c r="I552" t="str">
        <f t="shared" si="32"/>
        <v>Normal</v>
      </c>
      <c r="J552" t="str">
        <f t="shared" si="33"/>
        <v>Normal</v>
      </c>
      <c r="K552" t="str">
        <f t="shared" si="34"/>
        <v/>
      </c>
    </row>
    <row r="553" spans="1:11" x14ac:dyDescent="0.25">
      <c r="A553">
        <v>6161</v>
      </c>
      <c r="B553">
        <v>107.20855066472799</v>
      </c>
      <c r="C553">
        <v>32.677625096028301</v>
      </c>
      <c r="D553">
        <v>551</v>
      </c>
      <c r="E553">
        <f>VLOOKUP(A553, Athletes_Map!A:B, 2, FALSE)</f>
        <v>524</v>
      </c>
      <c r="F553" t="str">
        <f>VLOOKUP(A553, Athletes_Map!A:C, 3, FALSE)</f>
        <v>Player 524</v>
      </c>
      <c r="G553">
        <v>100</v>
      </c>
      <c r="H553">
        <f t="shared" si="35"/>
        <v>1</v>
      </c>
      <c r="I553" t="str">
        <f t="shared" si="32"/>
        <v>Normal</v>
      </c>
      <c r="J553" t="str">
        <f t="shared" si="33"/>
        <v>Normal</v>
      </c>
      <c r="K553" t="str">
        <f t="shared" si="34"/>
        <v/>
      </c>
    </row>
    <row r="554" spans="1:11" x14ac:dyDescent="0.25">
      <c r="A554">
        <v>6172</v>
      </c>
      <c r="B554">
        <v>144.84902528016201</v>
      </c>
      <c r="C554">
        <v>33.993875628221502</v>
      </c>
      <c r="D554">
        <v>552</v>
      </c>
      <c r="E554">
        <f>VLOOKUP(A554, Athletes_Map!A:B, 2, FALSE)</f>
        <v>525</v>
      </c>
      <c r="F554" t="str">
        <f>VLOOKUP(A554, Athletes_Map!A:C, 3, FALSE)</f>
        <v>Player 525</v>
      </c>
      <c r="G554">
        <v>91</v>
      </c>
      <c r="H554">
        <f t="shared" si="35"/>
        <v>3</v>
      </c>
      <c r="I554" t="str">
        <f t="shared" si="32"/>
        <v>Alert</v>
      </c>
      <c r="J554" t="str">
        <f t="shared" si="33"/>
        <v>Oxygen</v>
      </c>
      <c r="K554">
        <f t="shared" si="34"/>
        <v>91</v>
      </c>
    </row>
    <row r="555" spans="1:11" x14ac:dyDescent="0.25">
      <c r="A555">
        <v>6177</v>
      </c>
      <c r="B555">
        <v>166.4797352658</v>
      </c>
      <c r="C555">
        <v>34.148043823662697</v>
      </c>
      <c r="D555">
        <v>553</v>
      </c>
      <c r="E555">
        <f>VLOOKUP(A555, Athletes_Map!A:B, 2, FALSE)</f>
        <v>526</v>
      </c>
      <c r="F555" t="str">
        <f>VLOOKUP(A555, Athletes_Map!A:C, 3, FALSE)</f>
        <v>Player 526</v>
      </c>
      <c r="G555">
        <v>90</v>
      </c>
      <c r="H555">
        <f t="shared" si="35"/>
        <v>3</v>
      </c>
      <c r="I555" t="str">
        <f t="shared" si="32"/>
        <v>Alert</v>
      </c>
      <c r="J555" t="str">
        <f t="shared" si="33"/>
        <v>Heart Rate</v>
      </c>
      <c r="K555">
        <f t="shared" si="34"/>
        <v>166.4797352658</v>
      </c>
    </row>
    <row r="556" spans="1:11" x14ac:dyDescent="0.25">
      <c r="A556">
        <v>6182</v>
      </c>
      <c r="B556">
        <v>146.592663464271</v>
      </c>
      <c r="C556">
        <v>32.701660975479903</v>
      </c>
      <c r="D556">
        <v>554</v>
      </c>
      <c r="E556">
        <f>VLOOKUP(A556, Athletes_Map!A:B, 2, FALSE)</f>
        <v>527</v>
      </c>
      <c r="F556" t="str">
        <f>VLOOKUP(A556, Athletes_Map!A:C, 3, FALSE)</f>
        <v>Player 527</v>
      </c>
      <c r="G556">
        <v>93</v>
      </c>
      <c r="H556">
        <f t="shared" si="35"/>
        <v>2</v>
      </c>
      <c r="I556" t="str">
        <f t="shared" si="32"/>
        <v>Normal</v>
      </c>
      <c r="J556" t="str">
        <f t="shared" si="33"/>
        <v>Normal</v>
      </c>
      <c r="K556" t="str">
        <f t="shared" si="34"/>
        <v/>
      </c>
    </row>
    <row r="557" spans="1:11" x14ac:dyDescent="0.25">
      <c r="A557">
        <v>6188</v>
      </c>
      <c r="B557">
        <v>157.97531400744199</v>
      </c>
      <c r="C557">
        <v>31.8589071243753</v>
      </c>
      <c r="D557">
        <v>555</v>
      </c>
      <c r="E557">
        <f>VLOOKUP(A557, Athletes_Map!A:B, 2, FALSE)</f>
        <v>528</v>
      </c>
      <c r="F557" t="str">
        <f>VLOOKUP(A557, Athletes_Map!A:C, 3, FALSE)</f>
        <v>Player 528</v>
      </c>
      <c r="G557">
        <v>94</v>
      </c>
      <c r="H557">
        <f t="shared" si="35"/>
        <v>3</v>
      </c>
      <c r="I557" t="str">
        <f t="shared" si="32"/>
        <v>Alert</v>
      </c>
      <c r="J557" t="str">
        <f t="shared" si="33"/>
        <v>Heart Rate</v>
      </c>
      <c r="K557">
        <f t="shared" si="34"/>
        <v>157.97531400744199</v>
      </c>
    </row>
    <row r="558" spans="1:11" x14ac:dyDescent="0.25">
      <c r="A558">
        <v>6191</v>
      </c>
      <c r="B558">
        <v>170.04540886847201</v>
      </c>
      <c r="C558">
        <v>32.819708413442001</v>
      </c>
      <c r="D558">
        <v>556</v>
      </c>
      <c r="E558">
        <f>VLOOKUP(A558, Athletes_Map!A:B, 2, FALSE)</f>
        <v>529</v>
      </c>
      <c r="F558" t="str">
        <f>VLOOKUP(A558, Athletes_Map!A:C, 3, FALSE)</f>
        <v>Player 529</v>
      </c>
      <c r="G558">
        <v>91</v>
      </c>
      <c r="H558">
        <f t="shared" si="35"/>
        <v>3</v>
      </c>
      <c r="I558" t="str">
        <f t="shared" si="32"/>
        <v>Alert</v>
      </c>
      <c r="J558" t="str">
        <f t="shared" si="33"/>
        <v>Heart Rate</v>
      </c>
      <c r="K558">
        <f t="shared" si="34"/>
        <v>170.04540886847201</v>
      </c>
    </row>
    <row r="559" spans="1:11" x14ac:dyDescent="0.25">
      <c r="A559">
        <v>6222</v>
      </c>
      <c r="B559">
        <v>143.48331892803799</v>
      </c>
      <c r="C559">
        <v>32.894290507165103</v>
      </c>
      <c r="D559">
        <v>557</v>
      </c>
      <c r="E559">
        <f>VLOOKUP(A559, Athletes_Map!A:B, 2, FALSE)</f>
        <v>530</v>
      </c>
      <c r="F559" t="str">
        <f>VLOOKUP(A559, Athletes_Map!A:C, 3, FALSE)</f>
        <v>Player 530</v>
      </c>
      <c r="G559">
        <v>93</v>
      </c>
      <c r="H559">
        <f t="shared" si="35"/>
        <v>2</v>
      </c>
      <c r="I559" t="str">
        <f t="shared" si="32"/>
        <v>Normal</v>
      </c>
      <c r="J559" t="str">
        <f t="shared" si="33"/>
        <v>Normal</v>
      </c>
      <c r="K559" t="str">
        <f t="shared" si="34"/>
        <v/>
      </c>
    </row>
    <row r="560" spans="1:11" x14ac:dyDescent="0.25">
      <c r="A560">
        <v>6232</v>
      </c>
      <c r="B560">
        <v>126.59626365808199</v>
      </c>
      <c r="C560">
        <v>34.418269311551903</v>
      </c>
      <c r="D560">
        <v>558</v>
      </c>
      <c r="E560">
        <f>VLOOKUP(A560, Athletes_Map!A:B, 2, FALSE)</f>
        <v>531</v>
      </c>
      <c r="F560" t="str">
        <f>VLOOKUP(A560, Athletes_Map!A:C, 3, FALSE)</f>
        <v>Player 531</v>
      </c>
      <c r="G560">
        <v>93</v>
      </c>
      <c r="H560">
        <f t="shared" si="35"/>
        <v>2</v>
      </c>
      <c r="I560" t="str">
        <f t="shared" si="32"/>
        <v>Normal</v>
      </c>
      <c r="J560" t="str">
        <f t="shared" si="33"/>
        <v>Normal</v>
      </c>
      <c r="K560" t="str">
        <f t="shared" si="34"/>
        <v/>
      </c>
    </row>
    <row r="561" spans="1:11" x14ac:dyDescent="0.25">
      <c r="A561">
        <v>6232</v>
      </c>
      <c r="B561">
        <v>145.934671364027</v>
      </c>
      <c r="C561">
        <v>33.042679288839501</v>
      </c>
      <c r="D561">
        <v>559</v>
      </c>
      <c r="E561">
        <f>VLOOKUP(A561, Athletes_Map!A:B, 2, FALSE)</f>
        <v>531</v>
      </c>
      <c r="F561" t="str">
        <f>VLOOKUP(A561, Athletes_Map!A:C, 3, FALSE)</f>
        <v>Player 531</v>
      </c>
      <c r="G561">
        <v>91</v>
      </c>
      <c r="H561">
        <f t="shared" si="35"/>
        <v>3</v>
      </c>
      <c r="I561" t="str">
        <f t="shared" si="32"/>
        <v>Alert</v>
      </c>
      <c r="J561" t="str">
        <f t="shared" si="33"/>
        <v>Oxygen</v>
      </c>
      <c r="K561">
        <f t="shared" si="34"/>
        <v>91</v>
      </c>
    </row>
    <row r="562" spans="1:11" x14ac:dyDescent="0.25">
      <c r="A562">
        <v>6237</v>
      </c>
      <c r="B562">
        <v>103.472156860315</v>
      </c>
      <c r="C562">
        <v>36.377585333367001</v>
      </c>
      <c r="D562">
        <v>560</v>
      </c>
      <c r="E562">
        <f>VLOOKUP(A562, Athletes_Map!A:B, 2, FALSE)</f>
        <v>532</v>
      </c>
      <c r="F562" t="str">
        <f>VLOOKUP(A562, Athletes_Map!A:C, 3, FALSE)</f>
        <v>Player 532</v>
      </c>
      <c r="G562">
        <v>98</v>
      </c>
      <c r="H562">
        <f t="shared" si="35"/>
        <v>1</v>
      </c>
      <c r="I562" t="str">
        <f t="shared" si="32"/>
        <v>Normal</v>
      </c>
      <c r="J562" t="str">
        <f t="shared" si="33"/>
        <v>Normal</v>
      </c>
      <c r="K562" t="str">
        <f t="shared" si="34"/>
        <v/>
      </c>
    </row>
    <row r="563" spans="1:11" x14ac:dyDescent="0.25">
      <c r="A563">
        <v>6240</v>
      </c>
      <c r="B563">
        <v>135.640082981315</v>
      </c>
      <c r="C563">
        <v>33.175003764258399</v>
      </c>
      <c r="D563">
        <v>561</v>
      </c>
      <c r="E563">
        <f>VLOOKUP(A563, Athletes_Map!A:B, 2, FALSE)</f>
        <v>533</v>
      </c>
      <c r="F563" t="str">
        <f>VLOOKUP(A563, Athletes_Map!A:C, 3, FALSE)</f>
        <v>Player 533</v>
      </c>
      <c r="G563">
        <v>95</v>
      </c>
      <c r="H563">
        <f t="shared" si="35"/>
        <v>2</v>
      </c>
      <c r="I563" t="str">
        <f t="shared" si="32"/>
        <v>Normal</v>
      </c>
      <c r="J563" t="str">
        <f t="shared" si="33"/>
        <v>Normal</v>
      </c>
      <c r="K563" t="str">
        <f t="shared" si="34"/>
        <v/>
      </c>
    </row>
    <row r="564" spans="1:11" x14ac:dyDescent="0.25">
      <c r="A564">
        <v>6249</v>
      </c>
      <c r="B564">
        <v>138.32904416426101</v>
      </c>
      <c r="C564">
        <v>34.930537026881197</v>
      </c>
      <c r="D564">
        <v>562</v>
      </c>
      <c r="E564">
        <f>VLOOKUP(A564, Athletes_Map!A:B, 2, FALSE)</f>
        <v>534</v>
      </c>
      <c r="F564" t="str">
        <f>VLOOKUP(A564, Athletes_Map!A:C, 3, FALSE)</f>
        <v>Player 534</v>
      </c>
      <c r="G564">
        <v>96</v>
      </c>
      <c r="H564">
        <f t="shared" si="35"/>
        <v>2</v>
      </c>
      <c r="I564" t="str">
        <f t="shared" si="32"/>
        <v>Normal</v>
      </c>
      <c r="J564" t="str">
        <f t="shared" si="33"/>
        <v>Normal</v>
      </c>
      <c r="K564" t="str">
        <f t="shared" si="34"/>
        <v/>
      </c>
    </row>
    <row r="565" spans="1:11" x14ac:dyDescent="0.25">
      <c r="A565">
        <v>6256</v>
      </c>
      <c r="B565">
        <v>125.935439013454</v>
      </c>
      <c r="C565">
        <v>33.455286477126101</v>
      </c>
      <c r="D565">
        <v>563</v>
      </c>
      <c r="E565">
        <f>VLOOKUP(A565, Athletes_Map!A:B, 2, FALSE)</f>
        <v>535</v>
      </c>
      <c r="F565" t="str">
        <f>VLOOKUP(A565, Athletes_Map!A:C, 3, FALSE)</f>
        <v>Player 535</v>
      </c>
      <c r="G565">
        <v>96</v>
      </c>
      <c r="H565">
        <f t="shared" si="35"/>
        <v>2</v>
      </c>
      <c r="I565" t="str">
        <f t="shared" si="32"/>
        <v>Normal</v>
      </c>
      <c r="J565" t="str">
        <f t="shared" si="33"/>
        <v>Normal</v>
      </c>
      <c r="K565" t="str">
        <f t="shared" si="34"/>
        <v/>
      </c>
    </row>
    <row r="566" spans="1:11" x14ac:dyDescent="0.25">
      <c r="A566">
        <v>6258</v>
      </c>
      <c r="B566">
        <v>117.83284439637499</v>
      </c>
      <c r="C566">
        <v>33.332830154357602</v>
      </c>
      <c r="D566">
        <v>564</v>
      </c>
      <c r="E566">
        <f>VLOOKUP(A566, Athletes_Map!A:B, 2, FALSE)</f>
        <v>536</v>
      </c>
      <c r="F566" t="str">
        <f>VLOOKUP(A566, Athletes_Map!A:C, 3, FALSE)</f>
        <v>Player 536</v>
      </c>
      <c r="G566">
        <v>94</v>
      </c>
      <c r="H566">
        <f t="shared" si="35"/>
        <v>1</v>
      </c>
      <c r="I566" t="str">
        <f t="shared" si="32"/>
        <v>Normal</v>
      </c>
      <c r="J566" t="str">
        <f t="shared" si="33"/>
        <v>Normal</v>
      </c>
      <c r="K566" t="str">
        <f t="shared" si="34"/>
        <v/>
      </c>
    </row>
    <row r="567" spans="1:11" x14ac:dyDescent="0.25">
      <c r="A567">
        <v>6276</v>
      </c>
      <c r="B567">
        <v>116.535335077781</v>
      </c>
      <c r="C567">
        <v>32.296886792018697</v>
      </c>
      <c r="D567">
        <v>565</v>
      </c>
      <c r="E567">
        <f>VLOOKUP(A567, Athletes_Map!A:B, 2, FALSE)</f>
        <v>537</v>
      </c>
      <c r="F567" t="str">
        <f>VLOOKUP(A567, Athletes_Map!A:C, 3, FALSE)</f>
        <v>Player 537</v>
      </c>
      <c r="G567">
        <v>95</v>
      </c>
      <c r="H567">
        <f t="shared" si="35"/>
        <v>1</v>
      </c>
      <c r="I567" t="str">
        <f t="shared" si="32"/>
        <v>Normal</v>
      </c>
      <c r="J567" t="str">
        <f t="shared" si="33"/>
        <v>Normal</v>
      </c>
      <c r="K567" t="str">
        <f t="shared" si="34"/>
        <v/>
      </c>
    </row>
    <row r="568" spans="1:11" x14ac:dyDescent="0.25">
      <c r="A568">
        <v>6287</v>
      </c>
      <c r="B568">
        <v>186.16398571336501</v>
      </c>
      <c r="C568">
        <v>31.850917253981699</v>
      </c>
      <c r="D568">
        <v>566</v>
      </c>
      <c r="E568">
        <f>VLOOKUP(A568, Athletes_Map!A:B, 2, FALSE)</f>
        <v>538</v>
      </c>
      <c r="F568" t="str">
        <f>VLOOKUP(A568, Athletes_Map!A:C, 3, FALSE)</f>
        <v>Player 538</v>
      </c>
      <c r="G568">
        <v>91</v>
      </c>
      <c r="H568">
        <f t="shared" si="35"/>
        <v>3</v>
      </c>
      <c r="I568" t="str">
        <f t="shared" si="32"/>
        <v>Alert</v>
      </c>
      <c r="J568" t="str">
        <f t="shared" si="33"/>
        <v>Heart Rate</v>
      </c>
      <c r="K568">
        <f t="shared" si="34"/>
        <v>186.16398571336501</v>
      </c>
    </row>
    <row r="569" spans="1:11" x14ac:dyDescent="0.25">
      <c r="A569">
        <v>6293</v>
      </c>
      <c r="B569">
        <v>112.928213655684</v>
      </c>
      <c r="C569">
        <v>32.588545366130901</v>
      </c>
      <c r="D569">
        <v>567</v>
      </c>
      <c r="E569">
        <f>VLOOKUP(A569, Athletes_Map!A:B, 2, FALSE)</f>
        <v>539</v>
      </c>
      <c r="F569" t="str">
        <f>VLOOKUP(A569, Athletes_Map!A:C, 3, FALSE)</f>
        <v>Player 539</v>
      </c>
      <c r="G569">
        <v>94</v>
      </c>
      <c r="H569">
        <f t="shared" si="35"/>
        <v>1</v>
      </c>
      <c r="I569" t="str">
        <f t="shared" si="32"/>
        <v>Normal</v>
      </c>
      <c r="J569" t="str">
        <f t="shared" si="33"/>
        <v>Normal</v>
      </c>
      <c r="K569" t="str">
        <f t="shared" si="34"/>
        <v/>
      </c>
    </row>
    <row r="570" spans="1:11" x14ac:dyDescent="0.25">
      <c r="A570">
        <v>6299</v>
      </c>
      <c r="B570">
        <v>126.92703073516</v>
      </c>
      <c r="C570">
        <v>30</v>
      </c>
      <c r="D570">
        <v>568</v>
      </c>
      <c r="E570">
        <f>VLOOKUP(A570, Athletes_Map!A:B, 2, FALSE)</f>
        <v>540</v>
      </c>
      <c r="F570" t="str">
        <f>VLOOKUP(A570, Athletes_Map!A:C, 3, FALSE)</f>
        <v>Player 540</v>
      </c>
      <c r="G570">
        <v>95</v>
      </c>
      <c r="H570">
        <f t="shared" si="35"/>
        <v>2</v>
      </c>
      <c r="I570" t="str">
        <f t="shared" si="32"/>
        <v>Normal</v>
      </c>
      <c r="J570" t="str">
        <f t="shared" si="33"/>
        <v>Normal</v>
      </c>
      <c r="K570" t="str">
        <f t="shared" si="34"/>
        <v/>
      </c>
    </row>
    <row r="571" spans="1:11" x14ac:dyDescent="0.25">
      <c r="A571">
        <v>6301</v>
      </c>
      <c r="B571">
        <v>162.282808599476</v>
      </c>
      <c r="C571">
        <v>33.685415287463002</v>
      </c>
      <c r="D571">
        <v>569</v>
      </c>
      <c r="E571">
        <f>VLOOKUP(A571, Athletes_Map!A:B, 2, FALSE)</f>
        <v>541</v>
      </c>
      <c r="F571" t="str">
        <f>VLOOKUP(A571, Athletes_Map!A:C, 3, FALSE)</f>
        <v>Player 541</v>
      </c>
      <c r="G571">
        <v>90</v>
      </c>
      <c r="H571">
        <f t="shared" si="35"/>
        <v>3</v>
      </c>
      <c r="I571" t="str">
        <f t="shared" si="32"/>
        <v>Alert</v>
      </c>
      <c r="J571" t="str">
        <f t="shared" si="33"/>
        <v>Heart Rate</v>
      </c>
      <c r="K571">
        <f t="shared" si="34"/>
        <v>162.282808599476</v>
      </c>
    </row>
    <row r="572" spans="1:11" x14ac:dyDescent="0.25">
      <c r="A572">
        <v>6305</v>
      </c>
      <c r="B572">
        <v>102.092025060862</v>
      </c>
      <c r="C572">
        <v>30.7963682594755</v>
      </c>
      <c r="D572">
        <v>570</v>
      </c>
      <c r="E572">
        <f>VLOOKUP(A572, Athletes_Map!A:B, 2, FALSE)</f>
        <v>542</v>
      </c>
      <c r="F572" t="str">
        <f>VLOOKUP(A572, Athletes_Map!A:C, 3, FALSE)</f>
        <v>Player 542</v>
      </c>
      <c r="G572">
        <v>97</v>
      </c>
      <c r="H572">
        <f t="shared" si="35"/>
        <v>1</v>
      </c>
      <c r="I572" t="str">
        <f t="shared" si="32"/>
        <v>Normal</v>
      </c>
      <c r="J572" t="str">
        <f t="shared" si="33"/>
        <v>Normal</v>
      </c>
      <c r="K572" t="str">
        <f t="shared" si="34"/>
        <v/>
      </c>
    </row>
    <row r="573" spans="1:11" x14ac:dyDescent="0.25">
      <c r="A573">
        <v>6311</v>
      </c>
      <c r="B573">
        <v>149.219199364069</v>
      </c>
      <c r="C573">
        <v>34.5304688855988</v>
      </c>
      <c r="D573">
        <v>571</v>
      </c>
      <c r="E573">
        <f>VLOOKUP(A573, Athletes_Map!A:B, 2, FALSE)</f>
        <v>543</v>
      </c>
      <c r="F573" t="str">
        <f>VLOOKUP(A573, Athletes_Map!A:C, 3, FALSE)</f>
        <v>Player 543</v>
      </c>
      <c r="G573">
        <v>90</v>
      </c>
      <c r="H573">
        <f t="shared" si="35"/>
        <v>3</v>
      </c>
      <c r="I573" t="str">
        <f t="shared" si="32"/>
        <v>Alert</v>
      </c>
      <c r="J573" t="str">
        <f t="shared" si="33"/>
        <v>Oxygen</v>
      </c>
      <c r="K573">
        <f t="shared" si="34"/>
        <v>90</v>
      </c>
    </row>
    <row r="574" spans="1:11" x14ac:dyDescent="0.25">
      <c r="A574">
        <v>6315</v>
      </c>
      <c r="B574">
        <v>145.45670976071</v>
      </c>
      <c r="C574">
        <v>35.603923905696597</v>
      </c>
      <c r="D574">
        <v>572</v>
      </c>
      <c r="E574">
        <f>VLOOKUP(A574, Athletes_Map!A:B, 2, FALSE)</f>
        <v>544</v>
      </c>
      <c r="F574" t="str">
        <f>VLOOKUP(A574, Athletes_Map!A:C, 3, FALSE)</f>
        <v>Player 544</v>
      </c>
      <c r="G574">
        <v>92</v>
      </c>
      <c r="H574">
        <f t="shared" si="35"/>
        <v>2</v>
      </c>
      <c r="I574" t="str">
        <f t="shared" si="32"/>
        <v>Normal</v>
      </c>
      <c r="J574" t="str">
        <f t="shared" si="33"/>
        <v>Normal</v>
      </c>
      <c r="K574" t="str">
        <f t="shared" si="34"/>
        <v/>
      </c>
    </row>
    <row r="575" spans="1:11" x14ac:dyDescent="0.25">
      <c r="A575">
        <v>6320</v>
      </c>
      <c r="B575">
        <v>110.807179626175</v>
      </c>
      <c r="C575">
        <v>34.242532099700298</v>
      </c>
      <c r="D575">
        <v>573</v>
      </c>
      <c r="E575">
        <f>VLOOKUP(A575, Athletes_Map!A:B, 2, FALSE)</f>
        <v>545</v>
      </c>
      <c r="F575" t="str">
        <f>VLOOKUP(A575, Athletes_Map!A:C, 3, FALSE)</f>
        <v>Player 545</v>
      </c>
      <c r="G575">
        <v>94</v>
      </c>
      <c r="H575">
        <f t="shared" si="35"/>
        <v>1</v>
      </c>
      <c r="I575" t="str">
        <f t="shared" si="32"/>
        <v>Normal</v>
      </c>
      <c r="J575" t="str">
        <f t="shared" si="33"/>
        <v>Normal</v>
      </c>
      <c r="K575" t="str">
        <f t="shared" si="34"/>
        <v/>
      </c>
    </row>
    <row r="576" spans="1:11" x14ac:dyDescent="0.25">
      <c r="A576">
        <v>6334</v>
      </c>
      <c r="B576">
        <v>146.27818240104699</v>
      </c>
      <c r="C576">
        <v>32.704339916982498</v>
      </c>
      <c r="D576">
        <v>574</v>
      </c>
      <c r="E576">
        <f>VLOOKUP(A576, Athletes_Map!A:B, 2, FALSE)</f>
        <v>546</v>
      </c>
      <c r="F576" t="str">
        <f>VLOOKUP(A576, Athletes_Map!A:C, 3, FALSE)</f>
        <v>Player 546</v>
      </c>
      <c r="G576">
        <v>90</v>
      </c>
      <c r="H576">
        <f t="shared" si="35"/>
        <v>3</v>
      </c>
      <c r="I576" t="str">
        <f t="shared" si="32"/>
        <v>Alert</v>
      </c>
      <c r="J576" t="str">
        <f t="shared" si="33"/>
        <v>Oxygen</v>
      </c>
      <c r="K576">
        <f t="shared" si="34"/>
        <v>90</v>
      </c>
    </row>
    <row r="577" spans="1:11" x14ac:dyDescent="0.25">
      <c r="A577">
        <v>6342</v>
      </c>
      <c r="B577">
        <v>148.46362702539901</v>
      </c>
      <c r="C577">
        <v>33.794462201710097</v>
      </c>
      <c r="D577">
        <v>575</v>
      </c>
      <c r="E577">
        <f>VLOOKUP(A577, Athletes_Map!A:B, 2, FALSE)</f>
        <v>547</v>
      </c>
      <c r="F577" t="str">
        <f>VLOOKUP(A577, Athletes_Map!A:C, 3, FALSE)</f>
        <v>Player 547</v>
      </c>
      <c r="G577">
        <v>91</v>
      </c>
      <c r="H577">
        <f t="shared" si="35"/>
        <v>3</v>
      </c>
      <c r="I577" t="str">
        <f t="shared" si="32"/>
        <v>Alert</v>
      </c>
      <c r="J577" t="str">
        <f t="shared" si="33"/>
        <v>Oxygen</v>
      </c>
      <c r="K577">
        <f t="shared" si="34"/>
        <v>91</v>
      </c>
    </row>
    <row r="578" spans="1:11" x14ac:dyDescent="0.25">
      <c r="A578">
        <v>6348</v>
      </c>
      <c r="B578">
        <v>132.40358600533099</v>
      </c>
      <c r="C578">
        <v>33.623882567434499</v>
      </c>
      <c r="D578">
        <v>576</v>
      </c>
      <c r="E578">
        <f>VLOOKUP(A578, Athletes_Map!A:B, 2, FALSE)</f>
        <v>548</v>
      </c>
      <c r="F578" t="str">
        <f>VLOOKUP(A578, Athletes_Map!A:C, 3, FALSE)</f>
        <v>Player 548</v>
      </c>
      <c r="G578">
        <v>96</v>
      </c>
      <c r="H578">
        <f t="shared" si="35"/>
        <v>2</v>
      </c>
      <c r="I578" t="str">
        <f t="shared" ref="I578:I641" si="36">IF(H578=3, "Alert", "Normal")</f>
        <v>Normal</v>
      </c>
      <c r="J578" t="str">
        <f t="shared" ref="J578:J641" si="37">IF(B578&gt;150,"Heart Rate",
IF(C578&gt;37.5,"Temperature",
IF(G578&lt;92,"Oxygen","Normal")))</f>
        <v>Normal</v>
      </c>
      <c r="K578" t="str">
        <f t="shared" ref="K578:K641" si="38">IF(J578="Heart Rate",B578,IF(J578="Temperature",C578,IF(J578="Oxygen",G578,"")))</f>
        <v/>
      </c>
    </row>
    <row r="579" spans="1:11" x14ac:dyDescent="0.25">
      <c r="A579">
        <v>6373</v>
      </c>
      <c r="B579">
        <v>153.27169252466399</v>
      </c>
      <c r="C579">
        <v>31.793278349172599</v>
      </c>
      <c r="D579">
        <v>577</v>
      </c>
      <c r="E579">
        <f>VLOOKUP(A579, Athletes_Map!A:B, 2, FALSE)</f>
        <v>549</v>
      </c>
      <c r="F579" t="str">
        <f>VLOOKUP(A579, Athletes_Map!A:C, 3, FALSE)</f>
        <v>Player 549</v>
      </c>
      <c r="G579">
        <v>91</v>
      </c>
      <c r="H579">
        <f t="shared" ref="H579:H642" si="39">IF(OR(B579&gt;150, C579&gt;37.5, G579&lt;92), 3,
IF(OR(B579&gt;120, C579&gt;37, G579&lt;94), 2,
1))</f>
        <v>3</v>
      </c>
      <c r="I579" t="str">
        <f t="shared" si="36"/>
        <v>Alert</v>
      </c>
      <c r="J579" t="str">
        <f t="shared" si="37"/>
        <v>Heart Rate</v>
      </c>
      <c r="K579">
        <f t="shared" si="38"/>
        <v>153.27169252466399</v>
      </c>
    </row>
    <row r="580" spans="1:11" x14ac:dyDescent="0.25">
      <c r="A580">
        <v>6387</v>
      </c>
      <c r="B580">
        <v>129.819157083585</v>
      </c>
      <c r="C580">
        <v>34.3674666432305</v>
      </c>
      <c r="D580">
        <v>578</v>
      </c>
      <c r="E580">
        <f>VLOOKUP(A580, Athletes_Map!A:B, 2, FALSE)</f>
        <v>550</v>
      </c>
      <c r="F580" t="str">
        <f>VLOOKUP(A580, Athletes_Map!A:C, 3, FALSE)</f>
        <v>Player 550</v>
      </c>
      <c r="G580">
        <v>93</v>
      </c>
      <c r="H580">
        <f t="shared" si="39"/>
        <v>2</v>
      </c>
      <c r="I580" t="str">
        <f t="shared" si="36"/>
        <v>Normal</v>
      </c>
      <c r="J580" t="str">
        <f t="shared" si="37"/>
        <v>Normal</v>
      </c>
      <c r="K580" t="str">
        <f t="shared" si="38"/>
        <v/>
      </c>
    </row>
    <row r="581" spans="1:11" x14ac:dyDescent="0.25">
      <c r="A581">
        <v>6390</v>
      </c>
      <c r="B581">
        <v>112.788483090683</v>
      </c>
      <c r="C581">
        <v>33.087836389202003</v>
      </c>
      <c r="D581">
        <v>579</v>
      </c>
      <c r="E581">
        <f>VLOOKUP(A581, Athletes_Map!A:B, 2, FALSE)</f>
        <v>551</v>
      </c>
      <c r="F581" t="str">
        <f>VLOOKUP(A581, Athletes_Map!A:C, 3, FALSE)</f>
        <v>Player 551</v>
      </c>
      <c r="G581">
        <v>96</v>
      </c>
      <c r="H581">
        <f t="shared" si="39"/>
        <v>1</v>
      </c>
      <c r="I581" t="str">
        <f t="shared" si="36"/>
        <v>Normal</v>
      </c>
      <c r="J581" t="str">
        <f t="shared" si="37"/>
        <v>Normal</v>
      </c>
      <c r="K581" t="str">
        <f t="shared" si="38"/>
        <v/>
      </c>
    </row>
    <row r="582" spans="1:11" x14ac:dyDescent="0.25">
      <c r="A582">
        <v>6393</v>
      </c>
      <c r="B582">
        <v>133.06573776259199</v>
      </c>
      <c r="C582">
        <v>31.421021020286901</v>
      </c>
      <c r="D582">
        <v>580</v>
      </c>
      <c r="E582">
        <f>VLOOKUP(A582, Athletes_Map!A:B, 2, FALSE)</f>
        <v>552</v>
      </c>
      <c r="F582" t="str">
        <f>VLOOKUP(A582, Athletes_Map!A:C, 3, FALSE)</f>
        <v>Player 552</v>
      </c>
      <c r="G582">
        <v>94</v>
      </c>
      <c r="H582">
        <f t="shared" si="39"/>
        <v>2</v>
      </c>
      <c r="I582" t="str">
        <f t="shared" si="36"/>
        <v>Normal</v>
      </c>
      <c r="J582" t="str">
        <f t="shared" si="37"/>
        <v>Normal</v>
      </c>
      <c r="K582" t="str">
        <f t="shared" si="38"/>
        <v/>
      </c>
    </row>
    <row r="583" spans="1:11" x14ac:dyDescent="0.25">
      <c r="A583">
        <v>6401</v>
      </c>
      <c r="B583">
        <v>109.063361040883</v>
      </c>
      <c r="C583">
        <v>33.816276250101097</v>
      </c>
      <c r="D583">
        <v>581</v>
      </c>
      <c r="E583">
        <f>VLOOKUP(A583, Athletes_Map!A:B, 2, FALSE)</f>
        <v>553</v>
      </c>
      <c r="F583" t="str">
        <f>VLOOKUP(A583, Athletes_Map!A:C, 3, FALSE)</f>
        <v>Player 553</v>
      </c>
      <c r="G583">
        <v>98</v>
      </c>
      <c r="H583">
        <f t="shared" si="39"/>
        <v>1</v>
      </c>
      <c r="I583" t="str">
        <f t="shared" si="36"/>
        <v>Normal</v>
      </c>
      <c r="J583" t="str">
        <f t="shared" si="37"/>
        <v>Normal</v>
      </c>
      <c r="K583" t="str">
        <f t="shared" si="38"/>
        <v/>
      </c>
    </row>
    <row r="584" spans="1:11" x14ac:dyDescent="0.25">
      <c r="A584">
        <v>6408</v>
      </c>
      <c r="B584">
        <v>150.32160556769301</v>
      </c>
      <c r="C584">
        <v>33.492660102393103</v>
      </c>
      <c r="D584">
        <v>582</v>
      </c>
      <c r="E584">
        <f>VLOOKUP(A584, Athletes_Map!A:B, 2, FALSE)</f>
        <v>554</v>
      </c>
      <c r="F584" t="str">
        <f>VLOOKUP(A584, Athletes_Map!A:C, 3, FALSE)</f>
        <v>Player 554</v>
      </c>
      <c r="G584">
        <v>91</v>
      </c>
      <c r="H584">
        <f t="shared" si="39"/>
        <v>3</v>
      </c>
      <c r="I584" t="str">
        <f t="shared" si="36"/>
        <v>Alert</v>
      </c>
      <c r="J584" t="str">
        <f t="shared" si="37"/>
        <v>Heart Rate</v>
      </c>
      <c r="K584">
        <f t="shared" si="38"/>
        <v>150.32160556769301</v>
      </c>
    </row>
    <row r="585" spans="1:11" x14ac:dyDescent="0.25">
      <c r="A585">
        <v>6415</v>
      </c>
      <c r="B585">
        <v>164.55060162110499</v>
      </c>
      <c r="C585">
        <v>32.916561256509198</v>
      </c>
      <c r="D585">
        <v>583</v>
      </c>
      <c r="E585">
        <f>VLOOKUP(A585, Athletes_Map!A:B, 2, FALSE)</f>
        <v>555</v>
      </c>
      <c r="F585" t="str">
        <f>VLOOKUP(A585, Athletes_Map!A:C, 3, FALSE)</f>
        <v>Player 555</v>
      </c>
      <c r="G585">
        <v>91</v>
      </c>
      <c r="H585">
        <f t="shared" si="39"/>
        <v>3</v>
      </c>
      <c r="I585" t="str">
        <f t="shared" si="36"/>
        <v>Alert</v>
      </c>
      <c r="J585" t="str">
        <f t="shared" si="37"/>
        <v>Heart Rate</v>
      </c>
      <c r="K585">
        <f t="shared" si="38"/>
        <v>164.55060162110499</v>
      </c>
    </row>
    <row r="586" spans="1:11" x14ac:dyDescent="0.25">
      <c r="A586">
        <v>6423</v>
      </c>
      <c r="B586">
        <v>156.33349379178301</v>
      </c>
      <c r="C586">
        <v>32.040071391957603</v>
      </c>
      <c r="D586">
        <v>584</v>
      </c>
      <c r="E586">
        <f>VLOOKUP(A586, Athletes_Map!A:B, 2, FALSE)</f>
        <v>556</v>
      </c>
      <c r="F586" t="str">
        <f>VLOOKUP(A586, Athletes_Map!A:C, 3, FALSE)</f>
        <v>Player 556</v>
      </c>
      <c r="G586">
        <v>93</v>
      </c>
      <c r="H586">
        <f t="shared" si="39"/>
        <v>3</v>
      </c>
      <c r="I586" t="str">
        <f t="shared" si="36"/>
        <v>Alert</v>
      </c>
      <c r="J586" t="str">
        <f t="shared" si="37"/>
        <v>Heart Rate</v>
      </c>
      <c r="K586">
        <f t="shared" si="38"/>
        <v>156.33349379178301</v>
      </c>
    </row>
    <row r="587" spans="1:11" x14ac:dyDescent="0.25">
      <c r="A587">
        <v>6442</v>
      </c>
      <c r="B587">
        <v>106.384497957639</v>
      </c>
      <c r="C587">
        <v>34.548773353107002</v>
      </c>
      <c r="D587">
        <v>585</v>
      </c>
      <c r="E587">
        <f>VLOOKUP(A587, Athletes_Map!A:B, 2, FALSE)</f>
        <v>557</v>
      </c>
      <c r="F587" t="str">
        <f>VLOOKUP(A587, Athletes_Map!A:C, 3, FALSE)</f>
        <v>Player 557</v>
      </c>
      <c r="G587">
        <v>99</v>
      </c>
      <c r="H587">
        <f t="shared" si="39"/>
        <v>1</v>
      </c>
      <c r="I587" t="str">
        <f t="shared" si="36"/>
        <v>Normal</v>
      </c>
      <c r="J587" t="str">
        <f t="shared" si="37"/>
        <v>Normal</v>
      </c>
      <c r="K587" t="str">
        <f t="shared" si="38"/>
        <v/>
      </c>
    </row>
    <row r="588" spans="1:11" x14ac:dyDescent="0.25">
      <c r="A588">
        <v>6449</v>
      </c>
      <c r="B588">
        <v>153.68639822478499</v>
      </c>
      <c r="C588">
        <v>31.1013878839846</v>
      </c>
      <c r="D588">
        <v>586</v>
      </c>
      <c r="E588">
        <f>VLOOKUP(A588, Athletes_Map!A:B, 2, FALSE)</f>
        <v>558</v>
      </c>
      <c r="F588" t="str">
        <f>VLOOKUP(A588, Athletes_Map!A:C, 3, FALSE)</f>
        <v>Player 558</v>
      </c>
      <c r="G588">
        <v>91</v>
      </c>
      <c r="H588">
        <f t="shared" si="39"/>
        <v>3</v>
      </c>
      <c r="I588" t="str">
        <f t="shared" si="36"/>
        <v>Alert</v>
      </c>
      <c r="J588" t="str">
        <f t="shared" si="37"/>
        <v>Heart Rate</v>
      </c>
      <c r="K588">
        <f t="shared" si="38"/>
        <v>153.68639822478499</v>
      </c>
    </row>
    <row r="589" spans="1:11" x14ac:dyDescent="0.25">
      <c r="A589">
        <v>6450</v>
      </c>
      <c r="B589">
        <v>117.107853955609</v>
      </c>
      <c r="C589">
        <v>33.972958374709997</v>
      </c>
      <c r="D589">
        <v>587</v>
      </c>
      <c r="E589">
        <f>VLOOKUP(A589, Athletes_Map!A:B, 2, FALSE)</f>
        <v>559</v>
      </c>
      <c r="F589" t="str">
        <f>VLOOKUP(A589, Athletes_Map!A:C, 3, FALSE)</f>
        <v>Player 559</v>
      </c>
      <c r="G589">
        <v>94</v>
      </c>
      <c r="H589">
        <f t="shared" si="39"/>
        <v>1</v>
      </c>
      <c r="I589" t="str">
        <f t="shared" si="36"/>
        <v>Normal</v>
      </c>
      <c r="J589" t="str">
        <f t="shared" si="37"/>
        <v>Normal</v>
      </c>
      <c r="K589" t="str">
        <f t="shared" si="38"/>
        <v/>
      </c>
    </row>
    <row r="590" spans="1:11" x14ac:dyDescent="0.25">
      <c r="A590">
        <v>6463</v>
      </c>
      <c r="B590">
        <v>187.647641296747</v>
      </c>
      <c r="C590">
        <v>30.637292229100701</v>
      </c>
      <c r="D590">
        <v>588</v>
      </c>
      <c r="E590">
        <f>VLOOKUP(A590, Athletes_Map!A:B, 2, FALSE)</f>
        <v>560</v>
      </c>
      <c r="F590" t="str">
        <f>VLOOKUP(A590, Athletes_Map!A:C, 3, FALSE)</f>
        <v>Player 560</v>
      </c>
      <c r="G590">
        <v>93</v>
      </c>
      <c r="H590">
        <f t="shared" si="39"/>
        <v>3</v>
      </c>
      <c r="I590" t="str">
        <f t="shared" si="36"/>
        <v>Alert</v>
      </c>
      <c r="J590" t="str">
        <f t="shared" si="37"/>
        <v>Heart Rate</v>
      </c>
      <c r="K590">
        <f t="shared" si="38"/>
        <v>187.647641296747</v>
      </c>
    </row>
    <row r="591" spans="1:11" x14ac:dyDescent="0.25">
      <c r="A591">
        <v>6468</v>
      </c>
      <c r="B591">
        <v>120.663553587943</v>
      </c>
      <c r="C591">
        <v>32.293065440662602</v>
      </c>
      <c r="D591">
        <v>589</v>
      </c>
      <c r="E591">
        <f>VLOOKUP(A591, Athletes_Map!A:B, 2, FALSE)</f>
        <v>561</v>
      </c>
      <c r="F591" t="str">
        <f>VLOOKUP(A591, Athletes_Map!A:C, 3, FALSE)</f>
        <v>Player 561</v>
      </c>
      <c r="G591">
        <v>93</v>
      </c>
      <c r="H591">
        <f t="shared" si="39"/>
        <v>2</v>
      </c>
      <c r="I591" t="str">
        <f t="shared" si="36"/>
        <v>Normal</v>
      </c>
      <c r="J591" t="str">
        <f t="shared" si="37"/>
        <v>Normal</v>
      </c>
      <c r="K591" t="str">
        <f t="shared" si="38"/>
        <v/>
      </c>
    </row>
    <row r="592" spans="1:11" x14ac:dyDescent="0.25">
      <c r="A592">
        <v>6486</v>
      </c>
      <c r="B592">
        <v>127.727755755722</v>
      </c>
      <c r="C592">
        <v>32.782261116902902</v>
      </c>
      <c r="D592">
        <v>590</v>
      </c>
      <c r="E592">
        <f>VLOOKUP(A592, Athletes_Map!A:B, 2, FALSE)</f>
        <v>562</v>
      </c>
      <c r="F592" t="str">
        <f>VLOOKUP(A592, Athletes_Map!A:C, 3, FALSE)</f>
        <v>Player 562</v>
      </c>
      <c r="G592">
        <v>94</v>
      </c>
      <c r="H592">
        <f t="shared" si="39"/>
        <v>2</v>
      </c>
      <c r="I592" t="str">
        <f t="shared" si="36"/>
        <v>Normal</v>
      </c>
      <c r="J592" t="str">
        <f t="shared" si="37"/>
        <v>Normal</v>
      </c>
      <c r="K592" t="str">
        <f t="shared" si="38"/>
        <v/>
      </c>
    </row>
    <row r="593" spans="1:11" x14ac:dyDescent="0.25">
      <c r="A593">
        <v>6486</v>
      </c>
      <c r="B593">
        <v>118.060773033633</v>
      </c>
      <c r="C593">
        <v>33.292236245023602</v>
      </c>
      <c r="D593">
        <v>591</v>
      </c>
      <c r="E593">
        <f>VLOOKUP(A593, Athletes_Map!A:B, 2, FALSE)</f>
        <v>562</v>
      </c>
      <c r="F593" t="str">
        <f>VLOOKUP(A593, Athletes_Map!A:C, 3, FALSE)</f>
        <v>Player 562</v>
      </c>
      <c r="G593">
        <v>95</v>
      </c>
      <c r="H593">
        <f t="shared" si="39"/>
        <v>1</v>
      </c>
      <c r="I593" t="str">
        <f t="shared" si="36"/>
        <v>Normal</v>
      </c>
      <c r="J593" t="str">
        <f t="shared" si="37"/>
        <v>Normal</v>
      </c>
      <c r="K593" t="str">
        <f t="shared" si="38"/>
        <v/>
      </c>
    </row>
    <row r="594" spans="1:11" x14ac:dyDescent="0.25">
      <c r="A594">
        <v>6490</v>
      </c>
      <c r="B594">
        <v>115.013955354101</v>
      </c>
      <c r="C594">
        <v>32.229999815843499</v>
      </c>
      <c r="D594">
        <v>592</v>
      </c>
      <c r="E594">
        <f>VLOOKUP(A594, Athletes_Map!A:B, 2, FALSE)</f>
        <v>563</v>
      </c>
      <c r="F594" t="str">
        <f>VLOOKUP(A594, Athletes_Map!A:C, 3, FALSE)</f>
        <v>Player 563</v>
      </c>
      <c r="G594">
        <v>93</v>
      </c>
      <c r="H594">
        <f t="shared" si="39"/>
        <v>2</v>
      </c>
      <c r="I594" t="str">
        <f t="shared" si="36"/>
        <v>Normal</v>
      </c>
      <c r="J594" t="str">
        <f t="shared" si="37"/>
        <v>Normal</v>
      </c>
      <c r="K594" t="str">
        <f t="shared" si="38"/>
        <v/>
      </c>
    </row>
    <row r="595" spans="1:11" x14ac:dyDescent="0.25">
      <c r="A595">
        <v>6530</v>
      </c>
      <c r="B595">
        <v>156.309607501307</v>
      </c>
      <c r="C595">
        <v>31.5791633301329</v>
      </c>
      <c r="D595">
        <v>593</v>
      </c>
      <c r="E595">
        <f>VLOOKUP(A595, Athletes_Map!A:B, 2, FALSE)</f>
        <v>564</v>
      </c>
      <c r="F595" t="str">
        <f>VLOOKUP(A595, Athletes_Map!A:C, 3, FALSE)</f>
        <v>Player 564</v>
      </c>
      <c r="G595">
        <v>93</v>
      </c>
      <c r="H595">
        <f t="shared" si="39"/>
        <v>3</v>
      </c>
      <c r="I595" t="str">
        <f t="shared" si="36"/>
        <v>Alert</v>
      </c>
      <c r="J595" t="str">
        <f t="shared" si="37"/>
        <v>Heart Rate</v>
      </c>
      <c r="K595">
        <f t="shared" si="38"/>
        <v>156.309607501307</v>
      </c>
    </row>
    <row r="596" spans="1:11" x14ac:dyDescent="0.25">
      <c r="A596">
        <v>6534</v>
      </c>
      <c r="B596">
        <v>146.67856370651899</v>
      </c>
      <c r="C596">
        <v>30.364646614680002</v>
      </c>
      <c r="D596">
        <v>594</v>
      </c>
      <c r="E596">
        <f>VLOOKUP(A596, Athletes_Map!A:B, 2, FALSE)</f>
        <v>565</v>
      </c>
      <c r="F596" t="str">
        <f>VLOOKUP(A596, Athletes_Map!A:C, 3, FALSE)</f>
        <v>Player 565</v>
      </c>
      <c r="G596">
        <v>93</v>
      </c>
      <c r="H596">
        <f t="shared" si="39"/>
        <v>2</v>
      </c>
      <c r="I596" t="str">
        <f t="shared" si="36"/>
        <v>Normal</v>
      </c>
      <c r="J596" t="str">
        <f t="shared" si="37"/>
        <v>Normal</v>
      </c>
      <c r="K596" t="str">
        <f t="shared" si="38"/>
        <v/>
      </c>
    </row>
    <row r="597" spans="1:11" x14ac:dyDescent="0.25">
      <c r="A597">
        <v>6535</v>
      </c>
      <c r="B597">
        <v>122.245200314973</v>
      </c>
      <c r="C597">
        <v>32.820071137105003</v>
      </c>
      <c r="D597">
        <v>595</v>
      </c>
      <c r="E597">
        <f>VLOOKUP(A597, Athletes_Map!A:B, 2, FALSE)</f>
        <v>566</v>
      </c>
      <c r="F597" t="str">
        <f>VLOOKUP(A597, Athletes_Map!A:C, 3, FALSE)</f>
        <v>Player 566</v>
      </c>
      <c r="G597">
        <v>93</v>
      </c>
      <c r="H597">
        <f t="shared" si="39"/>
        <v>2</v>
      </c>
      <c r="I597" t="str">
        <f t="shared" si="36"/>
        <v>Normal</v>
      </c>
      <c r="J597" t="str">
        <f t="shared" si="37"/>
        <v>Normal</v>
      </c>
      <c r="K597" t="str">
        <f t="shared" si="38"/>
        <v/>
      </c>
    </row>
    <row r="598" spans="1:11" x14ac:dyDescent="0.25">
      <c r="A598">
        <v>6536</v>
      </c>
      <c r="B598">
        <v>133.56797481171799</v>
      </c>
      <c r="C598">
        <v>31.6816554897866</v>
      </c>
      <c r="D598">
        <v>596</v>
      </c>
      <c r="E598">
        <f>VLOOKUP(A598, Athletes_Map!A:B, 2, FALSE)</f>
        <v>567</v>
      </c>
      <c r="F598" t="str">
        <f>VLOOKUP(A598, Athletes_Map!A:C, 3, FALSE)</f>
        <v>Player 567</v>
      </c>
      <c r="G598">
        <v>93</v>
      </c>
      <c r="H598">
        <f t="shared" si="39"/>
        <v>2</v>
      </c>
      <c r="I598" t="str">
        <f t="shared" si="36"/>
        <v>Normal</v>
      </c>
      <c r="J598" t="str">
        <f t="shared" si="37"/>
        <v>Normal</v>
      </c>
      <c r="K598" t="str">
        <f t="shared" si="38"/>
        <v/>
      </c>
    </row>
    <row r="599" spans="1:11" x14ac:dyDescent="0.25">
      <c r="A599">
        <v>6539</v>
      </c>
      <c r="B599">
        <v>138.82198136039801</v>
      </c>
      <c r="C599">
        <v>34.9377345488518</v>
      </c>
      <c r="D599">
        <v>597</v>
      </c>
      <c r="E599">
        <f>VLOOKUP(A599, Athletes_Map!A:B, 2, FALSE)</f>
        <v>568</v>
      </c>
      <c r="F599" t="str">
        <f>VLOOKUP(A599, Athletes_Map!A:C, 3, FALSE)</f>
        <v>Player 568</v>
      </c>
      <c r="G599">
        <v>95</v>
      </c>
      <c r="H599">
        <f t="shared" si="39"/>
        <v>2</v>
      </c>
      <c r="I599" t="str">
        <f t="shared" si="36"/>
        <v>Normal</v>
      </c>
      <c r="J599" t="str">
        <f t="shared" si="37"/>
        <v>Normal</v>
      </c>
      <c r="K599" t="str">
        <f t="shared" si="38"/>
        <v/>
      </c>
    </row>
    <row r="600" spans="1:11" x14ac:dyDescent="0.25">
      <c r="A600">
        <v>6541</v>
      </c>
      <c r="B600">
        <v>115.350252129233</v>
      </c>
      <c r="C600">
        <v>35.818890944040902</v>
      </c>
      <c r="D600">
        <v>598</v>
      </c>
      <c r="E600">
        <f>VLOOKUP(A600, Athletes_Map!A:B, 2, FALSE)</f>
        <v>569</v>
      </c>
      <c r="F600" t="str">
        <f>VLOOKUP(A600, Athletes_Map!A:C, 3, FALSE)</f>
        <v>Player 569</v>
      </c>
      <c r="G600">
        <v>96</v>
      </c>
      <c r="H600">
        <f t="shared" si="39"/>
        <v>1</v>
      </c>
      <c r="I600" t="str">
        <f t="shared" si="36"/>
        <v>Normal</v>
      </c>
      <c r="J600" t="str">
        <f t="shared" si="37"/>
        <v>Normal</v>
      </c>
      <c r="K600" t="str">
        <f t="shared" si="38"/>
        <v/>
      </c>
    </row>
    <row r="601" spans="1:11" x14ac:dyDescent="0.25">
      <c r="A601">
        <v>6560</v>
      </c>
      <c r="B601">
        <v>111.08233875929599</v>
      </c>
      <c r="C601">
        <v>33.128933249208998</v>
      </c>
      <c r="D601">
        <v>599</v>
      </c>
      <c r="E601">
        <f>VLOOKUP(A601, Athletes_Map!A:B, 2, FALSE)</f>
        <v>570</v>
      </c>
      <c r="F601" t="str">
        <f>VLOOKUP(A601, Athletes_Map!A:C, 3, FALSE)</f>
        <v>Player 570</v>
      </c>
      <c r="G601">
        <v>95</v>
      </c>
      <c r="H601">
        <f t="shared" si="39"/>
        <v>1</v>
      </c>
      <c r="I601" t="str">
        <f t="shared" si="36"/>
        <v>Normal</v>
      </c>
      <c r="J601" t="str">
        <f t="shared" si="37"/>
        <v>Normal</v>
      </c>
      <c r="K601" t="str">
        <f t="shared" si="38"/>
        <v/>
      </c>
    </row>
    <row r="602" spans="1:11" x14ac:dyDescent="0.25">
      <c r="A602">
        <v>6565</v>
      </c>
      <c r="B602">
        <v>117.03064036417901</v>
      </c>
      <c r="C602">
        <v>31.082553438606102</v>
      </c>
      <c r="D602">
        <v>600</v>
      </c>
      <c r="E602">
        <f>VLOOKUP(A602, Athletes_Map!A:B, 2, FALSE)</f>
        <v>571</v>
      </c>
      <c r="F602" t="str">
        <f>VLOOKUP(A602, Athletes_Map!A:C, 3, FALSE)</f>
        <v>Player 571</v>
      </c>
      <c r="G602">
        <v>93</v>
      </c>
      <c r="H602">
        <f t="shared" si="39"/>
        <v>2</v>
      </c>
      <c r="I602" t="str">
        <f t="shared" si="36"/>
        <v>Normal</v>
      </c>
      <c r="J602" t="str">
        <f t="shared" si="37"/>
        <v>Normal</v>
      </c>
      <c r="K602" t="str">
        <f t="shared" si="38"/>
        <v/>
      </c>
    </row>
    <row r="603" spans="1:11" x14ac:dyDescent="0.25">
      <c r="A603">
        <v>6567</v>
      </c>
      <c r="B603">
        <v>122.955758792764</v>
      </c>
      <c r="C603">
        <v>33.444254267929999</v>
      </c>
      <c r="D603">
        <v>601</v>
      </c>
      <c r="E603">
        <f>VLOOKUP(A603, Athletes_Map!A:B, 2, FALSE)</f>
        <v>572</v>
      </c>
      <c r="F603" t="str">
        <f>VLOOKUP(A603, Athletes_Map!A:C, 3, FALSE)</f>
        <v>Player 572</v>
      </c>
      <c r="G603">
        <v>95</v>
      </c>
      <c r="H603">
        <f t="shared" si="39"/>
        <v>2</v>
      </c>
      <c r="I603" t="str">
        <f t="shared" si="36"/>
        <v>Normal</v>
      </c>
      <c r="J603" t="str">
        <f t="shared" si="37"/>
        <v>Normal</v>
      </c>
      <c r="K603" t="str">
        <f t="shared" si="38"/>
        <v/>
      </c>
    </row>
    <row r="604" spans="1:11" x14ac:dyDescent="0.25">
      <c r="A604">
        <v>6569</v>
      </c>
      <c r="B604">
        <v>150.18310320605201</v>
      </c>
      <c r="C604">
        <v>30.992527318426099</v>
      </c>
      <c r="D604">
        <v>602</v>
      </c>
      <c r="E604">
        <f>VLOOKUP(A604, Athletes_Map!A:B, 2, FALSE)</f>
        <v>573</v>
      </c>
      <c r="F604" t="str">
        <f>VLOOKUP(A604, Athletes_Map!A:C, 3, FALSE)</f>
        <v>Player 573</v>
      </c>
      <c r="G604">
        <v>92</v>
      </c>
      <c r="H604">
        <f t="shared" si="39"/>
        <v>3</v>
      </c>
      <c r="I604" t="str">
        <f t="shared" si="36"/>
        <v>Alert</v>
      </c>
      <c r="J604" t="str">
        <f t="shared" si="37"/>
        <v>Heart Rate</v>
      </c>
      <c r="K604">
        <f t="shared" si="38"/>
        <v>150.18310320605201</v>
      </c>
    </row>
    <row r="605" spans="1:11" x14ac:dyDescent="0.25">
      <c r="A605">
        <v>6575</v>
      </c>
      <c r="B605">
        <v>136.64567978550801</v>
      </c>
      <c r="C605">
        <v>32.522784367662403</v>
      </c>
      <c r="D605">
        <v>603</v>
      </c>
      <c r="E605">
        <f>VLOOKUP(A605, Athletes_Map!A:B, 2, FALSE)</f>
        <v>574</v>
      </c>
      <c r="F605" t="str">
        <f>VLOOKUP(A605, Athletes_Map!A:C, 3, FALSE)</f>
        <v>Player 574</v>
      </c>
      <c r="G605">
        <v>96</v>
      </c>
      <c r="H605">
        <f t="shared" si="39"/>
        <v>2</v>
      </c>
      <c r="I605" t="str">
        <f t="shared" si="36"/>
        <v>Normal</v>
      </c>
      <c r="J605" t="str">
        <f t="shared" si="37"/>
        <v>Normal</v>
      </c>
      <c r="K605" t="str">
        <f t="shared" si="38"/>
        <v/>
      </c>
    </row>
    <row r="606" spans="1:11" x14ac:dyDescent="0.25">
      <c r="A606">
        <v>6578</v>
      </c>
      <c r="B606">
        <v>124.509594674404</v>
      </c>
      <c r="C606">
        <v>33.214433660172503</v>
      </c>
      <c r="D606">
        <v>604</v>
      </c>
      <c r="E606">
        <f>VLOOKUP(A606, Athletes_Map!A:B, 2, FALSE)</f>
        <v>575</v>
      </c>
      <c r="F606" t="str">
        <f>VLOOKUP(A606, Athletes_Map!A:C, 3, FALSE)</f>
        <v>Player 575</v>
      </c>
      <c r="G606">
        <v>95</v>
      </c>
      <c r="H606">
        <f t="shared" si="39"/>
        <v>2</v>
      </c>
      <c r="I606" t="str">
        <f t="shared" si="36"/>
        <v>Normal</v>
      </c>
      <c r="J606" t="str">
        <f t="shared" si="37"/>
        <v>Normal</v>
      </c>
      <c r="K606" t="str">
        <f t="shared" si="38"/>
        <v/>
      </c>
    </row>
    <row r="607" spans="1:11" x14ac:dyDescent="0.25">
      <c r="A607">
        <v>6585</v>
      </c>
      <c r="B607">
        <v>121.618545226801</v>
      </c>
      <c r="C607">
        <v>30.154008766969302</v>
      </c>
      <c r="D607">
        <v>605</v>
      </c>
      <c r="E607">
        <f>VLOOKUP(A607, Athletes_Map!A:B, 2, FALSE)</f>
        <v>576</v>
      </c>
      <c r="F607" t="str">
        <f>VLOOKUP(A607, Athletes_Map!A:C, 3, FALSE)</f>
        <v>Player 576</v>
      </c>
      <c r="G607">
        <v>94</v>
      </c>
      <c r="H607">
        <f t="shared" si="39"/>
        <v>2</v>
      </c>
      <c r="I607" t="str">
        <f t="shared" si="36"/>
        <v>Normal</v>
      </c>
      <c r="J607" t="str">
        <f t="shared" si="37"/>
        <v>Normal</v>
      </c>
      <c r="K607" t="str">
        <f t="shared" si="38"/>
        <v/>
      </c>
    </row>
    <row r="608" spans="1:11" x14ac:dyDescent="0.25">
      <c r="A608">
        <v>6588</v>
      </c>
      <c r="B608">
        <v>155.196341786852</v>
      </c>
      <c r="C608">
        <v>32.739442710064502</v>
      </c>
      <c r="D608">
        <v>606</v>
      </c>
      <c r="E608">
        <f>VLOOKUP(A608, Athletes_Map!A:B, 2, FALSE)</f>
        <v>577</v>
      </c>
      <c r="F608" t="str">
        <f>VLOOKUP(A608, Athletes_Map!A:C, 3, FALSE)</f>
        <v>Player 577</v>
      </c>
      <c r="G608">
        <v>90</v>
      </c>
      <c r="H608">
        <f t="shared" si="39"/>
        <v>3</v>
      </c>
      <c r="I608" t="str">
        <f t="shared" si="36"/>
        <v>Alert</v>
      </c>
      <c r="J608" t="str">
        <f t="shared" si="37"/>
        <v>Heart Rate</v>
      </c>
      <c r="K608">
        <f t="shared" si="38"/>
        <v>155.196341786852</v>
      </c>
    </row>
    <row r="609" spans="1:11" x14ac:dyDescent="0.25">
      <c r="A609">
        <v>6588</v>
      </c>
      <c r="B609">
        <v>133.40717217508501</v>
      </c>
      <c r="C609">
        <v>32.729212343145299</v>
      </c>
      <c r="D609">
        <v>607</v>
      </c>
      <c r="E609">
        <f>VLOOKUP(A609, Athletes_Map!A:B, 2, FALSE)</f>
        <v>577</v>
      </c>
      <c r="F609" t="str">
        <f>VLOOKUP(A609, Athletes_Map!A:C, 3, FALSE)</f>
        <v>Player 577</v>
      </c>
      <c r="G609">
        <v>94</v>
      </c>
      <c r="H609">
        <f t="shared" si="39"/>
        <v>2</v>
      </c>
      <c r="I609" t="str">
        <f t="shared" si="36"/>
        <v>Normal</v>
      </c>
      <c r="J609" t="str">
        <f t="shared" si="37"/>
        <v>Normal</v>
      </c>
      <c r="K609" t="str">
        <f t="shared" si="38"/>
        <v/>
      </c>
    </row>
    <row r="610" spans="1:11" x14ac:dyDescent="0.25">
      <c r="A610">
        <v>6592</v>
      </c>
      <c r="B610">
        <v>126.205378834516</v>
      </c>
      <c r="C610">
        <v>33.504229851473902</v>
      </c>
      <c r="D610">
        <v>608</v>
      </c>
      <c r="E610">
        <f>VLOOKUP(A610, Athletes_Map!A:B, 2, FALSE)</f>
        <v>578</v>
      </c>
      <c r="F610" t="str">
        <f>VLOOKUP(A610, Athletes_Map!A:C, 3, FALSE)</f>
        <v>Player 578</v>
      </c>
      <c r="G610">
        <v>95</v>
      </c>
      <c r="H610">
        <f t="shared" si="39"/>
        <v>2</v>
      </c>
      <c r="I610" t="str">
        <f t="shared" si="36"/>
        <v>Normal</v>
      </c>
      <c r="J610" t="str">
        <f t="shared" si="37"/>
        <v>Normal</v>
      </c>
      <c r="K610" t="str">
        <f t="shared" si="38"/>
        <v/>
      </c>
    </row>
    <row r="611" spans="1:11" x14ac:dyDescent="0.25">
      <c r="A611">
        <v>6592</v>
      </c>
      <c r="B611">
        <v>147.90968362282101</v>
      </c>
      <c r="C611">
        <v>33.7030850413975</v>
      </c>
      <c r="D611">
        <v>609</v>
      </c>
      <c r="E611">
        <f>VLOOKUP(A611, Athletes_Map!A:B, 2, FALSE)</f>
        <v>578</v>
      </c>
      <c r="F611" t="str">
        <f>VLOOKUP(A611, Athletes_Map!A:C, 3, FALSE)</f>
        <v>Player 578</v>
      </c>
      <c r="G611">
        <v>94</v>
      </c>
      <c r="H611">
        <f t="shared" si="39"/>
        <v>2</v>
      </c>
      <c r="I611" t="str">
        <f t="shared" si="36"/>
        <v>Normal</v>
      </c>
      <c r="J611" t="str">
        <f t="shared" si="37"/>
        <v>Normal</v>
      </c>
      <c r="K611" t="str">
        <f t="shared" si="38"/>
        <v/>
      </c>
    </row>
    <row r="612" spans="1:11" x14ac:dyDescent="0.25">
      <c r="A612">
        <v>6596</v>
      </c>
      <c r="B612">
        <v>111.83270621614901</v>
      </c>
      <c r="C612">
        <v>30.5014815561732</v>
      </c>
      <c r="D612">
        <v>610</v>
      </c>
      <c r="E612">
        <f>VLOOKUP(A612, Athletes_Map!A:B, 2, FALSE)</f>
        <v>579</v>
      </c>
      <c r="F612" t="str">
        <f>VLOOKUP(A612, Athletes_Map!A:C, 3, FALSE)</f>
        <v>Player 579</v>
      </c>
      <c r="G612">
        <v>94</v>
      </c>
      <c r="H612">
        <f t="shared" si="39"/>
        <v>1</v>
      </c>
      <c r="I612" t="str">
        <f t="shared" si="36"/>
        <v>Normal</v>
      </c>
      <c r="J612" t="str">
        <f t="shared" si="37"/>
        <v>Normal</v>
      </c>
      <c r="K612" t="str">
        <f t="shared" si="38"/>
        <v/>
      </c>
    </row>
    <row r="613" spans="1:11" x14ac:dyDescent="0.25">
      <c r="A613">
        <v>6600</v>
      </c>
      <c r="B613">
        <v>123.718427385265</v>
      </c>
      <c r="C613">
        <v>32.072917501492498</v>
      </c>
      <c r="D613">
        <v>611</v>
      </c>
      <c r="E613">
        <f>VLOOKUP(A613, Athletes_Map!A:B, 2, FALSE)</f>
        <v>580</v>
      </c>
      <c r="F613" t="str">
        <f>VLOOKUP(A613, Athletes_Map!A:C, 3, FALSE)</f>
        <v>Player 580</v>
      </c>
      <c r="G613">
        <v>94</v>
      </c>
      <c r="H613">
        <f t="shared" si="39"/>
        <v>2</v>
      </c>
      <c r="I613" t="str">
        <f t="shared" si="36"/>
        <v>Normal</v>
      </c>
      <c r="J613" t="str">
        <f t="shared" si="37"/>
        <v>Normal</v>
      </c>
      <c r="K613" t="str">
        <f t="shared" si="38"/>
        <v/>
      </c>
    </row>
    <row r="614" spans="1:11" x14ac:dyDescent="0.25">
      <c r="A614">
        <v>6618</v>
      </c>
      <c r="B614">
        <v>149.00619758817899</v>
      </c>
      <c r="C614">
        <v>32.9732652249795</v>
      </c>
      <c r="D614">
        <v>612</v>
      </c>
      <c r="E614">
        <f>VLOOKUP(A614, Athletes_Map!A:B, 2, FALSE)</f>
        <v>581</v>
      </c>
      <c r="F614" t="str">
        <f>VLOOKUP(A614, Athletes_Map!A:C, 3, FALSE)</f>
        <v>Player 581</v>
      </c>
      <c r="G614">
        <v>92</v>
      </c>
      <c r="H614">
        <f t="shared" si="39"/>
        <v>2</v>
      </c>
      <c r="I614" t="str">
        <f t="shared" si="36"/>
        <v>Normal</v>
      </c>
      <c r="J614" t="str">
        <f t="shared" si="37"/>
        <v>Normal</v>
      </c>
      <c r="K614" t="str">
        <f t="shared" si="38"/>
        <v/>
      </c>
    </row>
    <row r="615" spans="1:11" x14ac:dyDescent="0.25">
      <c r="A615">
        <v>6622</v>
      </c>
      <c r="B615">
        <v>141.176660251979</v>
      </c>
      <c r="C615">
        <v>32.4060414235583</v>
      </c>
      <c r="D615">
        <v>613</v>
      </c>
      <c r="E615">
        <f>VLOOKUP(A615, Athletes_Map!A:B, 2, FALSE)</f>
        <v>582</v>
      </c>
      <c r="F615" t="str">
        <f>VLOOKUP(A615, Athletes_Map!A:C, 3, FALSE)</f>
        <v>Player 582</v>
      </c>
      <c r="G615">
        <v>92</v>
      </c>
      <c r="H615">
        <f t="shared" si="39"/>
        <v>2</v>
      </c>
      <c r="I615" t="str">
        <f t="shared" si="36"/>
        <v>Normal</v>
      </c>
      <c r="J615" t="str">
        <f t="shared" si="37"/>
        <v>Normal</v>
      </c>
      <c r="K615" t="str">
        <f t="shared" si="38"/>
        <v/>
      </c>
    </row>
    <row r="616" spans="1:11" x14ac:dyDescent="0.25">
      <c r="A616">
        <v>6625</v>
      </c>
      <c r="B616">
        <v>121.360315040044</v>
      </c>
      <c r="C616">
        <v>33.901319345408702</v>
      </c>
      <c r="D616">
        <v>614</v>
      </c>
      <c r="E616">
        <f>VLOOKUP(A616, Athletes_Map!A:B, 2, FALSE)</f>
        <v>583</v>
      </c>
      <c r="F616" t="str">
        <f>VLOOKUP(A616, Athletes_Map!A:C, 3, FALSE)</f>
        <v>Player 583</v>
      </c>
      <c r="G616">
        <v>93</v>
      </c>
      <c r="H616">
        <f t="shared" si="39"/>
        <v>2</v>
      </c>
      <c r="I616" t="str">
        <f t="shared" si="36"/>
        <v>Normal</v>
      </c>
      <c r="J616" t="str">
        <f t="shared" si="37"/>
        <v>Normal</v>
      </c>
      <c r="K616" t="str">
        <f t="shared" si="38"/>
        <v/>
      </c>
    </row>
    <row r="617" spans="1:11" x14ac:dyDescent="0.25">
      <c r="A617">
        <v>6644</v>
      </c>
      <c r="B617">
        <v>141.427144309005</v>
      </c>
      <c r="C617">
        <v>32.708326561342901</v>
      </c>
      <c r="D617">
        <v>615</v>
      </c>
      <c r="E617">
        <f>VLOOKUP(A617, Athletes_Map!A:B, 2, FALSE)</f>
        <v>584</v>
      </c>
      <c r="F617" t="str">
        <f>VLOOKUP(A617, Athletes_Map!A:C, 3, FALSE)</f>
        <v>Player 584</v>
      </c>
      <c r="G617">
        <v>91</v>
      </c>
      <c r="H617">
        <f t="shared" si="39"/>
        <v>3</v>
      </c>
      <c r="I617" t="str">
        <f t="shared" si="36"/>
        <v>Alert</v>
      </c>
      <c r="J617" t="str">
        <f t="shared" si="37"/>
        <v>Oxygen</v>
      </c>
      <c r="K617">
        <f t="shared" si="38"/>
        <v>91</v>
      </c>
    </row>
    <row r="618" spans="1:11" x14ac:dyDescent="0.25">
      <c r="A618">
        <v>6645</v>
      </c>
      <c r="B618">
        <v>179.21046003182701</v>
      </c>
      <c r="C618">
        <v>33.010267296989198</v>
      </c>
      <c r="D618">
        <v>616</v>
      </c>
      <c r="E618">
        <f>VLOOKUP(A618, Athletes_Map!A:B, 2, FALSE)</f>
        <v>585</v>
      </c>
      <c r="F618" t="str">
        <f>VLOOKUP(A618, Athletes_Map!A:C, 3, FALSE)</f>
        <v>Player 585</v>
      </c>
      <c r="G618">
        <v>94</v>
      </c>
      <c r="H618">
        <f t="shared" si="39"/>
        <v>3</v>
      </c>
      <c r="I618" t="str">
        <f t="shared" si="36"/>
        <v>Alert</v>
      </c>
      <c r="J618" t="str">
        <f t="shared" si="37"/>
        <v>Heart Rate</v>
      </c>
      <c r="K618">
        <f t="shared" si="38"/>
        <v>179.21046003182701</v>
      </c>
    </row>
    <row r="619" spans="1:11" x14ac:dyDescent="0.25">
      <c r="A619">
        <v>6675</v>
      </c>
      <c r="B619">
        <v>115.432544447699</v>
      </c>
      <c r="C619">
        <v>32.006164472441696</v>
      </c>
      <c r="D619">
        <v>617</v>
      </c>
      <c r="E619">
        <f>VLOOKUP(A619, Athletes_Map!A:B, 2, FALSE)</f>
        <v>586</v>
      </c>
      <c r="F619" t="str">
        <f>VLOOKUP(A619, Athletes_Map!A:C, 3, FALSE)</f>
        <v>Player 586</v>
      </c>
      <c r="G619">
        <v>93</v>
      </c>
      <c r="H619">
        <f t="shared" si="39"/>
        <v>2</v>
      </c>
      <c r="I619" t="str">
        <f t="shared" si="36"/>
        <v>Normal</v>
      </c>
      <c r="J619" t="str">
        <f t="shared" si="37"/>
        <v>Normal</v>
      </c>
      <c r="K619" t="str">
        <f t="shared" si="38"/>
        <v/>
      </c>
    </row>
    <row r="620" spans="1:11" x14ac:dyDescent="0.25">
      <c r="A620">
        <v>6691</v>
      </c>
      <c r="B620">
        <v>121.971639927711</v>
      </c>
      <c r="C620">
        <v>32.4229994525856</v>
      </c>
      <c r="D620">
        <v>618</v>
      </c>
      <c r="E620">
        <f>VLOOKUP(A620, Athletes_Map!A:B, 2, FALSE)</f>
        <v>587</v>
      </c>
      <c r="F620" t="str">
        <f>VLOOKUP(A620, Athletes_Map!A:C, 3, FALSE)</f>
        <v>Player 587</v>
      </c>
      <c r="G620">
        <v>96</v>
      </c>
      <c r="H620">
        <f t="shared" si="39"/>
        <v>2</v>
      </c>
      <c r="I620" t="str">
        <f t="shared" si="36"/>
        <v>Normal</v>
      </c>
      <c r="J620" t="str">
        <f t="shared" si="37"/>
        <v>Normal</v>
      </c>
      <c r="K620" t="str">
        <f t="shared" si="38"/>
        <v/>
      </c>
    </row>
    <row r="621" spans="1:11" x14ac:dyDescent="0.25">
      <c r="A621">
        <v>6699</v>
      </c>
      <c r="B621">
        <v>138.732182463127</v>
      </c>
      <c r="C621">
        <v>33.657983553065399</v>
      </c>
      <c r="D621">
        <v>619</v>
      </c>
      <c r="E621">
        <f>VLOOKUP(A621, Athletes_Map!A:B, 2, FALSE)</f>
        <v>588</v>
      </c>
      <c r="F621" t="str">
        <f>VLOOKUP(A621, Athletes_Map!A:C, 3, FALSE)</f>
        <v>Player 588</v>
      </c>
      <c r="G621">
        <v>96</v>
      </c>
      <c r="H621">
        <f t="shared" si="39"/>
        <v>2</v>
      </c>
      <c r="I621" t="str">
        <f t="shared" si="36"/>
        <v>Normal</v>
      </c>
      <c r="J621" t="str">
        <f t="shared" si="37"/>
        <v>Normal</v>
      </c>
      <c r="K621" t="str">
        <f t="shared" si="38"/>
        <v/>
      </c>
    </row>
    <row r="622" spans="1:11" x14ac:dyDescent="0.25">
      <c r="A622">
        <v>6713</v>
      </c>
      <c r="B622">
        <v>116.58652813841201</v>
      </c>
      <c r="C622">
        <v>32.649889641289697</v>
      </c>
      <c r="D622">
        <v>620</v>
      </c>
      <c r="E622">
        <f>VLOOKUP(A622, Athletes_Map!A:B, 2, FALSE)</f>
        <v>589</v>
      </c>
      <c r="F622" t="str">
        <f>VLOOKUP(A622, Athletes_Map!A:C, 3, FALSE)</f>
        <v>Player 589</v>
      </c>
      <c r="G622">
        <v>96</v>
      </c>
      <c r="H622">
        <f t="shared" si="39"/>
        <v>1</v>
      </c>
      <c r="I622" t="str">
        <f t="shared" si="36"/>
        <v>Normal</v>
      </c>
      <c r="J622" t="str">
        <f t="shared" si="37"/>
        <v>Normal</v>
      </c>
      <c r="K622" t="str">
        <f t="shared" si="38"/>
        <v/>
      </c>
    </row>
    <row r="623" spans="1:11" x14ac:dyDescent="0.25">
      <c r="A623">
        <v>6726</v>
      </c>
      <c r="B623">
        <v>136.57270380632099</v>
      </c>
      <c r="C623">
        <v>33.714589077167098</v>
      </c>
      <c r="D623">
        <v>621</v>
      </c>
      <c r="E623">
        <f>VLOOKUP(A623, Athletes_Map!A:B, 2, FALSE)</f>
        <v>590</v>
      </c>
      <c r="F623" t="str">
        <f>VLOOKUP(A623, Athletes_Map!A:C, 3, FALSE)</f>
        <v>Player 590</v>
      </c>
      <c r="G623">
        <v>96</v>
      </c>
      <c r="H623">
        <f t="shared" si="39"/>
        <v>2</v>
      </c>
      <c r="I623" t="str">
        <f t="shared" si="36"/>
        <v>Normal</v>
      </c>
      <c r="J623" t="str">
        <f t="shared" si="37"/>
        <v>Normal</v>
      </c>
      <c r="K623" t="str">
        <f t="shared" si="38"/>
        <v/>
      </c>
    </row>
    <row r="624" spans="1:11" x14ac:dyDescent="0.25">
      <c r="A624">
        <v>6732</v>
      </c>
      <c r="B624">
        <v>139.77578318053</v>
      </c>
      <c r="C624">
        <v>33.095761780870397</v>
      </c>
      <c r="D624">
        <v>622</v>
      </c>
      <c r="E624">
        <f>VLOOKUP(A624, Athletes_Map!A:B, 2, FALSE)</f>
        <v>591</v>
      </c>
      <c r="F624" t="str">
        <f>VLOOKUP(A624, Athletes_Map!A:C, 3, FALSE)</f>
        <v>Player 591</v>
      </c>
      <c r="G624">
        <v>94</v>
      </c>
      <c r="H624">
        <f t="shared" si="39"/>
        <v>2</v>
      </c>
      <c r="I624" t="str">
        <f t="shared" si="36"/>
        <v>Normal</v>
      </c>
      <c r="J624" t="str">
        <f t="shared" si="37"/>
        <v>Normal</v>
      </c>
      <c r="K624" t="str">
        <f t="shared" si="38"/>
        <v/>
      </c>
    </row>
    <row r="625" spans="1:11" x14ac:dyDescent="0.25">
      <c r="A625">
        <v>6732</v>
      </c>
      <c r="B625">
        <v>122.080716417509</v>
      </c>
      <c r="C625">
        <v>34.962079673433003</v>
      </c>
      <c r="D625">
        <v>623</v>
      </c>
      <c r="E625">
        <f>VLOOKUP(A625, Athletes_Map!A:B, 2, FALSE)</f>
        <v>591</v>
      </c>
      <c r="F625" t="str">
        <f>VLOOKUP(A625, Athletes_Map!A:C, 3, FALSE)</f>
        <v>Player 591</v>
      </c>
      <c r="G625">
        <v>96</v>
      </c>
      <c r="H625">
        <f t="shared" si="39"/>
        <v>2</v>
      </c>
      <c r="I625" t="str">
        <f t="shared" si="36"/>
        <v>Normal</v>
      </c>
      <c r="J625" t="str">
        <f t="shared" si="37"/>
        <v>Normal</v>
      </c>
      <c r="K625" t="str">
        <f t="shared" si="38"/>
        <v/>
      </c>
    </row>
    <row r="626" spans="1:11" x14ac:dyDescent="0.25">
      <c r="A626">
        <v>6734</v>
      </c>
      <c r="B626">
        <v>153.71356786294899</v>
      </c>
      <c r="C626">
        <v>34.430048996528399</v>
      </c>
      <c r="D626">
        <v>624</v>
      </c>
      <c r="E626">
        <f>VLOOKUP(A626, Athletes_Map!A:B, 2, FALSE)</f>
        <v>592</v>
      </c>
      <c r="F626" t="str">
        <f>VLOOKUP(A626, Athletes_Map!A:C, 3, FALSE)</f>
        <v>Player 592</v>
      </c>
      <c r="G626">
        <v>94</v>
      </c>
      <c r="H626">
        <f t="shared" si="39"/>
        <v>3</v>
      </c>
      <c r="I626" t="str">
        <f t="shared" si="36"/>
        <v>Alert</v>
      </c>
      <c r="J626" t="str">
        <f t="shared" si="37"/>
        <v>Heart Rate</v>
      </c>
      <c r="K626">
        <f t="shared" si="38"/>
        <v>153.71356786294899</v>
      </c>
    </row>
    <row r="627" spans="1:11" x14ac:dyDescent="0.25">
      <c r="A627">
        <v>6742</v>
      </c>
      <c r="B627">
        <v>115.032291216234</v>
      </c>
      <c r="C627">
        <v>32.879429135313899</v>
      </c>
      <c r="D627">
        <v>625</v>
      </c>
      <c r="E627">
        <f>VLOOKUP(A627, Athletes_Map!A:B, 2, FALSE)</f>
        <v>593</v>
      </c>
      <c r="F627" t="str">
        <f>VLOOKUP(A627, Athletes_Map!A:C, 3, FALSE)</f>
        <v>Player 593</v>
      </c>
      <c r="G627">
        <v>95</v>
      </c>
      <c r="H627">
        <f t="shared" si="39"/>
        <v>1</v>
      </c>
      <c r="I627" t="str">
        <f t="shared" si="36"/>
        <v>Normal</v>
      </c>
      <c r="J627" t="str">
        <f t="shared" si="37"/>
        <v>Normal</v>
      </c>
      <c r="K627" t="str">
        <f t="shared" si="38"/>
        <v/>
      </c>
    </row>
    <row r="628" spans="1:11" x14ac:dyDescent="0.25">
      <c r="A628">
        <v>6745</v>
      </c>
      <c r="B628">
        <v>173.280627077335</v>
      </c>
      <c r="C628">
        <v>33.278210510561799</v>
      </c>
      <c r="D628">
        <v>626</v>
      </c>
      <c r="E628">
        <f>VLOOKUP(A628, Athletes_Map!A:B, 2, FALSE)</f>
        <v>594</v>
      </c>
      <c r="F628" t="str">
        <f>VLOOKUP(A628, Athletes_Map!A:C, 3, FALSE)</f>
        <v>Player 594</v>
      </c>
      <c r="G628">
        <v>94</v>
      </c>
      <c r="H628">
        <f t="shared" si="39"/>
        <v>3</v>
      </c>
      <c r="I628" t="str">
        <f t="shared" si="36"/>
        <v>Alert</v>
      </c>
      <c r="J628" t="str">
        <f t="shared" si="37"/>
        <v>Heart Rate</v>
      </c>
      <c r="K628">
        <f t="shared" si="38"/>
        <v>173.280627077335</v>
      </c>
    </row>
    <row r="629" spans="1:11" x14ac:dyDescent="0.25">
      <c r="A629">
        <v>6750</v>
      </c>
      <c r="B629">
        <v>156.450146746196</v>
      </c>
      <c r="C629">
        <v>31.696734501458199</v>
      </c>
      <c r="D629">
        <v>627</v>
      </c>
      <c r="E629">
        <f>VLOOKUP(A629, Athletes_Map!A:B, 2, FALSE)</f>
        <v>595</v>
      </c>
      <c r="F629" t="str">
        <f>VLOOKUP(A629, Athletes_Map!A:C, 3, FALSE)</f>
        <v>Player 595</v>
      </c>
      <c r="G629">
        <v>93</v>
      </c>
      <c r="H629">
        <f t="shared" si="39"/>
        <v>3</v>
      </c>
      <c r="I629" t="str">
        <f t="shared" si="36"/>
        <v>Alert</v>
      </c>
      <c r="J629" t="str">
        <f t="shared" si="37"/>
        <v>Heart Rate</v>
      </c>
      <c r="K629">
        <f t="shared" si="38"/>
        <v>156.450146746196</v>
      </c>
    </row>
    <row r="630" spans="1:11" x14ac:dyDescent="0.25">
      <c r="A630">
        <v>6759</v>
      </c>
      <c r="B630">
        <v>134.67154207854401</v>
      </c>
      <c r="C630">
        <v>31.160759328131999</v>
      </c>
      <c r="D630">
        <v>628</v>
      </c>
      <c r="E630">
        <f>VLOOKUP(A630, Athletes_Map!A:B, 2, FALSE)</f>
        <v>596</v>
      </c>
      <c r="F630" t="str">
        <f>VLOOKUP(A630, Athletes_Map!A:C, 3, FALSE)</f>
        <v>Player 596</v>
      </c>
      <c r="G630">
        <v>93</v>
      </c>
      <c r="H630">
        <f t="shared" si="39"/>
        <v>2</v>
      </c>
      <c r="I630" t="str">
        <f t="shared" si="36"/>
        <v>Normal</v>
      </c>
      <c r="J630" t="str">
        <f t="shared" si="37"/>
        <v>Normal</v>
      </c>
      <c r="K630" t="str">
        <f t="shared" si="38"/>
        <v/>
      </c>
    </row>
    <row r="631" spans="1:11" x14ac:dyDescent="0.25">
      <c r="A631">
        <v>6765</v>
      </c>
      <c r="B631">
        <v>170.44503193339401</v>
      </c>
      <c r="C631">
        <v>35.334234089132302</v>
      </c>
      <c r="D631">
        <v>629</v>
      </c>
      <c r="E631">
        <f>VLOOKUP(A631, Athletes_Map!A:B, 2, FALSE)</f>
        <v>597</v>
      </c>
      <c r="F631" t="str">
        <f>VLOOKUP(A631, Athletes_Map!A:C, 3, FALSE)</f>
        <v>Player 597</v>
      </c>
      <c r="G631">
        <v>91</v>
      </c>
      <c r="H631">
        <f t="shared" si="39"/>
        <v>3</v>
      </c>
      <c r="I631" t="str">
        <f t="shared" si="36"/>
        <v>Alert</v>
      </c>
      <c r="J631" t="str">
        <f t="shared" si="37"/>
        <v>Heart Rate</v>
      </c>
      <c r="K631">
        <f t="shared" si="38"/>
        <v>170.44503193339401</v>
      </c>
    </row>
    <row r="632" spans="1:11" x14ac:dyDescent="0.25">
      <c r="A632">
        <v>6779</v>
      </c>
      <c r="B632">
        <v>158.294787089143</v>
      </c>
      <c r="C632">
        <v>35.184652689530097</v>
      </c>
      <c r="D632">
        <v>630</v>
      </c>
      <c r="E632">
        <f>VLOOKUP(A632, Athletes_Map!A:B, 2, FALSE)</f>
        <v>598</v>
      </c>
      <c r="F632" t="str">
        <f>VLOOKUP(A632, Athletes_Map!A:C, 3, FALSE)</f>
        <v>Player 598</v>
      </c>
      <c r="G632">
        <v>90</v>
      </c>
      <c r="H632">
        <f t="shared" si="39"/>
        <v>3</v>
      </c>
      <c r="I632" t="str">
        <f t="shared" si="36"/>
        <v>Alert</v>
      </c>
      <c r="J632" t="str">
        <f t="shared" si="37"/>
        <v>Heart Rate</v>
      </c>
      <c r="K632">
        <f t="shared" si="38"/>
        <v>158.294787089143</v>
      </c>
    </row>
    <row r="633" spans="1:11" x14ac:dyDescent="0.25">
      <c r="A633">
        <v>6788</v>
      </c>
      <c r="B633">
        <v>141.03583799638901</v>
      </c>
      <c r="C633">
        <v>32.931131156398102</v>
      </c>
      <c r="D633">
        <v>631</v>
      </c>
      <c r="E633">
        <f>VLOOKUP(A633, Athletes_Map!A:B, 2, FALSE)</f>
        <v>599</v>
      </c>
      <c r="F633" t="str">
        <f>VLOOKUP(A633, Athletes_Map!A:C, 3, FALSE)</f>
        <v>Player 599</v>
      </c>
      <c r="G633">
        <v>92</v>
      </c>
      <c r="H633">
        <f t="shared" si="39"/>
        <v>2</v>
      </c>
      <c r="I633" t="str">
        <f t="shared" si="36"/>
        <v>Normal</v>
      </c>
      <c r="J633" t="str">
        <f t="shared" si="37"/>
        <v>Normal</v>
      </c>
      <c r="K633" t="str">
        <f t="shared" si="38"/>
        <v/>
      </c>
    </row>
    <row r="634" spans="1:11" x14ac:dyDescent="0.25">
      <c r="A634">
        <v>6791</v>
      </c>
      <c r="B634">
        <v>184.10600279821699</v>
      </c>
      <c r="C634">
        <v>32.444472585569599</v>
      </c>
      <c r="D634">
        <v>632</v>
      </c>
      <c r="E634">
        <f>VLOOKUP(A634, Athletes_Map!A:B, 2, FALSE)</f>
        <v>600</v>
      </c>
      <c r="F634" t="str">
        <f>VLOOKUP(A634, Athletes_Map!A:C, 3, FALSE)</f>
        <v>Player 600</v>
      </c>
      <c r="G634">
        <v>92</v>
      </c>
      <c r="H634">
        <f t="shared" si="39"/>
        <v>3</v>
      </c>
      <c r="I634" t="str">
        <f t="shared" si="36"/>
        <v>Alert</v>
      </c>
      <c r="J634" t="str">
        <f t="shared" si="37"/>
        <v>Heart Rate</v>
      </c>
      <c r="K634">
        <f t="shared" si="38"/>
        <v>184.10600279821699</v>
      </c>
    </row>
    <row r="635" spans="1:11" x14ac:dyDescent="0.25">
      <c r="A635">
        <v>6797</v>
      </c>
      <c r="B635">
        <v>130.22135801660599</v>
      </c>
      <c r="C635">
        <v>33.782767381932203</v>
      </c>
      <c r="D635">
        <v>633</v>
      </c>
      <c r="E635">
        <f>VLOOKUP(A635, Athletes_Map!A:B, 2, FALSE)</f>
        <v>601</v>
      </c>
      <c r="F635" t="str">
        <f>VLOOKUP(A635, Athletes_Map!A:C, 3, FALSE)</f>
        <v>Player 601</v>
      </c>
      <c r="G635">
        <v>94</v>
      </c>
      <c r="H635">
        <f t="shared" si="39"/>
        <v>2</v>
      </c>
      <c r="I635" t="str">
        <f t="shared" si="36"/>
        <v>Normal</v>
      </c>
      <c r="J635" t="str">
        <f t="shared" si="37"/>
        <v>Normal</v>
      </c>
      <c r="K635" t="str">
        <f t="shared" si="38"/>
        <v/>
      </c>
    </row>
    <row r="636" spans="1:11" x14ac:dyDescent="0.25">
      <c r="A636">
        <v>6801</v>
      </c>
      <c r="B636">
        <v>165.06796603534301</v>
      </c>
      <c r="C636">
        <v>33.663778987655</v>
      </c>
      <c r="D636">
        <v>634</v>
      </c>
      <c r="E636">
        <f>VLOOKUP(A636, Athletes_Map!A:B, 2, FALSE)</f>
        <v>602</v>
      </c>
      <c r="F636" t="str">
        <f>VLOOKUP(A636, Athletes_Map!A:C, 3, FALSE)</f>
        <v>Player 602</v>
      </c>
      <c r="G636">
        <v>92</v>
      </c>
      <c r="H636">
        <f t="shared" si="39"/>
        <v>3</v>
      </c>
      <c r="I636" t="str">
        <f t="shared" si="36"/>
        <v>Alert</v>
      </c>
      <c r="J636" t="str">
        <f t="shared" si="37"/>
        <v>Heart Rate</v>
      </c>
      <c r="K636">
        <f t="shared" si="38"/>
        <v>165.06796603534301</v>
      </c>
    </row>
    <row r="637" spans="1:11" x14ac:dyDescent="0.25">
      <c r="A637">
        <v>6811</v>
      </c>
      <c r="B637">
        <v>138.693606117298</v>
      </c>
      <c r="C637">
        <v>31.370978952189599</v>
      </c>
      <c r="D637">
        <v>635</v>
      </c>
      <c r="E637">
        <f>VLOOKUP(A637, Athletes_Map!A:B, 2, FALSE)</f>
        <v>603</v>
      </c>
      <c r="F637" t="str">
        <f>VLOOKUP(A637, Athletes_Map!A:C, 3, FALSE)</f>
        <v>Player 603</v>
      </c>
      <c r="G637">
        <v>96</v>
      </c>
      <c r="H637">
        <f t="shared" si="39"/>
        <v>2</v>
      </c>
      <c r="I637" t="str">
        <f t="shared" si="36"/>
        <v>Normal</v>
      </c>
      <c r="J637" t="str">
        <f t="shared" si="37"/>
        <v>Normal</v>
      </c>
      <c r="K637" t="str">
        <f t="shared" si="38"/>
        <v/>
      </c>
    </row>
    <row r="638" spans="1:11" x14ac:dyDescent="0.25">
      <c r="A638">
        <v>6854</v>
      </c>
      <c r="B638">
        <v>121.472153958814</v>
      </c>
      <c r="C638">
        <v>33.373331989371799</v>
      </c>
      <c r="D638">
        <v>636</v>
      </c>
      <c r="E638">
        <f>VLOOKUP(A638, Athletes_Map!A:B, 2, FALSE)</f>
        <v>604</v>
      </c>
      <c r="F638" t="str">
        <f>VLOOKUP(A638, Athletes_Map!A:C, 3, FALSE)</f>
        <v>Player 604</v>
      </c>
      <c r="G638">
        <v>96</v>
      </c>
      <c r="H638">
        <f t="shared" si="39"/>
        <v>2</v>
      </c>
      <c r="I638" t="str">
        <f t="shared" si="36"/>
        <v>Normal</v>
      </c>
      <c r="J638" t="str">
        <f t="shared" si="37"/>
        <v>Normal</v>
      </c>
      <c r="K638" t="str">
        <f t="shared" si="38"/>
        <v/>
      </c>
    </row>
    <row r="639" spans="1:11" x14ac:dyDescent="0.25">
      <c r="A639">
        <v>6855</v>
      </c>
      <c r="B639">
        <v>148.496389843332</v>
      </c>
      <c r="C639">
        <v>32.148253209319698</v>
      </c>
      <c r="D639">
        <v>637</v>
      </c>
      <c r="E639">
        <f>VLOOKUP(A639, Athletes_Map!A:B, 2, FALSE)</f>
        <v>605</v>
      </c>
      <c r="F639" t="str">
        <f>VLOOKUP(A639, Athletes_Map!A:C, 3, FALSE)</f>
        <v>Player 605</v>
      </c>
      <c r="G639">
        <v>94</v>
      </c>
      <c r="H639">
        <f t="shared" si="39"/>
        <v>2</v>
      </c>
      <c r="I639" t="str">
        <f t="shared" si="36"/>
        <v>Normal</v>
      </c>
      <c r="J639" t="str">
        <f t="shared" si="37"/>
        <v>Normal</v>
      </c>
      <c r="K639" t="str">
        <f t="shared" si="38"/>
        <v/>
      </c>
    </row>
    <row r="640" spans="1:11" x14ac:dyDescent="0.25">
      <c r="A640">
        <v>6864</v>
      </c>
      <c r="B640">
        <v>105.28879253926</v>
      </c>
      <c r="C640">
        <v>30.848272256958499</v>
      </c>
      <c r="D640">
        <v>638</v>
      </c>
      <c r="E640">
        <f>VLOOKUP(A640, Athletes_Map!A:B, 2, FALSE)</f>
        <v>606</v>
      </c>
      <c r="F640" t="str">
        <f>VLOOKUP(A640, Athletes_Map!A:C, 3, FALSE)</f>
        <v>Player 606</v>
      </c>
      <c r="G640">
        <v>100</v>
      </c>
      <c r="H640">
        <f t="shared" si="39"/>
        <v>1</v>
      </c>
      <c r="I640" t="str">
        <f t="shared" si="36"/>
        <v>Normal</v>
      </c>
      <c r="J640" t="str">
        <f t="shared" si="37"/>
        <v>Normal</v>
      </c>
      <c r="K640" t="str">
        <f t="shared" si="38"/>
        <v/>
      </c>
    </row>
    <row r="641" spans="1:11" x14ac:dyDescent="0.25">
      <c r="A641">
        <v>6870</v>
      </c>
      <c r="B641">
        <v>146.12460018801301</v>
      </c>
      <c r="C641">
        <v>32.926709194377104</v>
      </c>
      <c r="D641">
        <v>639</v>
      </c>
      <c r="E641">
        <f>VLOOKUP(A641, Athletes_Map!A:B, 2, FALSE)</f>
        <v>607</v>
      </c>
      <c r="F641" t="str">
        <f>VLOOKUP(A641, Athletes_Map!A:C, 3, FALSE)</f>
        <v>Player 607</v>
      </c>
      <c r="G641">
        <v>90</v>
      </c>
      <c r="H641">
        <f t="shared" si="39"/>
        <v>3</v>
      </c>
      <c r="I641" t="str">
        <f t="shared" si="36"/>
        <v>Alert</v>
      </c>
      <c r="J641" t="str">
        <f t="shared" si="37"/>
        <v>Oxygen</v>
      </c>
      <c r="K641">
        <f t="shared" si="38"/>
        <v>90</v>
      </c>
    </row>
    <row r="642" spans="1:11" x14ac:dyDescent="0.25">
      <c r="A642">
        <v>6878</v>
      </c>
      <c r="B642">
        <v>165.01519581268599</v>
      </c>
      <c r="C642">
        <v>32.533983674038602</v>
      </c>
      <c r="D642">
        <v>640</v>
      </c>
      <c r="E642">
        <f>VLOOKUP(A642, Athletes_Map!A:B, 2, FALSE)</f>
        <v>608</v>
      </c>
      <c r="F642" t="str">
        <f>VLOOKUP(A642, Athletes_Map!A:C, 3, FALSE)</f>
        <v>Player 608</v>
      </c>
      <c r="G642">
        <v>91</v>
      </c>
      <c r="H642">
        <f t="shared" si="39"/>
        <v>3</v>
      </c>
      <c r="I642" t="str">
        <f t="shared" ref="I642:I705" si="40">IF(H642=3, "Alert", "Normal")</f>
        <v>Alert</v>
      </c>
      <c r="J642" t="str">
        <f t="shared" ref="J642:J705" si="41">IF(B642&gt;150,"Heart Rate",
IF(C642&gt;37.5,"Temperature",
IF(G642&lt;92,"Oxygen","Normal")))</f>
        <v>Heart Rate</v>
      </c>
      <c r="K642">
        <f t="shared" ref="K642:K705" si="42">IF(J642="Heart Rate",B642,IF(J642="Temperature",C642,IF(J642="Oxygen",G642,"")))</f>
        <v>165.01519581268599</v>
      </c>
    </row>
    <row r="643" spans="1:11" x14ac:dyDescent="0.25">
      <c r="A643">
        <v>6881</v>
      </c>
      <c r="B643">
        <v>141.93007763461401</v>
      </c>
      <c r="C643">
        <v>34.264782925419397</v>
      </c>
      <c r="D643">
        <v>641</v>
      </c>
      <c r="E643">
        <f>VLOOKUP(A643, Athletes_Map!A:B, 2, FALSE)</f>
        <v>609</v>
      </c>
      <c r="F643" t="str">
        <f>VLOOKUP(A643, Athletes_Map!A:C, 3, FALSE)</f>
        <v>Player 609</v>
      </c>
      <c r="G643">
        <v>93</v>
      </c>
      <c r="H643">
        <f t="shared" ref="H643:H706" si="43">IF(OR(B643&gt;150, C643&gt;37.5, G643&lt;92), 3,
IF(OR(B643&gt;120, C643&gt;37, G643&lt;94), 2,
1))</f>
        <v>2</v>
      </c>
      <c r="I643" t="str">
        <f t="shared" si="40"/>
        <v>Normal</v>
      </c>
      <c r="J643" t="str">
        <f t="shared" si="41"/>
        <v>Normal</v>
      </c>
      <c r="K643" t="str">
        <f t="shared" si="42"/>
        <v/>
      </c>
    </row>
    <row r="644" spans="1:11" x14ac:dyDescent="0.25">
      <c r="A644">
        <v>6892</v>
      </c>
      <c r="B644">
        <v>186.20169076537499</v>
      </c>
      <c r="C644">
        <v>32.024382753287803</v>
      </c>
      <c r="D644">
        <v>642</v>
      </c>
      <c r="E644">
        <f>VLOOKUP(A644, Athletes_Map!A:B, 2, FALSE)</f>
        <v>610</v>
      </c>
      <c r="F644" t="str">
        <f>VLOOKUP(A644, Athletes_Map!A:C, 3, FALSE)</f>
        <v>Player 610</v>
      </c>
      <c r="G644">
        <v>91</v>
      </c>
      <c r="H644">
        <f t="shared" si="43"/>
        <v>3</v>
      </c>
      <c r="I644" t="str">
        <f t="shared" si="40"/>
        <v>Alert</v>
      </c>
      <c r="J644" t="str">
        <f t="shared" si="41"/>
        <v>Heart Rate</v>
      </c>
      <c r="K644">
        <f t="shared" si="42"/>
        <v>186.20169076537499</v>
      </c>
    </row>
    <row r="645" spans="1:11" x14ac:dyDescent="0.25">
      <c r="A645">
        <v>6895</v>
      </c>
      <c r="B645">
        <v>143.80028900106601</v>
      </c>
      <c r="C645">
        <v>33.072103193538197</v>
      </c>
      <c r="D645">
        <v>643</v>
      </c>
      <c r="E645">
        <f>VLOOKUP(A645, Athletes_Map!A:B, 2, FALSE)</f>
        <v>611</v>
      </c>
      <c r="F645" t="str">
        <f>VLOOKUP(A645, Athletes_Map!A:C, 3, FALSE)</f>
        <v>Player 611</v>
      </c>
      <c r="G645">
        <v>91</v>
      </c>
      <c r="H645">
        <f t="shared" si="43"/>
        <v>3</v>
      </c>
      <c r="I645" t="str">
        <f t="shared" si="40"/>
        <v>Alert</v>
      </c>
      <c r="J645" t="str">
        <f t="shared" si="41"/>
        <v>Oxygen</v>
      </c>
      <c r="K645">
        <f t="shared" si="42"/>
        <v>91</v>
      </c>
    </row>
    <row r="646" spans="1:11" x14ac:dyDescent="0.25">
      <c r="A646">
        <v>6915</v>
      </c>
      <c r="B646">
        <v>139.44267543267401</v>
      </c>
      <c r="C646">
        <v>33.041656498503002</v>
      </c>
      <c r="D646">
        <v>644</v>
      </c>
      <c r="E646">
        <f>VLOOKUP(A646, Athletes_Map!A:B, 2, FALSE)</f>
        <v>612</v>
      </c>
      <c r="F646" t="str">
        <f>VLOOKUP(A646, Athletes_Map!A:C, 3, FALSE)</f>
        <v>Player 612</v>
      </c>
      <c r="G646">
        <v>94</v>
      </c>
      <c r="H646">
        <f t="shared" si="43"/>
        <v>2</v>
      </c>
      <c r="I646" t="str">
        <f t="shared" si="40"/>
        <v>Normal</v>
      </c>
      <c r="J646" t="str">
        <f t="shared" si="41"/>
        <v>Normal</v>
      </c>
      <c r="K646" t="str">
        <f t="shared" si="42"/>
        <v/>
      </c>
    </row>
    <row r="647" spans="1:11" x14ac:dyDescent="0.25">
      <c r="A647">
        <v>6917</v>
      </c>
      <c r="B647">
        <v>144.07068603027901</v>
      </c>
      <c r="C647">
        <v>34.526270906326303</v>
      </c>
      <c r="D647">
        <v>645</v>
      </c>
      <c r="E647">
        <f>VLOOKUP(A647, Athletes_Map!A:B, 2, FALSE)</f>
        <v>613</v>
      </c>
      <c r="F647" t="str">
        <f>VLOOKUP(A647, Athletes_Map!A:C, 3, FALSE)</f>
        <v>Player 613</v>
      </c>
      <c r="G647">
        <v>93</v>
      </c>
      <c r="H647">
        <f t="shared" si="43"/>
        <v>2</v>
      </c>
      <c r="I647" t="str">
        <f t="shared" si="40"/>
        <v>Normal</v>
      </c>
      <c r="J647" t="str">
        <f t="shared" si="41"/>
        <v>Normal</v>
      </c>
      <c r="K647" t="str">
        <f t="shared" si="42"/>
        <v/>
      </c>
    </row>
    <row r="648" spans="1:11" x14ac:dyDescent="0.25">
      <c r="A648">
        <v>6919</v>
      </c>
      <c r="B648">
        <v>122.061264445888</v>
      </c>
      <c r="C648">
        <v>33.567156415012001</v>
      </c>
      <c r="D648">
        <v>646</v>
      </c>
      <c r="E648">
        <f>VLOOKUP(A648, Athletes_Map!A:B, 2, FALSE)</f>
        <v>614</v>
      </c>
      <c r="F648" t="str">
        <f>VLOOKUP(A648, Athletes_Map!A:C, 3, FALSE)</f>
        <v>Player 614</v>
      </c>
      <c r="G648">
        <v>94</v>
      </c>
      <c r="H648">
        <f t="shared" si="43"/>
        <v>2</v>
      </c>
      <c r="I648" t="str">
        <f t="shared" si="40"/>
        <v>Normal</v>
      </c>
      <c r="J648" t="str">
        <f t="shared" si="41"/>
        <v>Normal</v>
      </c>
      <c r="K648" t="str">
        <f t="shared" si="42"/>
        <v/>
      </c>
    </row>
    <row r="649" spans="1:11" x14ac:dyDescent="0.25">
      <c r="A649">
        <v>6949</v>
      </c>
      <c r="B649">
        <v>139.48903637119901</v>
      </c>
      <c r="C649">
        <v>32.973239659538301</v>
      </c>
      <c r="D649">
        <v>647</v>
      </c>
      <c r="E649">
        <f>VLOOKUP(A649, Athletes_Map!A:B, 2, FALSE)</f>
        <v>615</v>
      </c>
      <c r="F649" t="str">
        <f>VLOOKUP(A649, Athletes_Map!A:C, 3, FALSE)</f>
        <v>Player 615</v>
      </c>
      <c r="G649">
        <v>95</v>
      </c>
      <c r="H649">
        <f t="shared" si="43"/>
        <v>2</v>
      </c>
      <c r="I649" t="str">
        <f t="shared" si="40"/>
        <v>Normal</v>
      </c>
      <c r="J649" t="str">
        <f t="shared" si="41"/>
        <v>Normal</v>
      </c>
      <c r="K649" t="str">
        <f t="shared" si="42"/>
        <v/>
      </c>
    </row>
    <row r="650" spans="1:11" x14ac:dyDescent="0.25">
      <c r="A650">
        <v>6951</v>
      </c>
      <c r="B650">
        <v>131.12681081440499</v>
      </c>
      <c r="C650">
        <v>34.269377016984897</v>
      </c>
      <c r="D650">
        <v>648</v>
      </c>
      <c r="E650">
        <f>VLOOKUP(A650, Athletes_Map!A:B, 2, FALSE)</f>
        <v>616</v>
      </c>
      <c r="F650" t="str">
        <f>VLOOKUP(A650, Athletes_Map!A:C, 3, FALSE)</f>
        <v>Player 616</v>
      </c>
      <c r="G650">
        <v>95</v>
      </c>
      <c r="H650">
        <f t="shared" si="43"/>
        <v>2</v>
      </c>
      <c r="I650" t="str">
        <f t="shared" si="40"/>
        <v>Normal</v>
      </c>
      <c r="J650" t="str">
        <f t="shared" si="41"/>
        <v>Normal</v>
      </c>
      <c r="K650" t="str">
        <f t="shared" si="42"/>
        <v/>
      </c>
    </row>
    <row r="651" spans="1:11" x14ac:dyDescent="0.25">
      <c r="A651">
        <v>6959</v>
      </c>
      <c r="B651">
        <v>76.5729903301078</v>
      </c>
      <c r="C651">
        <v>33.235489128799998</v>
      </c>
      <c r="D651">
        <v>649</v>
      </c>
      <c r="E651">
        <f>VLOOKUP(A651, Athletes_Map!A:B, 2, FALSE)</f>
        <v>617</v>
      </c>
      <c r="F651" t="str">
        <f>VLOOKUP(A651, Athletes_Map!A:C, 3, FALSE)</f>
        <v>Player 617</v>
      </c>
      <c r="G651">
        <v>98</v>
      </c>
      <c r="H651">
        <f t="shared" si="43"/>
        <v>1</v>
      </c>
      <c r="I651" t="str">
        <f t="shared" si="40"/>
        <v>Normal</v>
      </c>
      <c r="J651" t="str">
        <f t="shared" si="41"/>
        <v>Normal</v>
      </c>
      <c r="K651" t="str">
        <f t="shared" si="42"/>
        <v/>
      </c>
    </row>
    <row r="652" spans="1:11" x14ac:dyDescent="0.25">
      <c r="A652">
        <v>6966</v>
      </c>
      <c r="B652">
        <v>123.38953100390501</v>
      </c>
      <c r="C652">
        <v>32.303980400815497</v>
      </c>
      <c r="D652">
        <v>650</v>
      </c>
      <c r="E652">
        <f>VLOOKUP(A652, Athletes_Map!A:B, 2, FALSE)</f>
        <v>618</v>
      </c>
      <c r="F652" t="str">
        <f>VLOOKUP(A652, Athletes_Map!A:C, 3, FALSE)</f>
        <v>Player 618</v>
      </c>
      <c r="G652">
        <v>93</v>
      </c>
      <c r="H652">
        <f t="shared" si="43"/>
        <v>2</v>
      </c>
      <c r="I652" t="str">
        <f t="shared" si="40"/>
        <v>Normal</v>
      </c>
      <c r="J652" t="str">
        <f t="shared" si="41"/>
        <v>Normal</v>
      </c>
      <c r="K652" t="str">
        <f t="shared" si="42"/>
        <v/>
      </c>
    </row>
    <row r="653" spans="1:11" x14ac:dyDescent="0.25">
      <c r="A653">
        <v>6971</v>
      </c>
      <c r="B653">
        <v>111.597739478812</v>
      </c>
      <c r="C653">
        <v>30.556535396572801</v>
      </c>
      <c r="D653">
        <v>651</v>
      </c>
      <c r="E653">
        <f>VLOOKUP(A653, Athletes_Map!A:B, 2, FALSE)</f>
        <v>619</v>
      </c>
      <c r="F653" t="str">
        <f>VLOOKUP(A653, Athletes_Map!A:C, 3, FALSE)</f>
        <v>Player 619</v>
      </c>
      <c r="G653">
        <v>93</v>
      </c>
      <c r="H653">
        <f t="shared" si="43"/>
        <v>2</v>
      </c>
      <c r="I653" t="str">
        <f t="shared" si="40"/>
        <v>Normal</v>
      </c>
      <c r="J653" t="str">
        <f t="shared" si="41"/>
        <v>Normal</v>
      </c>
      <c r="K653" t="str">
        <f t="shared" si="42"/>
        <v/>
      </c>
    </row>
    <row r="654" spans="1:11" x14ac:dyDescent="0.25">
      <c r="A654">
        <v>6975</v>
      </c>
      <c r="B654">
        <v>143.471981311869</v>
      </c>
      <c r="C654">
        <v>31.5356151720672</v>
      </c>
      <c r="D654">
        <v>652</v>
      </c>
      <c r="E654">
        <f>VLOOKUP(A654, Athletes_Map!A:B, 2, FALSE)</f>
        <v>620</v>
      </c>
      <c r="F654" t="str">
        <f>VLOOKUP(A654, Athletes_Map!A:C, 3, FALSE)</f>
        <v>Player 620</v>
      </c>
      <c r="G654">
        <v>92</v>
      </c>
      <c r="H654">
        <f t="shared" si="43"/>
        <v>2</v>
      </c>
      <c r="I654" t="str">
        <f t="shared" si="40"/>
        <v>Normal</v>
      </c>
      <c r="J654" t="str">
        <f t="shared" si="41"/>
        <v>Normal</v>
      </c>
      <c r="K654" t="str">
        <f t="shared" si="42"/>
        <v/>
      </c>
    </row>
    <row r="655" spans="1:11" x14ac:dyDescent="0.25">
      <c r="A655">
        <v>6977</v>
      </c>
      <c r="B655">
        <v>156.61561451109199</v>
      </c>
      <c r="C655">
        <v>32.3393376819498</v>
      </c>
      <c r="D655">
        <v>653</v>
      </c>
      <c r="E655">
        <f>VLOOKUP(A655, Athletes_Map!A:B, 2, FALSE)</f>
        <v>621</v>
      </c>
      <c r="F655" t="str">
        <f>VLOOKUP(A655, Athletes_Map!A:C, 3, FALSE)</f>
        <v>Player 621</v>
      </c>
      <c r="G655">
        <v>93</v>
      </c>
      <c r="H655">
        <f t="shared" si="43"/>
        <v>3</v>
      </c>
      <c r="I655" t="str">
        <f t="shared" si="40"/>
        <v>Alert</v>
      </c>
      <c r="J655" t="str">
        <f t="shared" si="41"/>
        <v>Heart Rate</v>
      </c>
      <c r="K655">
        <f t="shared" si="42"/>
        <v>156.61561451109199</v>
      </c>
    </row>
    <row r="656" spans="1:11" x14ac:dyDescent="0.25">
      <c r="A656">
        <v>6977</v>
      </c>
      <c r="B656">
        <v>137.445950060645</v>
      </c>
      <c r="C656">
        <v>31.817352479134801</v>
      </c>
      <c r="D656">
        <v>654</v>
      </c>
      <c r="E656">
        <f>VLOOKUP(A656, Athletes_Map!A:B, 2, FALSE)</f>
        <v>621</v>
      </c>
      <c r="F656" t="str">
        <f>VLOOKUP(A656, Athletes_Map!A:C, 3, FALSE)</f>
        <v>Player 621</v>
      </c>
      <c r="G656">
        <v>95</v>
      </c>
      <c r="H656">
        <f t="shared" si="43"/>
        <v>2</v>
      </c>
      <c r="I656" t="str">
        <f t="shared" si="40"/>
        <v>Normal</v>
      </c>
      <c r="J656" t="str">
        <f t="shared" si="41"/>
        <v>Normal</v>
      </c>
      <c r="K656" t="str">
        <f t="shared" si="42"/>
        <v/>
      </c>
    </row>
    <row r="657" spans="1:11" x14ac:dyDescent="0.25">
      <c r="A657">
        <v>6984</v>
      </c>
      <c r="B657">
        <v>125.223011564274</v>
      </c>
      <c r="C657">
        <v>32.936271837963702</v>
      </c>
      <c r="D657">
        <v>655</v>
      </c>
      <c r="E657">
        <f>VLOOKUP(A657, Athletes_Map!A:B, 2, FALSE)</f>
        <v>622</v>
      </c>
      <c r="F657" t="str">
        <f>VLOOKUP(A657, Athletes_Map!A:C, 3, FALSE)</f>
        <v>Player 622</v>
      </c>
      <c r="G657">
        <v>93</v>
      </c>
      <c r="H657">
        <f t="shared" si="43"/>
        <v>2</v>
      </c>
      <c r="I657" t="str">
        <f t="shared" si="40"/>
        <v>Normal</v>
      </c>
      <c r="J657" t="str">
        <f t="shared" si="41"/>
        <v>Normal</v>
      </c>
      <c r="K657" t="str">
        <f t="shared" si="42"/>
        <v/>
      </c>
    </row>
    <row r="658" spans="1:11" x14ac:dyDescent="0.25">
      <c r="A658">
        <v>6986</v>
      </c>
      <c r="B658">
        <v>135.53771677988999</v>
      </c>
      <c r="C658">
        <v>32.070462035977698</v>
      </c>
      <c r="D658">
        <v>656</v>
      </c>
      <c r="E658">
        <f>VLOOKUP(A658, Athletes_Map!A:B, 2, FALSE)</f>
        <v>623</v>
      </c>
      <c r="F658" t="str">
        <f>VLOOKUP(A658, Athletes_Map!A:C, 3, FALSE)</f>
        <v>Player 623</v>
      </c>
      <c r="G658">
        <v>93</v>
      </c>
      <c r="H658">
        <f t="shared" si="43"/>
        <v>2</v>
      </c>
      <c r="I658" t="str">
        <f t="shared" si="40"/>
        <v>Normal</v>
      </c>
      <c r="J658" t="str">
        <f t="shared" si="41"/>
        <v>Normal</v>
      </c>
      <c r="K658" t="str">
        <f t="shared" si="42"/>
        <v/>
      </c>
    </row>
    <row r="659" spans="1:11" x14ac:dyDescent="0.25">
      <c r="A659">
        <v>6988</v>
      </c>
      <c r="B659">
        <v>183.06831170476499</v>
      </c>
      <c r="C659">
        <v>32.708761502609597</v>
      </c>
      <c r="D659">
        <v>657</v>
      </c>
      <c r="E659">
        <f>VLOOKUP(A659, Athletes_Map!A:B, 2, FALSE)</f>
        <v>624</v>
      </c>
      <c r="F659" t="str">
        <f>VLOOKUP(A659, Athletes_Map!A:C, 3, FALSE)</f>
        <v>Player 624</v>
      </c>
      <c r="G659">
        <v>93</v>
      </c>
      <c r="H659">
        <f t="shared" si="43"/>
        <v>3</v>
      </c>
      <c r="I659" t="str">
        <f t="shared" si="40"/>
        <v>Alert</v>
      </c>
      <c r="J659" t="str">
        <f t="shared" si="41"/>
        <v>Heart Rate</v>
      </c>
      <c r="K659">
        <f t="shared" si="42"/>
        <v>183.06831170476499</v>
      </c>
    </row>
    <row r="660" spans="1:11" x14ac:dyDescent="0.25">
      <c r="A660">
        <v>6989</v>
      </c>
      <c r="B660">
        <v>184.859990348655</v>
      </c>
      <c r="C660">
        <v>32.483628816054399</v>
      </c>
      <c r="D660">
        <v>658</v>
      </c>
      <c r="E660">
        <f>VLOOKUP(A660, Athletes_Map!A:B, 2, FALSE)</f>
        <v>625</v>
      </c>
      <c r="F660" t="str">
        <f>VLOOKUP(A660, Athletes_Map!A:C, 3, FALSE)</f>
        <v>Player 625</v>
      </c>
      <c r="G660">
        <v>91</v>
      </c>
      <c r="H660">
        <f t="shared" si="43"/>
        <v>3</v>
      </c>
      <c r="I660" t="str">
        <f t="shared" si="40"/>
        <v>Alert</v>
      </c>
      <c r="J660" t="str">
        <f t="shared" si="41"/>
        <v>Heart Rate</v>
      </c>
      <c r="K660">
        <f t="shared" si="42"/>
        <v>184.859990348655</v>
      </c>
    </row>
    <row r="661" spans="1:11" x14ac:dyDescent="0.25">
      <c r="A661">
        <v>6997</v>
      </c>
      <c r="B661">
        <v>121.63819092713899</v>
      </c>
      <c r="C661">
        <v>32.491681701926098</v>
      </c>
      <c r="D661">
        <v>659</v>
      </c>
      <c r="E661">
        <f>VLOOKUP(A661, Athletes_Map!A:B, 2, FALSE)</f>
        <v>626</v>
      </c>
      <c r="F661" t="str">
        <f>VLOOKUP(A661, Athletes_Map!A:C, 3, FALSE)</f>
        <v>Player 626</v>
      </c>
      <c r="G661">
        <v>95</v>
      </c>
      <c r="H661">
        <f t="shared" si="43"/>
        <v>2</v>
      </c>
      <c r="I661" t="str">
        <f t="shared" si="40"/>
        <v>Normal</v>
      </c>
      <c r="J661" t="str">
        <f t="shared" si="41"/>
        <v>Normal</v>
      </c>
      <c r="K661" t="str">
        <f t="shared" si="42"/>
        <v/>
      </c>
    </row>
    <row r="662" spans="1:11" x14ac:dyDescent="0.25">
      <c r="A662">
        <v>7002</v>
      </c>
      <c r="B662">
        <v>153.492673658255</v>
      </c>
      <c r="C662">
        <v>32.962555813273099</v>
      </c>
      <c r="D662">
        <v>660</v>
      </c>
      <c r="E662">
        <f>VLOOKUP(A662, Athletes_Map!A:B, 2, FALSE)</f>
        <v>627</v>
      </c>
      <c r="F662" t="str">
        <f>VLOOKUP(A662, Athletes_Map!A:C, 3, FALSE)</f>
        <v>Player 627</v>
      </c>
      <c r="G662">
        <v>94</v>
      </c>
      <c r="H662">
        <f t="shared" si="43"/>
        <v>3</v>
      </c>
      <c r="I662" t="str">
        <f t="shared" si="40"/>
        <v>Alert</v>
      </c>
      <c r="J662" t="str">
        <f t="shared" si="41"/>
        <v>Heart Rate</v>
      </c>
      <c r="K662">
        <f t="shared" si="42"/>
        <v>153.492673658255</v>
      </c>
    </row>
    <row r="663" spans="1:11" x14ac:dyDescent="0.25">
      <c r="A663">
        <v>7015</v>
      </c>
      <c r="B663">
        <v>137.65939348293699</v>
      </c>
      <c r="C663">
        <v>32.584288192791703</v>
      </c>
      <c r="D663">
        <v>661</v>
      </c>
      <c r="E663">
        <f>VLOOKUP(A663, Athletes_Map!A:B, 2, FALSE)</f>
        <v>628</v>
      </c>
      <c r="F663" t="str">
        <f>VLOOKUP(A663, Athletes_Map!A:C, 3, FALSE)</f>
        <v>Player 628</v>
      </c>
      <c r="G663">
        <v>94</v>
      </c>
      <c r="H663">
        <f t="shared" si="43"/>
        <v>2</v>
      </c>
      <c r="I663" t="str">
        <f t="shared" si="40"/>
        <v>Normal</v>
      </c>
      <c r="J663" t="str">
        <f t="shared" si="41"/>
        <v>Normal</v>
      </c>
      <c r="K663" t="str">
        <f t="shared" si="42"/>
        <v/>
      </c>
    </row>
    <row r="664" spans="1:11" x14ac:dyDescent="0.25">
      <c r="A664">
        <v>7016</v>
      </c>
      <c r="B664">
        <v>127.164837019123</v>
      </c>
      <c r="C664">
        <v>33.5763126016871</v>
      </c>
      <c r="D664">
        <v>662</v>
      </c>
      <c r="E664">
        <f>VLOOKUP(A664, Athletes_Map!A:B, 2, FALSE)</f>
        <v>629</v>
      </c>
      <c r="F664" t="str">
        <f>VLOOKUP(A664, Athletes_Map!A:C, 3, FALSE)</f>
        <v>Player 629</v>
      </c>
      <c r="G664">
        <v>95</v>
      </c>
      <c r="H664">
        <f t="shared" si="43"/>
        <v>2</v>
      </c>
      <c r="I664" t="str">
        <f t="shared" si="40"/>
        <v>Normal</v>
      </c>
      <c r="J664" t="str">
        <f t="shared" si="41"/>
        <v>Normal</v>
      </c>
      <c r="K664" t="str">
        <f t="shared" si="42"/>
        <v/>
      </c>
    </row>
    <row r="665" spans="1:11" x14ac:dyDescent="0.25">
      <c r="A665">
        <v>7019</v>
      </c>
      <c r="B665">
        <v>156.06305706665799</v>
      </c>
      <c r="C665">
        <v>32.609266737421798</v>
      </c>
      <c r="D665">
        <v>663</v>
      </c>
      <c r="E665">
        <f>VLOOKUP(A665, Athletes_Map!A:B, 2, FALSE)</f>
        <v>630</v>
      </c>
      <c r="F665" t="str">
        <f>VLOOKUP(A665, Athletes_Map!A:C, 3, FALSE)</f>
        <v>Player 630</v>
      </c>
      <c r="G665">
        <v>92</v>
      </c>
      <c r="H665">
        <f t="shared" si="43"/>
        <v>3</v>
      </c>
      <c r="I665" t="str">
        <f t="shared" si="40"/>
        <v>Alert</v>
      </c>
      <c r="J665" t="str">
        <f t="shared" si="41"/>
        <v>Heart Rate</v>
      </c>
      <c r="K665">
        <f t="shared" si="42"/>
        <v>156.06305706665799</v>
      </c>
    </row>
    <row r="666" spans="1:11" x14ac:dyDescent="0.25">
      <c r="A666">
        <v>7024</v>
      </c>
      <c r="B666">
        <v>114.805385905801</v>
      </c>
      <c r="C666">
        <v>33.189707070387797</v>
      </c>
      <c r="D666">
        <v>664</v>
      </c>
      <c r="E666">
        <f>VLOOKUP(A666, Athletes_Map!A:B, 2, FALSE)</f>
        <v>631</v>
      </c>
      <c r="F666" t="str">
        <f>VLOOKUP(A666, Athletes_Map!A:C, 3, FALSE)</f>
        <v>Player 631</v>
      </c>
      <c r="G666">
        <v>94</v>
      </c>
      <c r="H666">
        <f t="shared" si="43"/>
        <v>1</v>
      </c>
      <c r="I666" t="str">
        <f t="shared" si="40"/>
        <v>Normal</v>
      </c>
      <c r="J666" t="str">
        <f t="shared" si="41"/>
        <v>Normal</v>
      </c>
      <c r="K666" t="str">
        <f t="shared" si="42"/>
        <v/>
      </c>
    </row>
    <row r="667" spans="1:11" x14ac:dyDescent="0.25">
      <c r="A667">
        <v>7028</v>
      </c>
      <c r="B667">
        <v>120.055766417043</v>
      </c>
      <c r="C667">
        <v>35.0628487354101</v>
      </c>
      <c r="D667">
        <v>665</v>
      </c>
      <c r="E667">
        <f>VLOOKUP(A667, Athletes_Map!A:B, 2, FALSE)</f>
        <v>632</v>
      </c>
      <c r="F667" t="str">
        <f>VLOOKUP(A667, Athletes_Map!A:C, 3, FALSE)</f>
        <v>Player 632</v>
      </c>
      <c r="G667">
        <v>95</v>
      </c>
      <c r="H667">
        <f t="shared" si="43"/>
        <v>2</v>
      </c>
      <c r="I667" t="str">
        <f t="shared" si="40"/>
        <v>Normal</v>
      </c>
      <c r="J667" t="str">
        <f t="shared" si="41"/>
        <v>Normal</v>
      </c>
      <c r="K667" t="str">
        <f t="shared" si="42"/>
        <v/>
      </c>
    </row>
    <row r="668" spans="1:11" x14ac:dyDescent="0.25">
      <c r="A668">
        <v>7031</v>
      </c>
      <c r="B668">
        <v>158.93143003328899</v>
      </c>
      <c r="C668">
        <v>32.284045129665898</v>
      </c>
      <c r="D668">
        <v>666</v>
      </c>
      <c r="E668">
        <f>VLOOKUP(A668, Athletes_Map!A:B, 2, FALSE)</f>
        <v>633</v>
      </c>
      <c r="F668" t="str">
        <f>VLOOKUP(A668, Athletes_Map!A:C, 3, FALSE)</f>
        <v>Player 633</v>
      </c>
      <c r="G668">
        <v>93</v>
      </c>
      <c r="H668">
        <f t="shared" si="43"/>
        <v>3</v>
      </c>
      <c r="I668" t="str">
        <f t="shared" si="40"/>
        <v>Alert</v>
      </c>
      <c r="J668" t="str">
        <f t="shared" si="41"/>
        <v>Heart Rate</v>
      </c>
      <c r="K668">
        <f t="shared" si="42"/>
        <v>158.93143003328899</v>
      </c>
    </row>
    <row r="669" spans="1:11" x14ac:dyDescent="0.25">
      <c r="A669">
        <v>7038</v>
      </c>
      <c r="B669">
        <v>99.783823760384394</v>
      </c>
      <c r="C669">
        <v>32.306495067800697</v>
      </c>
      <c r="D669">
        <v>667</v>
      </c>
      <c r="E669">
        <f>VLOOKUP(A669, Athletes_Map!A:B, 2, FALSE)</f>
        <v>634</v>
      </c>
      <c r="F669" t="str">
        <f>VLOOKUP(A669, Athletes_Map!A:C, 3, FALSE)</f>
        <v>Player 634</v>
      </c>
      <c r="G669">
        <v>100</v>
      </c>
      <c r="H669">
        <f t="shared" si="43"/>
        <v>1</v>
      </c>
      <c r="I669" t="str">
        <f t="shared" si="40"/>
        <v>Normal</v>
      </c>
      <c r="J669" t="str">
        <f t="shared" si="41"/>
        <v>Normal</v>
      </c>
      <c r="K669" t="str">
        <f t="shared" si="42"/>
        <v/>
      </c>
    </row>
    <row r="670" spans="1:11" x14ac:dyDescent="0.25">
      <c r="A670">
        <v>7042</v>
      </c>
      <c r="B670">
        <v>95.125287148570806</v>
      </c>
      <c r="C670">
        <v>33.251441076315302</v>
      </c>
      <c r="D670">
        <v>668</v>
      </c>
      <c r="E670">
        <f>VLOOKUP(A670, Athletes_Map!A:B, 2, FALSE)</f>
        <v>635</v>
      </c>
      <c r="F670" t="str">
        <f>VLOOKUP(A670, Athletes_Map!A:C, 3, FALSE)</f>
        <v>Player 635</v>
      </c>
      <c r="G670">
        <v>97</v>
      </c>
      <c r="H670">
        <f t="shared" si="43"/>
        <v>1</v>
      </c>
      <c r="I670" t="str">
        <f t="shared" si="40"/>
        <v>Normal</v>
      </c>
      <c r="J670" t="str">
        <f t="shared" si="41"/>
        <v>Normal</v>
      </c>
      <c r="K670" t="str">
        <f t="shared" si="42"/>
        <v/>
      </c>
    </row>
    <row r="671" spans="1:11" x14ac:dyDescent="0.25">
      <c r="A671">
        <v>7090</v>
      </c>
      <c r="B671">
        <v>115.538621182368</v>
      </c>
      <c r="C671">
        <v>34.434576780990497</v>
      </c>
      <c r="D671">
        <v>669</v>
      </c>
      <c r="E671">
        <f>VLOOKUP(A671, Athletes_Map!A:B, 2, FALSE)</f>
        <v>636</v>
      </c>
      <c r="F671" t="str">
        <f>VLOOKUP(A671, Athletes_Map!A:C, 3, FALSE)</f>
        <v>Player 636</v>
      </c>
      <c r="G671">
        <v>94</v>
      </c>
      <c r="H671">
        <f t="shared" si="43"/>
        <v>1</v>
      </c>
      <c r="I671" t="str">
        <f t="shared" si="40"/>
        <v>Normal</v>
      </c>
      <c r="J671" t="str">
        <f t="shared" si="41"/>
        <v>Normal</v>
      </c>
      <c r="K671" t="str">
        <f t="shared" si="42"/>
        <v/>
      </c>
    </row>
    <row r="672" spans="1:11" x14ac:dyDescent="0.25">
      <c r="A672">
        <v>7102</v>
      </c>
      <c r="B672">
        <v>147.85445519735001</v>
      </c>
      <c r="C672">
        <v>32.122041913309701</v>
      </c>
      <c r="D672">
        <v>670</v>
      </c>
      <c r="E672">
        <f>VLOOKUP(A672, Athletes_Map!A:B, 2, FALSE)</f>
        <v>637</v>
      </c>
      <c r="F672" t="str">
        <f>VLOOKUP(A672, Athletes_Map!A:C, 3, FALSE)</f>
        <v>Player 637</v>
      </c>
      <c r="G672">
        <v>91</v>
      </c>
      <c r="H672">
        <f t="shared" si="43"/>
        <v>3</v>
      </c>
      <c r="I672" t="str">
        <f t="shared" si="40"/>
        <v>Alert</v>
      </c>
      <c r="J672" t="str">
        <f t="shared" si="41"/>
        <v>Oxygen</v>
      </c>
      <c r="K672">
        <f t="shared" si="42"/>
        <v>91</v>
      </c>
    </row>
    <row r="673" spans="1:11" x14ac:dyDescent="0.25">
      <c r="A673">
        <v>7132</v>
      </c>
      <c r="B673">
        <v>168.45144773675401</v>
      </c>
      <c r="C673">
        <v>31.996725417479901</v>
      </c>
      <c r="D673">
        <v>671</v>
      </c>
      <c r="E673">
        <f>VLOOKUP(A673, Athletes_Map!A:B, 2, FALSE)</f>
        <v>638</v>
      </c>
      <c r="F673" t="str">
        <f>VLOOKUP(A673, Athletes_Map!A:C, 3, FALSE)</f>
        <v>Player 638</v>
      </c>
      <c r="G673">
        <v>94</v>
      </c>
      <c r="H673">
        <f t="shared" si="43"/>
        <v>3</v>
      </c>
      <c r="I673" t="str">
        <f t="shared" si="40"/>
        <v>Alert</v>
      </c>
      <c r="J673" t="str">
        <f t="shared" si="41"/>
        <v>Heart Rate</v>
      </c>
      <c r="K673">
        <f t="shared" si="42"/>
        <v>168.45144773675401</v>
      </c>
    </row>
    <row r="674" spans="1:11" x14ac:dyDescent="0.25">
      <c r="A674">
        <v>7166</v>
      </c>
      <c r="B674">
        <v>120.308168464039</v>
      </c>
      <c r="C674">
        <v>32.3203264905423</v>
      </c>
      <c r="D674">
        <v>672</v>
      </c>
      <c r="E674">
        <f>VLOOKUP(A674, Athletes_Map!A:B, 2, FALSE)</f>
        <v>639</v>
      </c>
      <c r="F674" t="str">
        <f>VLOOKUP(A674, Athletes_Map!A:C, 3, FALSE)</f>
        <v>Player 639</v>
      </c>
      <c r="G674">
        <v>95</v>
      </c>
      <c r="H674">
        <f t="shared" si="43"/>
        <v>2</v>
      </c>
      <c r="I674" t="str">
        <f t="shared" si="40"/>
        <v>Normal</v>
      </c>
      <c r="J674" t="str">
        <f t="shared" si="41"/>
        <v>Normal</v>
      </c>
      <c r="K674" t="str">
        <f t="shared" si="42"/>
        <v/>
      </c>
    </row>
    <row r="675" spans="1:11" x14ac:dyDescent="0.25">
      <c r="A675">
        <v>7168</v>
      </c>
      <c r="B675">
        <v>152.20946976719401</v>
      </c>
      <c r="C675">
        <v>33.272021098193498</v>
      </c>
      <c r="D675">
        <v>673</v>
      </c>
      <c r="E675">
        <f>VLOOKUP(A675, Athletes_Map!A:B, 2, FALSE)</f>
        <v>640</v>
      </c>
      <c r="F675" t="str">
        <f>VLOOKUP(A675, Athletes_Map!A:C, 3, FALSE)</f>
        <v>Player 640</v>
      </c>
      <c r="G675">
        <v>94</v>
      </c>
      <c r="H675">
        <f t="shared" si="43"/>
        <v>3</v>
      </c>
      <c r="I675" t="str">
        <f t="shared" si="40"/>
        <v>Alert</v>
      </c>
      <c r="J675" t="str">
        <f t="shared" si="41"/>
        <v>Heart Rate</v>
      </c>
      <c r="K675">
        <f t="shared" si="42"/>
        <v>152.20946976719401</v>
      </c>
    </row>
    <row r="676" spans="1:11" x14ac:dyDescent="0.25">
      <c r="A676">
        <v>7172</v>
      </c>
      <c r="B676">
        <v>153.815423759764</v>
      </c>
      <c r="C676">
        <v>33.431370957056501</v>
      </c>
      <c r="D676">
        <v>674</v>
      </c>
      <c r="E676">
        <f>VLOOKUP(A676, Athletes_Map!A:B, 2, FALSE)</f>
        <v>641</v>
      </c>
      <c r="F676" t="str">
        <f>VLOOKUP(A676, Athletes_Map!A:C, 3, FALSE)</f>
        <v>Player 641</v>
      </c>
      <c r="G676">
        <v>91</v>
      </c>
      <c r="H676">
        <f t="shared" si="43"/>
        <v>3</v>
      </c>
      <c r="I676" t="str">
        <f t="shared" si="40"/>
        <v>Alert</v>
      </c>
      <c r="J676" t="str">
        <f t="shared" si="41"/>
        <v>Heart Rate</v>
      </c>
      <c r="K676">
        <f t="shared" si="42"/>
        <v>153.815423759764</v>
      </c>
    </row>
    <row r="677" spans="1:11" x14ac:dyDescent="0.25">
      <c r="A677">
        <v>7184</v>
      </c>
      <c r="B677">
        <v>157.98546652571301</v>
      </c>
      <c r="C677">
        <v>33.270913827734098</v>
      </c>
      <c r="D677">
        <v>675</v>
      </c>
      <c r="E677">
        <f>VLOOKUP(A677, Athletes_Map!A:B, 2, FALSE)</f>
        <v>642</v>
      </c>
      <c r="F677" t="str">
        <f>VLOOKUP(A677, Athletes_Map!A:C, 3, FALSE)</f>
        <v>Player 642</v>
      </c>
      <c r="G677">
        <v>93</v>
      </c>
      <c r="H677">
        <f t="shared" si="43"/>
        <v>3</v>
      </c>
      <c r="I677" t="str">
        <f t="shared" si="40"/>
        <v>Alert</v>
      </c>
      <c r="J677" t="str">
        <f t="shared" si="41"/>
        <v>Heart Rate</v>
      </c>
      <c r="K677">
        <f t="shared" si="42"/>
        <v>157.98546652571301</v>
      </c>
    </row>
    <row r="678" spans="1:11" x14ac:dyDescent="0.25">
      <c r="A678">
        <v>7190</v>
      </c>
      <c r="B678">
        <v>135.876229439582</v>
      </c>
      <c r="C678">
        <v>35.242581408652597</v>
      </c>
      <c r="D678">
        <v>676</v>
      </c>
      <c r="E678">
        <f>VLOOKUP(A678, Athletes_Map!A:B, 2, FALSE)</f>
        <v>643</v>
      </c>
      <c r="F678" t="str">
        <f>VLOOKUP(A678, Athletes_Map!A:C, 3, FALSE)</f>
        <v>Player 643</v>
      </c>
      <c r="G678">
        <v>94</v>
      </c>
      <c r="H678">
        <f t="shared" si="43"/>
        <v>2</v>
      </c>
      <c r="I678" t="str">
        <f t="shared" si="40"/>
        <v>Normal</v>
      </c>
      <c r="J678" t="str">
        <f t="shared" si="41"/>
        <v>Normal</v>
      </c>
      <c r="K678" t="str">
        <f t="shared" si="42"/>
        <v/>
      </c>
    </row>
    <row r="679" spans="1:11" x14ac:dyDescent="0.25">
      <c r="A679">
        <v>7190</v>
      </c>
      <c r="B679">
        <v>166.23022393453701</v>
      </c>
      <c r="C679">
        <v>31.280794452312399</v>
      </c>
      <c r="D679">
        <v>677</v>
      </c>
      <c r="E679">
        <f>VLOOKUP(A679, Athletes_Map!A:B, 2, FALSE)</f>
        <v>643</v>
      </c>
      <c r="F679" t="str">
        <f>VLOOKUP(A679, Athletes_Map!A:C, 3, FALSE)</f>
        <v>Player 643</v>
      </c>
      <c r="G679">
        <v>94</v>
      </c>
      <c r="H679">
        <f t="shared" si="43"/>
        <v>3</v>
      </c>
      <c r="I679" t="str">
        <f t="shared" si="40"/>
        <v>Alert</v>
      </c>
      <c r="J679" t="str">
        <f t="shared" si="41"/>
        <v>Heart Rate</v>
      </c>
      <c r="K679">
        <f t="shared" si="42"/>
        <v>166.23022393453701</v>
      </c>
    </row>
    <row r="680" spans="1:11" x14ac:dyDescent="0.25">
      <c r="A680">
        <v>7197</v>
      </c>
      <c r="B680">
        <v>135.574896458696</v>
      </c>
      <c r="C680">
        <v>35.002883430991503</v>
      </c>
      <c r="D680">
        <v>678</v>
      </c>
      <c r="E680">
        <f>VLOOKUP(A680, Athletes_Map!A:B, 2, FALSE)</f>
        <v>644</v>
      </c>
      <c r="F680" t="str">
        <f>VLOOKUP(A680, Athletes_Map!A:C, 3, FALSE)</f>
        <v>Player 644</v>
      </c>
      <c r="G680">
        <v>94</v>
      </c>
      <c r="H680">
        <f t="shared" si="43"/>
        <v>2</v>
      </c>
      <c r="I680" t="str">
        <f t="shared" si="40"/>
        <v>Normal</v>
      </c>
      <c r="J680" t="str">
        <f t="shared" si="41"/>
        <v>Normal</v>
      </c>
      <c r="K680" t="str">
        <f t="shared" si="42"/>
        <v/>
      </c>
    </row>
    <row r="681" spans="1:11" x14ac:dyDescent="0.25">
      <c r="A681">
        <v>7229</v>
      </c>
      <c r="B681">
        <v>176.124142598806</v>
      </c>
      <c r="C681">
        <v>33.420444259663597</v>
      </c>
      <c r="D681">
        <v>679</v>
      </c>
      <c r="E681">
        <f>VLOOKUP(A681, Athletes_Map!A:B, 2, FALSE)</f>
        <v>645</v>
      </c>
      <c r="F681" t="str">
        <f>VLOOKUP(A681, Athletes_Map!A:C, 3, FALSE)</f>
        <v>Player 645</v>
      </c>
      <c r="G681">
        <v>92</v>
      </c>
      <c r="H681">
        <f t="shared" si="43"/>
        <v>3</v>
      </c>
      <c r="I681" t="str">
        <f t="shared" si="40"/>
        <v>Alert</v>
      </c>
      <c r="J681" t="str">
        <f t="shared" si="41"/>
        <v>Heart Rate</v>
      </c>
      <c r="K681">
        <f t="shared" si="42"/>
        <v>176.124142598806</v>
      </c>
    </row>
    <row r="682" spans="1:11" x14ac:dyDescent="0.25">
      <c r="A682">
        <v>7233</v>
      </c>
      <c r="B682">
        <v>117.250156443957</v>
      </c>
      <c r="C682">
        <v>31.326605917368799</v>
      </c>
      <c r="D682">
        <v>680</v>
      </c>
      <c r="E682">
        <f>VLOOKUP(A682, Athletes_Map!A:B, 2, FALSE)</f>
        <v>646</v>
      </c>
      <c r="F682" t="str">
        <f>VLOOKUP(A682, Athletes_Map!A:C, 3, FALSE)</f>
        <v>Player 646</v>
      </c>
      <c r="G682">
        <v>95</v>
      </c>
      <c r="H682">
        <f t="shared" si="43"/>
        <v>1</v>
      </c>
      <c r="I682" t="str">
        <f t="shared" si="40"/>
        <v>Normal</v>
      </c>
      <c r="J682" t="str">
        <f t="shared" si="41"/>
        <v>Normal</v>
      </c>
      <c r="K682" t="str">
        <f t="shared" si="42"/>
        <v/>
      </c>
    </row>
    <row r="683" spans="1:11" x14ac:dyDescent="0.25">
      <c r="A683">
        <v>7235</v>
      </c>
      <c r="B683">
        <v>138.006035229237</v>
      </c>
      <c r="C683">
        <v>35.7694995007393</v>
      </c>
      <c r="D683">
        <v>681</v>
      </c>
      <c r="E683">
        <f>VLOOKUP(A683, Athletes_Map!A:B, 2, FALSE)</f>
        <v>647</v>
      </c>
      <c r="F683" t="str">
        <f>VLOOKUP(A683, Athletes_Map!A:C, 3, FALSE)</f>
        <v>Player 647</v>
      </c>
      <c r="G683">
        <v>94</v>
      </c>
      <c r="H683">
        <f t="shared" si="43"/>
        <v>2</v>
      </c>
      <c r="I683" t="str">
        <f t="shared" si="40"/>
        <v>Normal</v>
      </c>
      <c r="J683" t="str">
        <f t="shared" si="41"/>
        <v>Normal</v>
      </c>
      <c r="K683" t="str">
        <f t="shared" si="42"/>
        <v/>
      </c>
    </row>
    <row r="684" spans="1:11" x14ac:dyDescent="0.25">
      <c r="A684">
        <v>7238</v>
      </c>
      <c r="B684">
        <v>137.39160736828299</v>
      </c>
      <c r="C684">
        <v>33.331920918613399</v>
      </c>
      <c r="D684">
        <v>682</v>
      </c>
      <c r="E684">
        <f>VLOOKUP(A684, Athletes_Map!A:B, 2, FALSE)</f>
        <v>648</v>
      </c>
      <c r="F684" t="str">
        <f>VLOOKUP(A684, Athletes_Map!A:C, 3, FALSE)</f>
        <v>Player 648</v>
      </c>
      <c r="G684">
        <v>96</v>
      </c>
      <c r="H684">
        <f t="shared" si="43"/>
        <v>2</v>
      </c>
      <c r="I684" t="str">
        <f t="shared" si="40"/>
        <v>Normal</v>
      </c>
      <c r="J684" t="str">
        <f t="shared" si="41"/>
        <v>Normal</v>
      </c>
      <c r="K684" t="str">
        <f t="shared" si="42"/>
        <v/>
      </c>
    </row>
    <row r="685" spans="1:11" x14ac:dyDescent="0.25">
      <c r="A685">
        <v>7241</v>
      </c>
      <c r="B685">
        <v>146.99857459992401</v>
      </c>
      <c r="C685">
        <v>32.517845967669999</v>
      </c>
      <c r="D685">
        <v>683</v>
      </c>
      <c r="E685">
        <f>VLOOKUP(A685, Athletes_Map!A:B, 2, FALSE)</f>
        <v>649</v>
      </c>
      <c r="F685" t="str">
        <f>VLOOKUP(A685, Athletes_Map!A:C, 3, FALSE)</f>
        <v>Player 649</v>
      </c>
      <c r="G685">
        <v>93</v>
      </c>
      <c r="H685">
        <f t="shared" si="43"/>
        <v>2</v>
      </c>
      <c r="I685" t="str">
        <f t="shared" si="40"/>
        <v>Normal</v>
      </c>
      <c r="J685" t="str">
        <f t="shared" si="41"/>
        <v>Normal</v>
      </c>
      <c r="K685" t="str">
        <f t="shared" si="42"/>
        <v/>
      </c>
    </row>
    <row r="686" spans="1:11" x14ac:dyDescent="0.25">
      <c r="A686">
        <v>7254</v>
      </c>
      <c r="B686">
        <v>105.421768624517</v>
      </c>
      <c r="C686">
        <v>33.709730582102203</v>
      </c>
      <c r="D686">
        <v>684</v>
      </c>
      <c r="E686">
        <f>VLOOKUP(A686, Athletes_Map!A:B, 2, FALSE)</f>
        <v>650</v>
      </c>
      <c r="F686" t="str">
        <f>VLOOKUP(A686, Athletes_Map!A:C, 3, FALSE)</f>
        <v>Player 650</v>
      </c>
      <c r="G686">
        <v>97</v>
      </c>
      <c r="H686">
        <f t="shared" si="43"/>
        <v>1</v>
      </c>
      <c r="I686" t="str">
        <f t="shared" si="40"/>
        <v>Normal</v>
      </c>
      <c r="J686" t="str">
        <f t="shared" si="41"/>
        <v>Normal</v>
      </c>
      <c r="K686" t="str">
        <f t="shared" si="42"/>
        <v/>
      </c>
    </row>
    <row r="687" spans="1:11" x14ac:dyDescent="0.25">
      <c r="A687">
        <v>7265</v>
      </c>
      <c r="B687">
        <v>160.431101899883</v>
      </c>
      <c r="C687">
        <v>32.899538448180898</v>
      </c>
      <c r="D687">
        <v>685</v>
      </c>
      <c r="E687">
        <f>VLOOKUP(A687, Athletes_Map!A:B, 2, FALSE)</f>
        <v>651</v>
      </c>
      <c r="F687" t="str">
        <f>VLOOKUP(A687, Athletes_Map!A:C, 3, FALSE)</f>
        <v>Player 651</v>
      </c>
      <c r="G687">
        <v>91</v>
      </c>
      <c r="H687">
        <f t="shared" si="43"/>
        <v>3</v>
      </c>
      <c r="I687" t="str">
        <f t="shared" si="40"/>
        <v>Alert</v>
      </c>
      <c r="J687" t="str">
        <f t="shared" si="41"/>
        <v>Heart Rate</v>
      </c>
      <c r="K687">
        <f t="shared" si="42"/>
        <v>160.431101899883</v>
      </c>
    </row>
    <row r="688" spans="1:11" x14ac:dyDescent="0.25">
      <c r="A688">
        <v>7269</v>
      </c>
      <c r="B688">
        <v>83.179154157101806</v>
      </c>
      <c r="C688">
        <v>33.859047293629096</v>
      </c>
      <c r="D688">
        <v>686</v>
      </c>
      <c r="E688">
        <f>VLOOKUP(A688, Athletes_Map!A:B, 2, FALSE)</f>
        <v>652</v>
      </c>
      <c r="F688" t="str">
        <f>VLOOKUP(A688, Athletes_Map!A:C, 3, FALSE)</f>
        <v>Player 652</v>
      </c>
      <c r="G688">
        <v>99</v>
      </c>
      <c r="H688">
        <f t="shared" si="43"/>
        <v>1</v>
      </c>
      <c r="I688" t="str">
        <f t="shared" si="40"/>
        <v>Normal</v>
      </c>
      <c r="J688" t="str">
        <f t="shared" si="41"/>
        <v>Normal</v>
      </c>
      <c r="K688" t="str">
        <f t="shared" si="42"/>
        <v/>
      </c>
    </row>
    <row r="689" spans="1:11" x14ac:dyDescent="0.25">
      <c r="A689">
        <v>7278</v>
      </c>
      <c r="B689">
        <v>134.30023019006001</v>
      </c>
      <c r="C689">
        <v>31.829560767266099</v>
      </c>
      <c r="D689">
        <v>687</v>
      </c>
      <c r="E689">
        <f>VLOOKUP(A689, Athletes_Map!A:B, 2, FALSE)</f>
        <v>653</v>
      </c>
      <c r="F689" t="str">
        <f>VLOOKUP(A689, Athletes_Map!A:C, 3, FALSE)</f>
        <v>Player 653</v>
      </c>
      <c r="G689">
        <v>95</v>
      </c>
      <c r="H689">
        <f t="shared" si="43"/>
        <v>2</v>
      </c>
      <c r="I689" t="str">
        <f t="shared" si="40"/>
        <v>Normal</v>
      </c>
      <c r="J689" t="str">
        <f t="shared" si="41"/>
        <v>Normal</v>
      </c>
      <c r="K689" t="str">
        <f t="shared" si="42"/>
        <v/>
      </c>
    </row>
    <row r="690" spans="1:11" x14ac:dyDescent="0.25">
      <c r="A690">
        <v>7283</v>
      </c>
      <c r="B690">
        <v>132.58103702784399</v>
      </c>
      <c r="C690">
        <v>32.446596321558403</v>
      </c>
      <c r="D690">
        <v>688</v>
      </c>
      <c r="E690">
        <f>VLOOKUP(A690, Athletes_Map!A:B, 2, FALSE)</f>
        <v>654</v>
      </c>
      <c r="F690" t="str">
        <f>VLOOKUP(A690, Athletes_Map!A:C, 3, FALSE)</f>
        <v>Player 654</v>
      </c>
      <c r="G690">
        <v>95</v>
      </c>
      <c r="H690">
        <f t="shared" si="43"/>
        <v>2</v>
      </c>
      <c r="I690" t="str">
        <f t="shared" si="40"/>
        <v>Normal</v>
      </c>
      <c r="J690" t="str">
        <f t="shared" si="41"/>
        <v>Normal</v>
      </c>
      <c r="K690" t="str">
        <f t="shared" si="42"/>
        <v/>
      </c>
    </row>
    <row r="691" spans="1:11" x14ac:dyDescent="0.25">
      <c r="A691">
        <v>7287</v>
      </c>
      <c r="B691">
        <v>165.950104026601</v>
      </c>
      <c r="C691">
        <v>32.991546017423303</v>
      </c>
      <c r="D691">
        <v>689</v>
      </c>
      <c r="E691">
        <f>VLOOKUP(A691, Athletes_Map!A:B, 2, FALSE)</f>
        <v>655</v>
      </c>
      <c r="F691" t="str">
        <f>VLOOKUP(A691, Athletes_Map!A:C, 3, FALSE)</f>
        <v>Player 655</v>
      </c>
      <c r="G691">
        <v>93</v>
      </c>
      <c r="H691">
        <f t="shared" si="43"/>
        <v>3</v>
      </c>
      <c r="I691" t="str">
        <f t="shared" si="40"/>
        <v>Alert</v>
      </c>
      <c r="J691" t="str">
        <f t="shared" si="41"/>
        <v>Heart Rate</v>
      </c>
      <c r="K691">
        <f t="shared" si="42"/>
        <v>165.950104026601</v>
      </c>
    </row>
    <row r="692" spans="1:11" x14ac:dyDescent="0.25">
      <c r="A692">
        <v>7287</v>
      </c>
      <c r="B692">
        <v>157.17407161165801</v>
      </c>
      <c r="C692">
        <v>34.019534386219398</v>
      </c>
      <c r="D692">
        <v>690</v>
      </c>
      <c r="E692">
        <f>VLOOKUP(A692, Athletes_Map!A:B, 2, FALSE)</f>
        <v>655</v>
      </c>
      <c r="F692" t="str">
        <f>VLOOKUP(A692, Athletes_Map!A:C, 3, FALSE)</f>
        <v>Player 655</v>
      </c>
      <c r="G692">
        <v>90</v>
      </c>
      <c r="H692">
        <f t="shared" si="43"/>
        <v>3</v>
      </c>
      <c r="I692" t="str">
        <f t="shared" si="40"/>
        <v>Alert</v>
      </c>
      <c r="J692" t="str">
        <f t="shared" si="41"/>
        <v>Heart Rate</v>
      </c>
      <c r="K692">
        <f t="shared" si="42"/>
        <v>157.17407161165801</v>
      </c>
    </row>
    <row r="693" spans="1:11" x14ac:dyDescent="0.25">
      <c r="A693">
        <v>7288</v>
      </c>
      <c r="B693">
        <v>141.14813395618199</v>
      </c>
      <c r="C693">
        <v>30.8626099026412</v>
      </c>
      <c r="D693">
        <v>691</v>
      </c>
      <c r="E693">
        <f>VLOOKUP(A693, Athletes_Map!A:B, 2, FALSE)</f>
        <v>656</v>
      </c>
      <c r="F693" t="str">
        <f>VLOOKUP(A693, Athletes_Map!A:C, 3, FALSE)</f>
        <v>Player 656</v>
      </c>
      <c r="G693">
        <v>92</v>
      </c>
      <c r="H693">
        <f t="shared" si="43"/>
        <v>2</v>
      </c>
      <c r="I693" t="str">
        <f t="shared" si="40"/>
        <v>Normal</v>
      </c>
      <c r="J693" t="str">
        <f t="shared" si="41"/>
        <v>Normal</v>
      </c>
      <c r="K693" t="str">
        <f t="shared" si="42"/>
        <v/>
      </c>
    </row>
    <row r="694" spans="1:11" x14ac:dyDescent="0.25">
      <c r="A694">
        <v>7293</v>
      </c>
      <c r="B694">
        <v>124.29529576878799</v>
      </c>
      <c r="C694">
        <v>33.759992191285399</v>
      </c>
      <c r="D694">
        <v>692</v>
      </c>
      <c r="E694">
        <f>VLOOKUP(A694, Athletes_Map!A:B, 2, FALSE)</f>
        <v>657</v>
      </c>
      <c r="F694" t="str">
        <f>VLOOKUP(A694, Athletes_Map!A:C, 3, FALSE)</f>
        <v>Player 657</v>
      </c>
      <c r="G694">
        <v>95</v>
      </c>
      <c r="H694">
        <f t="shared" si="43"/>
        <v>2</v>
      </c>
      <c r="I694" t="str">
        <f t="shared" si="40"/>
        <v>Normal</v>
      </c>
      <c r="J694" t="str">
        <f t="shared" si="41"/>
        <v>Normal</v>
      </c>
      <c r="K694" t="str">
        <f t="shared" si="42"/>
        <v/>
      </c>
    </row>
    <row r="695" spans="1:11" x14ac:dyDescent="0.25">
      <c r="A695">
        <v>7295</v>
      </c>
      <c r="B695">
        <v>127.133223753452</v>
      </c>
      <c r="C695">
        <v>32.843927647735597</v>
      </c>
      <c r="D695">
        <v>693</v>
      </c>
      <c r="E695">
        <f>VLOOKUP(A695, Athletes_Map!A:B, 2, FALSE)</f>
        <v>658</v>
      </c>
      <c r="F695" t="str">
        <f>VLOOKUP(A695, Athletes_Map!A:C, 3, FALSE)</f>
        <v>Player 658</v>
      </c>
      <c r="G695">
        <v>96</v>
      </c>
      <c r="H695">
        <f t="shared" si="43"/>
        <v>2</v>
      </c>
      <c r="I695" t="str">
        <f t="shared" si="40"/>
        <v>Normal</v>
      </c>
      <c r="J695" t="str">
        <f t="shared" si="41"/>
        <v>Normal</v>
      </c>
      <c r="K695" t="str">
        <f t="shared" si="42"/>
        <v/>
      </c>
    </row>
    <row r="696" spans="1:11" x14ac:dyDescent="0.25">
      <c r="A696">
        <v>7303</v>
      </c>
      <c r="B696">
        <v>152.00443484226901</v>
      </c>
      <c r="C696">
        <v>32.633257066718002</v>
      </c>
      <c r="D696">
        <v>694</v>
      </c>
      <c r="E696">
        <f>VLOOKUP(A696, Athletes_Map!A:B, 2, FALSE)</f>
        <v>659</v>
      </c>
      <c r="F696" t="str">
        <f>VLOOKUP(A696, Athletes_Map!A:C, 3, FALSE)</f>
        <v>Player 659</v>
      </c>
      <c r="G696">
        <v>91</v>
      </c>
      <c r="H696">
        <f t="shared" si="43"/>
        <v>3</v>
      </c>
      <c r="I696" t="str">
        <f t="shared" si="40"/>
        <v>Alert</v>
      </c>
      <c r="J696" t="str">
        <f t="shared" si="41"/>
        <v>Heart Rate</v>
      </c>
      <c r="K696">
        <f t="shared" si="42"/>
        <v>152.00443484226901</v>
      </c>
    </row>
    <row r="697" spans="1:11" x14ac:dyDescent="0.25">
      <c r="A697">
        <v>7313</v>
      </c>
      <c r="B697">
        <v>162.84004572689199</v>
      </c>
      <c r="C697">
        <v>32.388943964881001</v>
      </c>
      <c r="D697">
        <v>695</v>
      </c>
      <c r="E697">
        <f>VLOOKUP(A697, Athletes_Map!A:B, 2, FALSE)</f>
        <v>660</v>
      </c>
      <c r="F697" t="str">
        <f>VLOOKUP(A697, Athletes_Map!A:C, 3, FALSE)</f>
        <v>Player 660</v>
      </c>
      <c r="G697">
        <v>93</v>
      </c>
      <c r="H697">
        <f t="shared" si="43"/>
        <v>3</v>
      </c>
      <c r="I697" t="str">
        <f t="shared" si="40"/>
        <v>Alert</v>
      </c>
      <c r="J697" t="str">
        <f t="shared" si="41"/>
        <v>Heart Rate</v>
      </c>
      <c r="K697">
        <f t="shared" si="42"/>
        <v>162.84004572689199</v>
      </c>
    </row>
    <row r="698" spans="1:11" x14ac:dyDescent="0.25">
      <c r="A698">
        <v>7316</v>
      </c>
      <c r="B698">
        <v>141.19641420453999</v>
      </c>
      <c r="C698">
        <v>34.013729250937999</v>
      </c>
      <c r="D698">
        <v>696</v>
      </c>
      <c r="E698">
        <f>VLOOKUP(A698, Athletes_Map!A:B, 2, FALSE)</f>
        <v>661</v>
      </c>
      <c r="F698" t="str">
        <f>VLOOKUP(A698, Athletes_Map!A:C, 3, FALSE)</f>
        <v>Player 661</v>
      </c>
      <c r="G698">
        <v>91</v>
      </c>
      <c r="H698">
        <f t="shared" si="43"/>
        <v>3</v>
      </c>
      <c r="I698" t="str">
        <f t="shared" si="40"/>
        <v>Alert</v>
      </c>
      <c r="J698" t="str">
        <f t="shared" si="41"/>
        <v>Oxygen</v>
      </c>
      <c r="K698">
        <f t="shared" si="42"/>
        <v>91</v>
      </c>
    </row>
    <row r="699" spans="1:11" x14ac:dyDescent="0.25">
      <c r="A699">
        <v>7316</v>
      </c>
      <c r="B699">
        <v>122.80434191361201</v>
      </c>
      <c r="C699">
        <v>34.540580231824201</v>
      </c>
      <c r="D699">
        <v>697</v>
      </c>
      <c r="E699">
        <f>VLOOKUP(A699, Athletes_Map!A:B, 2, FALSE)</f>
        <v>661</v>
      </c>
      <c r="F699" t="str">
        <f>VLOOKUP(A699, Athletes_Map!A:C, 3, FALSE)</f>
        <v>Player 661</v>
      </c>
      <c r="G699">
        <v>95</v>
      </c>
      <c r="H699">
        <f t="shared" si="43"/>
        <v>2</v>
      </c>
      <c r="I699" t="str">
        <f t="shared" si="40"/>
        <v>Normal</v>
      </c>
      <c r="J699" t="str">
        <f t="shared" si="41"/>
        <v>Normal</v>
      </c>
      <c r="K699" t="str">
        <f t="shared" si="42"/>
        <v/>
      </c>
    </row>
    <row r="700" spans="1:11" x14ac:dyDescent="0.25">
      <c r="A700">
        <v>7320</v>
      </c>
      <c r="B700">
        <v>176.250498384862</v>
      </c>
      <c r="C700">
        <v>30.5791934422531</v>
      </c>
      <c r="D700">
        <v>698</v>
      </c>
      <c r="E700">
        <f>VLOOKUP(A700, Athletes_Map!A:B, 2, FALSE)</f>
        <v>662</v>
      </c>
      <c r="F700" t="str">
        <f>VLOOKUP(A700, Athletes_Map!A:C, 3, FALSE)</f>
        <v>Player 662</v>
      </c>
      <c r="G700">
        <v>94</v>
      </c>
      <c r="H700">
        <f t="shared" si="43"/>
        <v>3</v>
      </c>
      <c r="I700" t="str">
        <f t="shared" si="40"/>
        <v>Alert</v>
      </c>
      <c r="J700" t="str">
        <f t="shared" si="41"/>
        <v>Heart Rate</v>
      </c>
      <c r="K700">
        <f t="shared" si="42"/>
        <v>176.250498384862</v>
      </c>
    </row>
    <row r="701" spans="1:11" x14ac:dyDescent="0.25">
      <c r="A701">
        <v>7327</v>
      </c>
      <c r="B701">
        <v>105.30204063100101</v>
      </c>
      <c r="C701">
        <v>33.032776055821699</v>
      </c>
      <c r="D701">
        <v>699</v>
      </c>
      <c r="E701">
        <f>VLOOKUP(A701, Athletes_Map!A:B, 2, FALSE)</f>
        <v>663</v>
      </c>
      <c r="F701" t="str">
        <f>VLOOKUP(A701, Athletes_Map!A:C, 3, FALSE)</f>
        <v>Player 663</v>
      </c>
      <c r="G701">
        <v>100</v>
      </c>
      <c r="H701">
        <f t="shared" si="43"/>
        <v>1</v>
      </c>
      <c r="I701" t="str">
        <f t="shared" si="40"/>
        <v>Normal</v>
      </c>
      <c r="J701" t="str">
        <f t="shared" si="41"/>
        <v>Normal</v>
      </c>
      <c r="K701" t="str">
        <f t="shared" si="42"/>
        <v/>
      </c>
    </row>
    <row r="702" spans="1:11" x14ac:dyDescent="0.25">
      <c r="A702">
        <v>7331</v>
      </c>
      <c r="B702">
        <v>138.73533528954101</v>
      </c>
      <c r="C702">
        <v>30.387521944268499</v>
      </c>
      <c r="D702">
        <v>700</v>
      </c>
      <c r="E702">
        <f>VLOOKUP(A702, Athletes_Map!A:B, 2, FALSE)</f>
        <v>664</v>
      </c>
      <c r="F702" t="str">
        <f>VLOOKUP(A702, Athletes_Map!A:C, 3, FALSE)</f>
        <v>Player 664</v>
      </c>
      <c r="G702">
        <v>95</v>
      </c>
      <c r="H702">
        <f t="shared" si="43"/>
        <v>2</v>
      </c>
      <c r="I702" t="str">
        <f t="shared" si="40"/>
        <v>Normal</v>
      </c>
      <c r="J702" t="str">
        <f t="shared" si="41"/>
        <v>Normal</v>
      </c>
      <c r="K702" t="str">
        <f t="shared" si="42"/>
        <v/>
      </c>
    </row>
    <row r="703" spans="1:11" x14ac:dyDescent="0.25">
      <c r="A703">
        <v>7359</v>
      </c>
      <c r="B703">
        <v>149.73687794184801</v>
      </c>
      <c r="C703">
        <v>33.9502311724656</v>
      </c>
      <c r="D703">
        <v>701</v>
      </c>
      <c r="E703">
        <f>VLOOKUP(A703, Athletes_Map!A:B, 2, FALSE)</f>
        <v>665</v>
      </c>
      <c r="F703" t="str">
        <f>VLOOKUP(A703, Athletes_Map!A:C, 3, FALSE)</f>
        <v>Player 665</v>
      </c>
      <c r="G703">
        <v>94</v>
      </c>
      <c r="H703">
        <f t="shared" si="43"/>
        <v>2</v>
      </c>
      <c r="I703" t="str">
        <f t="shared" si="40"/>
        <v>Normal</v>
      </c>
      <c r="J703" t="str">
        <f t="shared" si="41"/>
        <v>Normal</v>
      </c>
      <c r="K703" t="str">
        <f t="shared" si="42"/>
        <v/>
      </c>
    </row>
    <row r="704" spans="1:11" x14ac:dyDescent="0.25">
      <c r="A704">
        <v>7371</v>
      </c>
      <c r="B704">
        <v>130.026177476329</v>
      </c>
      <c r="C704">
        <v>34.408130731958899</v>
      </c>
      <c r="D704">
        <v>702</v>
      </c>
      <c r="E704">
        <f>VLOOKUP(A704, Athletes_Map!A:B, 2, FALSE)</f>
        <v>666</v>
      </c>
      <c r="F704" t="str">
        <f>VLOOKUP(A704, Athletes_Map!A:C, 3, FALSE)</f>
        <v>Player 666</v>
      </c>
      <c r="G704">
        <v>95</v>
      </c>
      <c r="H704">
        <f t="shared" si="43"/>
        <v>2</v>
      </c>
      <c r="I704" t="str">
        <f t="shared" si="40"/>
        <v>Normal</v>
      </c>
      <c r="J704" t="str">
        <f t="shared" si="41"/>
        <v>Normal</v>
      </c>
      <c r="K704" t="str">
        <f t="shared" si="42"/>
        <v/>
      </c>
    </row>
    <row r="705" spans="1:11" x14ac:dyDescent="0.25">
      <c r="A705">
        <v>7371</v>
      </c>
      <c r="B705">
        <v>152.680907927221</v>
      </c>
      <c r="C705">
        <v>33.263162804640501</v>
      </c>
      <c r="D705">
        <v>703</v>
      </c>
      <c r="E705">
        <f>VLOOKUP(A705, Athletes_Map!A:B, 2, FALSE)</f>
        <v>666</v>
      </c>
      <c r="F705" t="str">
        <f>VLOOKUP(A705, Athletes_Map!A:C, 3, FALSE)</f>
        <v>Player 666</v>
      </c>
      <c r="G705">
        <v>94</v>
      </c>
      <c r="H705">
        <f t="shared" si="43"/>
        <v>3</v>
      </c>
      <c r="I705" t="str">
        <f t="shared" si="40"/>
        <v>Alert</v>
      </c>
      <c r="J705" t="str">
        <f t="shared" si="41"/>
        <v>Heart Rate</v>
      </c>
      <c r="K705">
        <f t="shared" si="42"/>
        <v>152.680907927221</v>
      </c>
    </row>
    <row r="706" spans="1:11" x14ac:dyDescent="0.25">
      <c r="A706">
        <v>7374</v>
      </c>
      <c r="B706">
        <v>135.566367522609</v>
      </c>
      <c r="C706">
        <v>31.807969560501601</v>
      </c>
      <c r="D706">
        <v>704</v>
      </c>
      <c r="E706">
        <f>VLOOKUP(A706, Athletes_Map!A:B, 2, FALSE)</f>
        <v>667</v>
      </c>
      <c r="F706" t="str">
        <f>VLOOKUP(A706, Athletes_Map!A:C, 3, FALSE)</f>
        <v>Player 667</v>
      </c>
      <c r="G706">
        <v>96</v>
      </c>
      <c r="H706">
        <f t="shared" si="43"/>
        <v>2</v>
      </c>
      <c r="I706" t="str">
        <f t="shared" ref="I706:I769" si="44">IF(H706=3, "Alert", "Normal")</f>
        <v>Normal</v>
      </c>
      <c r="J706" t="str">
        <f t="shared" ref="J706:J769" si="45">IF(B706&gt;150,"Heart Rate",
IF(C706&gt;37.5,"Temperature",
IF(G706&lt;92,"Oxygen","Normal")))</f>
        <v>Normal</v>
      </c>
      <c r="K706" t="str">
        <f t="shared" ref="K706:K769" si="46">IF(J706="Heart Rate",B706,IF(J706="Temperature",C706,IF(J706="Oxygen",G706,"")))</f>
        <v/>
      </c>
    </row>
    <row r="707" spans="1:11" x14ac:dyDescent="0.25">
      <c r="A707">
        <v>7376</v>
      </c>
      <c r="B707">
        <v>125.241771837085</v>
      </c>
      <c r="C707">
        <v>33.211427787003203</v>
      </c>
      <c r="D707">
        <v>705</v>
      </c>
      <c r="E707">
        <f>VLOOKUP(A707, Athletes_Map!A:B, 2, FALSE)</f>
        <v>668</v>
      </c>
      <c r="F707" t="str">
        <f>VLOOKUP(A707, Athletes_Map!A:C, 3, FALSE)</f>
        <v>Player 668</v>
      </c>
      <c r="G707">
        <v>96</v>
      </c>
      <c r="H707">
        <f t="shared" ref="H707:H770" si="47">IF(OR(B707&gt;150, C707&gt;37.5, G707&lt;92), 3,
IF(OR(B707&gt;120, C707&gt;37, G707&lt;94), 2,
1))</f>
        <v>2</v>
      </c>
      <c r="I707" t="str">
        <f t="shared" si="44"/>
        <v>Normal</v>
      </c>
      <c r="J707" t="str">
        <f t="shared" si="45"/>
        <v>Normal</v>
      </c>
      <c r="K707" t="str">
        <f t="shared" si="46"/>
        <v/>
      </c>
    </row>
    <row r="708" spans="1:11" x14ac:dyDescent="0.25">
      <c r="A708">
        <v>7396</v>
      </c>
      <c r="B708">
        <v>146.86202515936699</v>
      </c>
      <c r="C708">
        <v>34.0466364000875</v>
      </c>
      <c r="D708">
        <v>706</v>
      </c>
      <c r="E708">
        <f>VLOOKUP(A708, Athletes_Map!A:B, 2, FALSE)</f>
        <v>669</v>
      </c>
      <c r="F708" t="str">
        <f>VLOOKUP(A708, Athletes_Map!A:C, 3, FALSE)</f>
        <v>Player 669</v>
      </c>
      <c r="G708">
        <v>90</v>
      </c>
      <c r="H708">
        <f t="shared" si="47"/>
        <v>3</v>
      </c>
      <c r="I708" t="str">
        <f t="shared" si="44"/>
        <v>Alert</v>
      </c>
      <c r="J708" t="str">
        <f t="shared" si="45"/>
        <v>Oxygen</v>
      </c>
      <c r="K708">
        <f t="shared" si="46"/>
        <v>90</v>
      </c>
    </row>
    <row r="709" spans="1:11" x14ac:dyDescent="0.25">
      <c r="A709">
        <v>7413</v>
      </c>
      <c r="B709">
        <v>133.34638628314599</v>
      </c>
      <c r="C709">
        <v>32.786498549034697</v>
      </c>
      <c r="D709">
        <v>707</v>
      </c>
      <c r="E709">
        <f>VLOOKUP(A709, Athletes_Map!A:B, 2, FALSE)</f>
        <v>670</v>
      </c>
      <c r="F709" t="str">
        <f>VLOOKUP(A709, Athletes_Map!A:C, 3, FALSE)</f>
        <v>Player 670</v>
      </c>
      <c r="G709">
        <v>95</v>
      </c>
      <c r="H709">
        <f t="shared" si="47"/>
        <v>2</v>
      </c>
      <c r="I709" t="str">
        <f t="shared" si="44"/>
        <v>Normal</v>
      </c>
      <c r="J709" t="str">
        <f t="shared" si="45"/>
        <v>Normal</v>
      </c>
      <c r="K709" t="str">
        <f t="shared" si="46"/>
        <v/>
      </c>
    </row>
    <row r="710" spans="1:11" x14ac:dyDescent="0.25">
      <c r="A710">
        <v>7420</v>
      </c>
      <c r="B710">
        <v>127.780676683618</v>
      </c>
      <c r="C710">
        <v>33.640031093646499</v>
      </c>
      <c r="D710">
        <v>708</v>
      </c>
      <c r="E710">
        <f>VLOOKUP(A710, Athletes_Map!A:B, 2, FALSE)</f>
        <v>671</v>
      </c>
      <c r="F710" t="str">
        <f>VLOOKUP(A710, Athletes_Map!A:C, 3, FALSE)</f>
        <v>Player 671</v>
      </c>
      <c r="G710">
        <v>94</v>
      </c>
      <c r="H710">
        <f t="shared" si="47"/>
        <v>2</v>
      </c>
      <c r="I710" t="str">
        <f t="shared" si="44"/>
        <v>Normal</v>
      </c>
      <c r="J710" t="str">
        <f t="shared" si="45"/>
        <v>Normal</v>
      </c>
      <c r="K710" t="str">
        <f t="shared" si="46"/>
        <v/>
      </c>
    </row>
    <row r="711" spans="1:11" x14ac:dyDescent="0.25">
      <c r="A711">
        <v>7439</v>
      </c>
      <c r="B711">
        <v>168.30948888925101</v>
      </c>
      <c r="C711">
        <v>32.555300685119001</v>
      </c>
      <c r="D711">
        <v>709</v>
      </c>
      <c r="E711">
        <f>VLOOKUP(A711, Athletes_Map!A:B, 2, FALSE)</f>
        <v>672</v>
      </c>
      <c r="F711" t="str">
        <f>VLOOKUP(A711, Athletes_Map!A:C, 3, FALSE)</f>
        <v>Player 672</v>
      </c>
      <c r="G711">
        <v>93</v>
      </c>
      <c r="H711">
        <f t="shared" si="47"/>
        <v>3</v>
      </c>
      <c r="I711" t="str">
        <f t="shared" si="44"/>
        <v>Alert</v>
      </c>
      <c r="J711" t="str">
        <f t="shared" si="45"/>
        <v>Heart Rate</v>
      </c>
      <c r="K711">
        <f t="shared" si="46"/>
        <v>168.30948888925101</v>
      </c>
    </row>
    <row r="712" spans="1:11" x14ac:dyDescent="0.25">
      <c r="A712">
        <v>7456</v>
      </c>
      <c r="B712">
        <v>126.472848075889</v>
      </c>
      <c r="C712">
        <v>32.9800675892089</v>
      </c>
      <c r="D712">
        <v>710</v>
      </c>
      <c r="E712">
        <f>VLOOKUP(A712, Athletes_Map!A:B, 2, FALSE)</f>
        <v>673</v>
      </c>
      <c r="F712" t="str">
        <f>VLOOKUP(A712, Athletes_Map!A:C, 3, FALSE)</f>
        <v>Player 673</v>
      </c>
      <c r="G712">
        <v>94</v>
      </c>
      <c r="H712">
        <f t="shared" si="47"/>
        <v>2</v>
      </c>
      <c r="I712" t="str">
        <f t="shared" si="44"/>
        <v>Normal</v>
      </c>
      <c r="J712" t="str">
        <f t="shared" si="45"/>
        <v>Normal</v>
      </c>
      <c r="K712" t="str">
        <f t="shared" si="46"/>
        <v/>
      </c>
    </row>
    <row r="713" spans="1:11" x14ac:dyDescent="0.25">
      <c r="A713">
        <v>7457</v>
      </c>
      <c r="B713">
        <v>161.34788131268601</v>
      </c>
      <c r="C713">
        <v>33.027157023212197</v>
      </c>
      <c r="D713">
        <v>711</v>
      </c>
      <c r="E713">
        <f>VLOOKUP(A713, Athletes_Map!A:B, 2, FALSE)</f>
        <v>674</v>
      </c>
      <c r="F713" t="str">
        <f>VLOOKUP(A713, Athletes_Map!A:C, 3, FALSE)</f>
        <v>Player 674</v>
      </c>
      <c r="G713">
        <v>91</v>
      </c>
      <c r="H713">
        <f t="shared" si="47"/>
        <v>3</v>
      </c>
      <c r="I713" t="str">
        <f t="shared" si="44"/>
        <v>Alert</v>
      </c>
      <c r="J713" t="str">
        <f t="shared" si="45"/>
        <v>Heart Rate</v>
      </c>
      <c r="K713">
        <f t="shared" si="46"/>
        <v>161.34788131268601</v>
      </c>
    </row>
    <row r="714" spans="1:11" x14ac:dyDescent="0.25">
      <c r="A714">
        <v>7469</v>
      </c>
      <c r="B714">
        <v>132.31965666654099</v>
      </c>
      <c r="C714">
        <v>34.553982701780299</v>
      </c>
      <c r="D714">
        <v>712</v>
      </c>
      <c r="E714">
        <f>VLOOKUP(A714, Athletes_Map!A:B, 2, FALSE)</f>
        <v>675</v>
      </c>
      <c r="F714" t="str">
        <f>VLOOKUP(A714, Athletes_Map!A:C, 3, FALSE)</f>
        <v>Player 675</v>
      </c>
      <c r="G714">
        <v>96</v>
      </c>
      <c r="H714">
        <f t="shared" si="47"/>
        <v>2</v>
      </c>
      <c r="I714" t="str">
        <f t="shared" si="44"/>
        <v>Normal</v>
      </c>
      <c r="J714" t="str">
        <f t="shared" si="45"/>
        <v>Normal</v>
      </c>
      <c r="K714" t="str">
        <f t="shared" si="46"/>
        <v/>
      </c>
    </row>
    <row r="715" spans="1:11" x14ac:dyDescent="0.25">
      <c r="A715">
        <v>7484</v>
      </c>
      <c r="B715">
        <v>109.106370485581</v>
      </c>
      <c r="C715">
        <v>33.227193968750797</v>
      </c>
      <c r="D715">
        <v>713</v>
      </c>
      <c r="E715">
        <f>VLOOKUP(A715, Athletes_Map!A:B, 2, FALSE)</f>
        <v>676</v>
      </c>
      <c r="F715" t="str">
        <f>VLOOKUP(A715, Athletes_Map!A:C, 3, FALSE)</f>
        <v>Player 676</v>
      </c>
      <c r="G715">
        <v>100</v>
      </c>
      <c r="H715">
        <f t="shared" si="47"/>
        <v>1</v>
      </c>
      <c r="I715" t="str">
        <f t="shared" si="44"/>
        <v>Normal</v>
      </c>
      <c r="J715" t="str">
        <f t="shared" si="45"/>
        <v>Normal</v>
      </c>
      <c r="K715" t="str">
        <f t="shared" si="46"/>
        <v/>
      </c>
    </row>
    <row r="716" spans="1:11" x14ac:dyDescent="0.25">
      <c r="A716">
        <v>7490</v>
      </c>
      <c r="B716">
        <v>152.05547350244399</v>
      </c>
      <c r="C716">
        <v>33.510385569996103</v>
      </c>
      <c r="D716">
        <v>714</v>
      </c>
      <c r="E716">
        <f>VLOOKUP(A716, Athletes_Map!A:B, 2, FALSE)</f>
        <v>677</v>
      </c>
      <c r="F716" t="str">
        <f>VLOOKUP(A716, Athletes_Map!A:C, 3, FALSE)</f>
        <v>Player 677</v>
      </c>
      <c r="G716">
        <v>91</v>
      </c>
      <c r="H716">
        <f t="shared" si="47"/>
        <v>3</v>
      </c>
      <c r="I716" t="str">
        <f t="shared" si="44"/>
        <v>Alert</v>
      </c>
      <c r="J716" t="str">
        <f t="shared" si="45"/>
        <v>Heart Rate</v>
      </c>
      <c r="K716">
        <f t="shared" si="46"/>
        <v>152.05547350244399</v>
      </c>
    </row>
    <row r="717" spans="1:11" x14ac:dyDescent="0.25">
      <c r="A717">
        <v>7493</v>
      </c>
      <c r="B717">
        <v>119.93164259307601</v>
      </c>
      <c r="C717">
        <v>33.7023593238196</v>
      </c>
      <c r="D717">
        <v>715</v>
      </c>
      <c r="E717">
        <f>VLOOKUP(A717, Athletes_Map!A:B, 2, FALSE)</f>
        <v>678</v>
      </c>
      <c r="F717" t="str">
        <f>VLOOKUP(A717, Athletes_Map!A:C, 3, FALSE)</f>
        <v>Player 678</v>
      </c>
      <c r="G717">
        <v>96</v>
      </c>
      <c r="H717">
        <f t="shared" si="47"/>
        <v>1</v>
      </c>
      <c r="I717" t="str">
        <f t="shared" si="44"/>
        <v>Normal</v>
      </c>
      <c r="J717" t="str">
        <f t="shared" si="45"/>
        <v>Normal</v>
      </c>
      <c r="K717" t="str">
        <f t="shared" si="46"/>
        <v/>
      </c>
    </row>
    <row r="718" spans="1:11" x14ac:dyDescent="0.25">
      <c r="A718">
        <v>7506</v>
      </c>
      <c r="B718">
        <v>161.56388283698101</v>
      </c>
      <c r="C718">
        <v>32.197985766183798</v>
      </c>
      <c r="D718">
        <v>716</v>
      </c>
      <c r="E718">
        <f>VLOOKUP(A718, Athletes_Map!A:B, 2, FALSE)</f>
        <v>679</v>
      </c>
      <c r="F718" t="str">
        <f>VLOOKUP(A718, Athletes_Map!A:C, 3, FALSE)</f>
        <v>Player 679</v>
      </c>
      <c r="G718">
        <v>91</v>
      </c>
      <c r="H718">
        <f t="shared" si="47"/>
        <v>3</v>
      </c>
      <c r="I718" t="str">
        <f t="shared" si="44"/>
        <v>Alert</v>
      </c>
      <c r="J718" t="str">
        <f t="shared" si="45"/>
        <v>Heart Rate</v>
      </c>
      <c r="K718">
        <f t="shared" si="46"/>
        <v>161.56388283698101</v>
      </c>
    </row>
    <row r="719" spans="1:11" x14ac:dyDescent="0.25">
      <c r="A719">
        <v>7514</v>
      </c>
      <c r="B719">
        <v>152.66219554294301</v>
      </c>
      <c r="C719">
        <v>34.730334006962202</v>
      </c>
      <c r="D719">
        <v>717</v>
      </c>
      <c r="E719">
        <f>VLOOKUP(A719, Athletes_Map!A:B, 2, FALSE)</f>
        <v>680</v>
      </c>
      <c r="F719" t="str">
        <f>VLOOKUP(A719, Athletes_Map!A:C, 3, FALSE)</f>
        <v>Player 680</v>
      </c>
      <c r="G719">
        <v>90</v>
      </c>
      <c r="H719">
        <f t="shared" si="47"/>
        <v>3</v>
      </c>
      <c r="I719" t="str">
        <f t="shared" si="44"/>
        <v>Alert</v>
      </c>
      <c r="J719" t="str">
        <f t="shared" si="45"/>
        <v>Heart Rate</v>
      </c>
      <c r="K719">
        <f t="shared" si="46"/>
        <v>152.66219554294301</v>
      </c>
    </row>
    <row r="720" spans="1:11" x14ac:dyDescent="0.25">
      <c r="A720">
        <v>7528</v>
      </c>
      <c r="B720">
        <v>142.64819492368099</v>
      </c>
      <c r="C720">
        <v>31.353908244883701</v>
      </c>
      <c r="D720">
        <v>718</v>
      </c>
      <c r="E720">
        <f>VLOOKUP(A720, Athletes_Map!A:B, 2, FALSE)</f>
        <v>681</v>
      </c>
      <c r="F720" t="str">
        <f>VLOOKUP(A720, Athletes_Map!A:C, 3, FALSE)</f>
        <v>Player 681</v>
      </c>
      <c r="G720">
        <v>93</v>
      </c>
      <c r="H720">
        <f t="shared" si="47"/>
        <v>2</v>
      </c>
      <c r="I720" t="str">
        <f t="shared" si="44"/>
        <v>Normal</v>
      </c>
      <c r="J720" t="str">
        <f t="shared" si="45"/>
        <v>Normal</v>
      </c>
      <c r="K720" t="str">
        <f t="shared" si="46"/>
        <v/>
      </c>
    </row>
    <row r="721" spans="1:11" x14ac:dyDescent="0.25">
      <c r="A721">
        <v>7530</v>
      </c>
      <c r="B721">
        <v>110.122735292174</v>
      </c>
      <c r="C721">
        <v>32.692391185952999</v>
      </c>
      <c r="D721">
        <v>719</v>
      </c>
      <c r="E721">
        <f>VLOOKUP(A721, Athletes_Map!A:B, 2, FALSE)</f>
        <v>682</v>
      </c>
      <c r="F721" t="str">
        <f>VLOOKUP(A721, Athletes_Map!A:C, 3, FALSE)</f>
        <v>Player 682</v>
      </c>
      <c r="G721">
        <v>96</v>
      </c>
      <c r="H721">
        <f t="shared" si="47"/>
        <v>1</v>
      </c>
      <c r="I721" t="str">
        <f t="shared" si="44"/>
        <v>Normal</v>
      </c>
      <c r="J721" t="str">
        <f t="shared" si="45"/>
        <v>Normal</v>
      </c>
      <c r="K721" t="str">
        <f t="shared" si="46"/>
        <v/>
      </c>
    </row>
    <row r="722" spans="1:11" x14ac:dyDescent="0.25">
      <c r="A722">
        <v>7541</v>
      </c>
      <c r="B722">
        <v>155.451408640192</v>
      </c>
      <c r="C722">
        <v>32.480671339693899</v>
      </c>
      <c r="D722">
        <v>720</v>
      </c>
      <c r="E722">
        <f>VLOOKUP(A722, Athletes_Map!A:B, 2, FALSE)</f>
        <v>683</v>
      </c>
      <c r="F722" t="str">
        <f>VLOOKUP(A722, Athletes_Map!A:C, 3, FALSE)</f>
        <v>Player 683</v>
      </c>
      <c r="G722">
        <v>91</v>
      </c>
      <c r="H722">
        <f t="shared" si="47"/>
        <v>3</v>
      </c>
      <c r="I722" t="str">
        <f t="shared" si="44"/>
        <v>Alert</v>
      </c>
      <c r="J722" t="str">
        <f t="shared" si="45"/>
        <v>Heart Rate</v>
      </c>
      <c r="K722">
        <f t="shared" si="46"/>
        <v>155.451408640192</v>
      </c>
    </row>
    <row r="723" spans="1:11" x14ac:dyDescent="0.25">
      <c r="A723">
        <v>7544</v>
      </c>
      <c r="B723">
        <v>131.26057394029101</v>
      </c>
      <c r="C723">
        <v>32.596136892146099</v>
      </c>
      <c r="D723">
        <v>721</v>
      </c>
      <c r="E723">
        <f>VLOOKUP(A723, Athletes_Map!A:B, 2, FALSE)</f>
        <v>684</v>
      </c>
      <c r="F723" t="str">
        <f>VLOOKUP(A723, Athletes_Map!A:C, 3, FALSE)</f>
        <v>Player 684</v>
      </c>
      <c r="G723">
        <v>94</v>
      </c>
      <c r="H723">
        <f t="shared" si="47"/>
        <v>2</v>
      </c>
      <c r="I723" t="str">
        <f t="shared" si="44"/>
        <v>Normal</v>
      </c>
      <c r="J723" t="str">
        <f t="shared" si="45"/>
        <v>Normal</v>
      </c>
      <c r="K723" t="str">
        <f t="shared" si="46"/>
        <v/>
      </c>
    </row>
    <row r="724" spans="1:11" x14ac:dyDescent="0.25">
      <c r="A724">
        <v>7546</v>
      </c>
      <c r="B724">
        <v>175.20409077532699</v>
      </c>
      <c r="C724">
        <v>34.195341857893297</v>
      </c>
      <c r="D724">
        <v>722</v>
      </c>
      <c r="E724">
        <f>VLOOKUP(A724, Athletes_Map!A:B, 2, FALSE)</f>
        <v>685</v>
      </c>
      <c r="F724" t="str">
        <f>VLOOKUP(A724, Athletes_Map!A:C, 3, FALSE)</f>
        <v>Player 685</v>
      </c>
      <c r="G724">
        <v>94</v>
      </c>
      <c r="H724">
        <f t="shared" si="47"/>
        <v>3</v>
      </c>
      <c r="I724" t="str">
        <f t="shared" si="44"/>
        <v>Alert</v>
      </c>
      <c r="J724" t="str">
        <f t="shared" si="45"/>
        <v>Heart Rate</v>
      </c>
      <c r="K724">
        <f t="shared" si="46"/>
        <v>175.20409077532699</v>
      </c>
    </row>
    <row r="725" spans="1:11" x14ac:dyDescent="0.25">
      <c r="A725">
        <v>7565</v>
      </c>
      <c r="B725">
        <v>165.864870565443</v>
      </c>
      <c r="C725">
        <v>33.916632421960102</v>
      </c>
      <c r="D725">
        <v>723</v>
      </c>
      <c r="E725">
        <f>VLOOKUP(A725, Athletes_Map!A:B, 2, FALSE)</f>
        <v>686</v>
      </c>
      <c r="F725" t="str">
        <f>VLOOKUP(A725, Athletes_Map!A:C, 3, FALSE)</f>
        <v>Player 686</v>
      </c>
      <c r="G725">
        <v>94</v>
      </c>
      <c r="H725">
        <f t="shared" si="47"/>
        <v>3</v>
      </c>
      <c r="I725" t="str">
        <f t="shared" si="44"/>
        <v>Alert</v>
      </c>
      <c r="J725" t="str">
        <f t="shared" si="45"/>
        <v>Heart Rate</v>
      </c>
      <c r="K725">
        <f t="shared" si="46"/>
        <v>165.864870565443</v>
      </c>
    </row>
    <row r="726" spans="1:11" x14ac:dyDescent="0.25">
      <c r="A726">
        <v>7585</v>
      </c>
      <c r="B726">
        <v>108.110989779314</v>
      </c>
      <c r="C726">
        <v>32.756970927522197</v>
      </c>
      <c r="D726">
        <v>724</v>
      </c>
      <c r="E726">
        <f>VLOOKUP(A726, Athletes_Map!A:B, 2, FALSE)</f>
        <v>687</v>
      </c>
      <c r="F726" t="str">
        <f>VLOOKUP(A726, Athletes_Map!A:C, 3, FALSE)</f>
        <v>Player 687</v>
      </c>
      <c r="G726">
        <v>96</v>
      </c>
      <c r="H726">
        <f t="shared" si="47"/>
        <v>1</v>
      </c>
      <c r="I726" t="str">
        <f t="shared" si="44"/>
        <v>Normal</v>
      </c>
      <c r="J726" t="str">
        <f t="shared" si="45"/>
        <v>Normal</v>
      </c>
      <c r="K726" t="str">
        <f t="shared" si="46"/>
        <v/>
      </c>
    </row>
    <row r="727" spans="1:11" x14ac:dyDescent="0.25">
      <c r="A727">
        <v>7588</v>
      </c>
      <c r="B727">
        <v>146.04979908834201</v>
      </c>
      <c r="C727">
        <v>31.121222362073201</v>
      </c>
      <c r="D727">
        <v>725</v>
      </c>
      <c r="E727">
        <f>VLOOKUP(A727, Athletes_Map!A:B, 2, FALSE)</f>
        <v>688</v>
      </c>
      <c r="F727" t="str">
        <f>VLOOKUP(A727, Athletes_Map!A:C, 3, FALSE)</f>
        <v>Player 688</v>
      </c>
      <c r="G727">
        <v>92</v>
      </c>
      <c r="H727">
        <f t="shared" si="47"/>
        <v>2</v>
      </c>
      <c r="I727" t="str">
        <f t="shared" si="44"/>
        <v>Normal</v>
      </c>
      <c r="J727" t="str">
        <f t="shared" si="45"/>
        <v>Normal</v>
      </c>
      <c r="K727" t="str">
        <f t="shared" si="46"/>
        <v/>
      </c>
    </row>
    <row r="728" spans="1:11" x14ac:dyDescent="0.25">
      <c r="A728">
        <v>7600</v>
      </c>
      <c r="B728">
        <v>141.43395612392001</v>
      </c>
      <c r="C728">
        <v>32.048971863461702</v>
      </c>
      <c r="D728">
        <v>726</v>
      </c>
      <c r="E728">
        <f>VLOOKUP(A728, Athletes_Map!A:B, 2, FALSE)</f>
        <v>689</v>
      </c>
      <c r="F728" t="str">
        <f>VLOOKUP(A728, Athletes_Map!A:C, 3, FALSE)</f>
        <v>Player 689</v>
      </c>
      <c r="G728">
        <v>94</v>
      </c>
      <c r="H728">
        <f t="shared" si="47"/>
        <v>2</v>
      </c>
      <c r="I728" t="str">
        <f t="shared" si="44"/>
        <v>Normal</v>
      </c>
      <c r="J728" t="str">
        <f t="shared" si="45"/>
        <v>Normal</v>
      </c>
      <c r="K728" t="str">
        <f t="shared" si="46"/>
        <v/>
      </c>
    </row>
    <row r="729" spans="1:11" x14ac:dyDescent="0.25">
      <c r="A729">
        <v>7614</v>
      </c>
      <c r="B729">
        <v>136.192607398403</v>
      </c>
      <c r="C729">
        <v>33.021620246453303</v>
      </c>
      <c r="D729">
        <v>727</v>
      </c>
      <c r="E729">
        <f>VLOOKUP(A729, Athletes_Map!A:B, 2, FALSE)</f>
        <v>690</v>
      </c>
      <c r="F729" t="str">
        <f>VLOOKUP(A729, Athletes_Map!A:C, 3, FALSE)</f>
        <v>Player 690</v>
      </c>
      <c r="G729">
        <v>95</v>
      </c>
      <c r="H729">
        <f t="shared" si="47"/>
        <v>2</v>
      </c>
      <c r="I729" t="str">
        <f t="shared" si="44"/>
        <v>Normal</v>
      </c>
      <c r="J729" t="str">
        <f t="shared" si="45"/>
        <v>Normal</v>
      </c>
      <c r="K729" t="str">
        <f t="shared" si="46"/>
        <v/>
      </c>
    </row>
    <row r="730" spans="1:11" x14ac:dyDescent="0.25">
      <c r="A730">
        <v>7616</v>
      </c>
      <c r="B730">
        <v>171.93414651472</v>
      </c>
      <c r="C730">
        <v>33.643549091420603</v>
      </c>
      <c r="D730">
        <v>728</v>
      </c>
      <c r="E730">
        <f>VLOOKUP(A730, Athletes_Map!A:B, 2, FALSE)</f>
        <v>691</v>
      </c>
      <c r="F730" t="str">
        <f>VLOOKUP(A730, Athletes_Map!A:C, 3, FALSE)</f>
        <v>Player 691</v>
      </c>
      <c r="G730">
        <v>92</v>
      </c>
      <c r="H730">
        <f t="shared" si="47"/>
        <v>3</v>
      </c>
      <c r="I730" t="str">
        <f t="shared" si="44"/>
        <v>Alert</v>
      </c>
      <c r="J730" t="str">
        <f t="shared" si="45"/>
        <v>Heart Rate</v>
      </c>
      <c r="K730">
        <f t="shared" si="46"/>
        <v>171.93414651472</v>
      </c>
    </row>
    <row r="731" spans="1:11" x14ac:dyDescent="0.25">
      <c r="A731">
        <v>7617</v>
      </c>
      <c r="B731">
        <v>127.75118117193701</v>
      </c>
      <c r="C731">
        <v>31.809964003871599</v>
      </c>
      <c r="D731">
        <v>729</v>
      </c>
      <c r="E731">
        <f>VLOOKUP(A731, Athletes_Map!A:B, 2, FALSE)</f>
        <v>692</v>
      </c>
      <c r="F731" t="str">
        <f>VLOOKUP(A731, Athletes_Map!A:C, 3, FALSE)</f>
        <v>Player 692</v>
      </c>
      <c r="G731">
        <v>94</v>
      </c>
      <c r="H731">
        <f t="shared" si="47"/>
        <v>2</v>
      </c>
      <c r="I731" t="str">
        <f t="shared" si="44"/>
        <v>Normal</v>
      </c>
      <c r="J731" t="str">
        <f t="shared" si="45"/>
        <v>Normal</v>
      </c>
      <c r="K731" t="str">
        <f t="shared" si="46"/>
        <v/>
      </c>
    </row>
    <row r="732" spans="1:11" x14ac:dyDescent="0.25">
      <c r="A732">
        <v>7619</v>
      </c>
      <c r="B732">
        <v>121.741981648981</v>
      </c>
      <c r="C732">
        <v>30</v>
      </c>
      <c r="D732">
        <v>730</v>
      </c>
      <c r="E732">
        <f>VLOOKUP(A732, Athletes_Map!A:B, 2, FALSE)</f>
        <v>693</v>
      </c>
      <c r="F732" t="str">
        <f>VLOOKUP(A732, Athletes_Map!A:C, 3, FALSE)</f>
        <v>Player 693</v>
      </c>
      <c r="G732">
        <v>96</v>
      </c>
      <c r="H732">
        <f t="shared" si="47"/>
        <v>2</v>
      </c>
      <c r="I732" t="str">
        <f t="shared" si="44"/>
        <v>Normal</v>
      </c>
      <c r="J732" t="str">
        <f t="shared" si="45"/>
        <v>Normal</v>
      </c>
      <c r="K732" t="str">
        <f t="shared" si="46"/>
        <v/>
      </c>
    </row>
    <row r="733" spans="1:11" x14ac:dyDescent="0.25">
      <c r="A733">
        <v>7645</v>
      </c>
      <c r="B733">
        <v>124.90450157543501</v>
      </c>
      <c r="C733">
        <v>34.998422301148203</v>
      </c>
      <c r="D733">
        <v>731</v>
      </c>
      <c r="E733">
        <f>VLOOKUP(A733, Athletes_Map!A:B, 2, FALSE)</f>
        <v>694</v>
      </c>
      <c r="F733" t="str">
        <f>VLOOKUP(A733, Athletes_Map!A:C, 3, FALSE)</f>
        <v>Player 694</v>
      </c>
      <c r="G733">
        <v>96</v>
      </c>
      <c r="H733">
        <f t="shared" si="47"/>
        <v>2</v>
      </c>
      <c r="I733" t="str">
        <f t="shared" si="44"/>
        <v>Normal</v>
      </c>
      <c r="J733" t="str">
        <f t="shared" si="45"/>
        <v>Normal</v>
      </c>
      <c r="K733" t="str">
        <f t="shared" si="46"/>
        <v/>
      </c>
    </row>
    <row r="734" spans="1:11" x14ac:dyDescent="0.25">
      <c r="A734">
        <v>7655</v>
      </c>
      <c r="B734">
        <v>123.576420204344</v>
      </c>
      <c r="C734">
        <v>34.972053786965397</v>
      </c>
      <c r="D734">
        <v>732</v>
      </c>
      <c r="E734">
        <f>VLOOKUP(A734, Athletes_Map!A:B, 2, FALSE)</f>
        <v>695</v>
      </c>
      <c r="F734" t="str">
        <f>VLOOKUP(A734, Athletes_Map!A:C, 3, FALSE)</f>
        <v>Player 695</v>
      </c>
      <c r="G734">
        <v>93</v>
      </c>
      <c r="H734">
        <f t="shared" si="47"/>
        <v>2</v>
      </c>
      <c r="I734" t="str">
        <f t="shared" si="44"/>
        <v>Normal</v>
      </c>
      <c r="J734" t="str">
        <f t="shared" si="45"/>
        <v>Normal</v>
      </c>
      <c r="K734" t="str">
        <f t="shared" si="46"/>
        <v/>
      </c>
    </row>
    <row r="735" spans="1:11" x14ac:dyDescent="0.25">
      <c r="A735">
        <v>7665</v>
      </c>
      <c r="B735">
        <v>134.06158842241601</v>
      </c>
      <c r="C735">
        <v>33.686407533960498</v>
      </c>
      <c r="D735">
        <v>733</v>
      </c>
      <c r="E735">
        <f>VLOOKUP(A735, Athletes_Map!A:B, 2, FALSE)</f>
        <v>696</v>
      </c>
      <c r="F735" t="str">
        <f>VLOOKUP(A735, Athletes_Map!A:C, 3, FALSE)</f>
        <v>Player 696</v>
      </c>
      <c r="G735">
        <v>93</v>
      </c>
      <c r="H735">
        <f t="shared" si="47"/>
        <v>2</v>
      </c>
      <c r="I735" t="str">
        <f t="shared" si="44"/>
        <v>Normal</v>
      </c>
      <c r="J735" t="str">
        <f t="shared" si="45"/>
        <v>Normal</v>
      </c>
      <c r="K735" t="str">
        <f t="shared" si="46"/>
        <v/>
      </c>
    </row>
    <row r="736" spans="1:11" x14ac:dyDescent="0.25">
      <c r="A736">
        <v>7668</v>
      </c>
      <c r="B736">
        <v>126.310075451353</v>
      </c>
      <c r="C736">
        <v>31.9286549814097</v>
      </c>
      <c r="D736">
        <v>734</v>
      </c>
      <c r="E736">
        <f>VLOOKUP(A736, Athletes_Map!A:B, 2, FALSE)</f>
        <v>697</v>
      </c>
      <c r="F736" t="str">
        <f>VLOOKUP(A736, Athletes_Map!A:C, 3, FALSE)</f>
        <v>Player 697</v>
      </c>
      <c r="G736">
        <v>96</v>
      </c>
      <c r="H736">
        <f t="shared" si="47"/>
        <v>2</v>
      </c>
      <c r="I736" t="str">
        <f t="shared" si="44"/>
        <v>Normal</v>
      </c>
      <c r="J736" t="str">
        <f t="shared" si="45"/>
        <v>Normal</v>
      </c>
      <c r="K736" t="str">
        <f t="shared" si="46"/>
        <v/>
      </c>
    </row>
    <row r="737" spans="1:11" x14ac:dyDescent="0.25">
      <c r="A737">
        <v>7677</v>
      </c>
      <c r="B737">
        <v>171.52019427093799</v>
      </c>
      <c r="C737">
        <v>32.0682010314084</v>
      </c>
      <c r="D737">
        <v>735</v>
      </c>
      <c r="E737">
        <f>VLOOKUP(A737, Athletes_Map!A:B, 2, FALSE)</f>
        <v>698</v>
      </c>
      <c r="F737" t="str">
        <f>VLOOKUP(A737, Athletes_Map!A:C, 3, FALSE)</f>
        <v>Player 698</v>
      </c>
      <c r="G737">
        <v>93</v>
      </c>
      <c r="H737">
        <f t="shared" si="47"/>
        <v>3</v>
      </c>
      <c r="I737" t="str">
        <f t="shared" si="44"/>
        <v>Alert</v>
      </c>
      <c r="J737" t="str">
        <f t="shared" si="45"/>
        <v>Heart Rate</v>
      </c>
      <c r="K737">
        <f t="shared" si="46"/>
        <v>171.52019427093799</v>
      </c>
    </row>
    <row r="738" spans="1:11" x14ac:dyDescent="0.25">
      <c r="A738">
        <v>7694</v>
      </c>
      <c r="B738">
        <v>158.76786546896099</v>
      </c>
      <c r="C738">
        <v>32.764463218334399</v>
      </c>
      <c r="D738">
        <v>736</v>
      </c>
      <c r="E738">
        <f>VLOOKUP(A738, Athletes_Map!A:B, 2, FALSE)</f>
        <v>699</v>
      </c>
      <c r="F738" t="str">
        <f>VLOOKUP(A738, Athletes_Map!A:C, 3, FALSE)</f>
        <v>Player 699</v>
      </c>
      <c r="G738">
        <v>92</v>
      </c>
      <c r="H738">
        <f t="shared" si="47"/>
        <v>3</v>
      </c>
      <c r="I738" t="str">
        <f t="shared" si="44"/>
        <v>Alert</v>
      </c>
      <c r="J738" t="str">
        <f t="shared" si="45"/>
        <v>Heart Rate</v>
      </c>
      <c r="K738">
        <f t="shared" si="46"/>
        <v>158.76786546896099</v>
      </c>
    </row>
    <row r="739" spans="1:11" x14ac:dyDescent="0.25">
      <c r="A739">
        <v>7704</v>
      </c>
      <c r="B739">
        <v>141.51592633164299</v>
      </c>
      <c r="C739">
        <v>33.751936364715597</v>
      </c>
      <c r="D739">
        <v>737</v>
      </c>
      <c r="E739">
        <f>VLOOKUP(A739, Athletes_Map!A:B, 2, FALSE)</f>
        <v>700</v>
      </c>
      <c r="F739" t="str">
        <f>VLOOKUP(A739, Athletes_Map!A:C, 3, FALSE)</f>
        <v>Player 700</v>
      </c>
      <c r="G739">
        <v>93</v>
      </c>
      <c r="H739">
        <f t="shared" si="47"/>
        <v>2</v>
      </c>
      <c r="I739" t="str">
        <f t="shared" si="44"/>
        <v>Normal</v>
      </c>
      <c r="J739" t="str">
        <f t="shared" si="45"/>
        <v>Normal</v>
      </c>
      <c r="K739" t="str">
        <f t="shared" si="46"/>
        <v/>
      </c>
    </row>
    <row r="740" spans="1:11" x14ac:dyDescent="0.25">
      <c r="A740">
        <v>7709</v>
      </c>
      <c r="B740">
        <v>171.01880865821599</v>
      </c>
      <c r="C740">
        <v>30.732420849484601</v>
      </c>
      <c r="D740">
        <v>738</v>
      </c>
      <c r="E740">
        <f>VLOOKUP(A740, Athletes_Map!A:B, 2, FALSE)</f>
        <v>701</v>
      </c>
      <c r="F740" t="str">
        <f>VLOOKUP(A740, Athletes_Map!A:C, 3, FALSE)</f>
        <v>Player 701</v>
      </c>
      <c r="G740">
        <v>94</v>
      </c>
      <c r="H740">
        <f t="shared" si="47"/>
        <v>3</v>
      </c>
      <c r="I740" t="str">
        <f t="shared" si="44"/>
        <v>Alert</v>
      </c>
      <c r="J740" t="str">
        <f t="shared" si="45"/>
        <v>Heart Rate</v>
      </c>
      <c r="K740">
        <f t="shared" si="46"/>
        <v>171.01880865821599</v>
      </c>
    </row>
    <row r="741" spans="1:11" x14ac:dyDescent="0.25">
      <c r="A741">
        <v>7731</v>
      </c>
      <c r="B741">
        <v>133.74813744200901</v>
      </c>
      <c r="C741">
        <v>31.840504416296</v>
      </c>
      <c r="D741">
        <v>739</v>
      </c>
      <c r="E741">
        <f>VLOOKUP(A741, Athletes_Map!A:B, 2, FALSE)</f>
        <v>702</v>
      </c>
      <c r="F741" t="str">
        <f>VLOOKUP(A741, Athletes_Map!A:C, 3, FALSE)</f>
        <v>Player 702</v>
      </c>
      <c r="G741">
        <v>95</v>
      </c>
      <c r="H741">
        <f t="shared" si="47"/>
        <v>2</v>
      </c>
      <c r="I741" t="str">
        <f t="shared" si="44"/>
        <v>Normal</v>
      </c>
      <c r="J741" t="str">
        <f t="shared" si="45"/>
        <v>Normal</v>
      </c>
      <c r="K741" t="str">
        <f t="shared" si="46"/>
        <v/>
      </c>
    </row>
    <row r="742" spans="1:11" x14ac:dyDescent="0.25">
      <c r="A742">
        <v>7736</v>
      </c>
      <c r="B742">
        <v>123.487243475244</v>
      </c>
      <c r="C742">
        <v>33.386498772920298</v>
      </c>
      <c r="D742">
        <v>740</v>
      </c>
      <c r="E742">
        <f>VLOOKUP(A742, Athletes_Map!A:B, 2, FALSE)</f>
        <v>703</v>
      </c>
      <c r="F742" t="str">
        <f>VLOOKUP(A742, Athletes_Map!A:C, 3, FALSE)</f>
        <v>Player 703</v>
      </c>
      <c r="G742">
        <v>96</v>
      </c>
      <c r="H742">
        <f t="shared" si="47"/>
        <v>2</v>
      </c>
      <c r="I742" t="str">
        <f t="shared" si="44"/>
        <v>Normal</v>
      </c>
      <c r="J742" t="str">
        <f t="shared" si="45"/>
        <v>Normal</v>
      </c>
      <c r="K742" t="str">
        <f t="shared" si="46"/>
        <v/>
      </c>
    </row>
    <row r="743" spans="1:11" x14ac:dyDescent="0.25">
      <c r="A743">
        <v>7738</v>
      </c>
      <c r="B743">
        <v>148.25762537334799</v>
      </c>
      <c r="C743">
        <v>31.3716773163605</v>
      </c>
      <c r="D743">
        <v>741</v>
      </c>
      <c r="E743">
        <f>VLOOKUP(A743, Athletes_Map!A:B, 2, FALSE)</f>
        <v>704</v>
      </c>
      <c r="F743" t="str">
        <f>VLOOKUP(A743, Athletes_Map!A:C, 3, FALSE)</f>
        <v>Player 704</v>
      </c>
      <c r="G743">
        <v>90</v>
      </c>
      <c r="H743">
        <f t="shared" si="47"/>
        <v>3</v>
      </c>
      <c r="I743" t="str">
        <f t="shared" si="44"/>
        <v>Alert</v>
      </c>
      <c r="J743" t="str">
        <f t="shared" si="45"/>
        <v>Oxygen</v>
      </c>
      <c r="K743">
        <f t="shared" si="46"/>
        <v>90</v>
      </c>
    </row>
    <row r="744" spans="1:11" x14ac:dyDescent="0.25">
      <c r="A744">
        <v>7748</v>
      </c>
      <c r="B744">
        <v>77.074892436126206</v>
      </c>
      <c r="C744">
        <v>32.065395548615399</v>
      </c>
      <c r="D744">
        <v>742</v>
      </c>
      <c r="E744">
        <f>VLOOKUP(A744, Athletes_Map!A:B, 2, FALSE)</f>
        <v>705</v>
      </c>
      <c r="F744" t="str">
        <f>VLOOKUP(A744, Athletes_Map!A:C, 3, FALSE)</f>
        <v>Player 705</v>
      </c>
      <c r="G744">
        <v>97</v>
      </c>
      <c r="H744">
        <f t="shared" si="47"/>
        <v>1</v>
      </c>
      <c r="I744" t="str">
        <f t="shared" si="44"/>
        <v>Normal</v>
      </c>
      <c r="J744" t="str">
        <f t="shared" si="45"/>
        <v>Normal</v>
      </c>
      <c r="K744" t="str">
        <f t="shared" si="46"/>
        <v/>
      </c>
    </row>
    <row r="745" spans="1:11" x14ac:dyDescent="0.25">
      <c r="A745">
        <v>7767</v>
      </c>
      <c r="B745">
        <v>169.04429889270401</v>
      </c>
      <c r="C745">
        <v>32.402913002028903</v>
      </c>
      <c r="D745">
        <v>743</v>
      </c>
      <c r="E745">
        <f>VLOOKUP(A745, Athletes_Map!A:B, 2, FALSE)</f>
        <v>706</v>
      </c>
      <c r="F745" t="str">
        <f>VLOOKUP(A745, Athletes_Map!A:C, 3, FALSE)</f>
        <v>Player 706</v>
      </c>
      <c r="G745">
        <v>92</v>
      </c>
      <c r="H745">
        <f t="shared" si="47"/>
        <v>3</v>
      </c>
      <c r="I745" t="str">
        <f t="shared" si="44"/>
        <v>Alert</v>
      </c>
      <c r="J745" t="str">
        <f t="shared" si="45"/>
        <v>Heart Rate</v>
      </c>
      <c r="K745">
        <f t="shared" si="46"/>
        <v>169.04429889270401</v>
      </c>
    </row>
    <row r="746" spans="1:11" x14ac:dyDescent="0.25">
      <c r="A746">
        <v>7776</v>
      </c>
      <c r="B746">
        <v>155.63689078937199</v>
      </c>
      <c r="C746">
        <v>31.482601911654001</v>
      </c>
      <c r="D746">
        <v>744</v>
      </c>
      <c r="E746">
        <f>VLOOKUP(A746, Athletes_Map!A:B, 2, FALSE)</f>
        <v>707</v>
      </c>
      <c r="F746" t="str">
        <f>VLOOKUP(A746, Athletes_Map!A:C, 3, FALSE)</f>
        <v>Player 707</v>
      </c>
      <c r="G746">
        <v>92</v>
      </c>
      <c r="H746">
        <f t="shared" si="47"/>
        <v>3</v>
      </c>
      <c r="I746" t="str">
        <f t="shared" si="44"/>
        <v>Alert</v>
      </c>
      <c r="J746" t="str">
        <f t="shared" si="45"/>
        <v>Heart Rate</v>
      </c>
      <c r="K746">
        <f t="shared" si="46"/>
        <v>155.63689078937199</v>
      </c>
    </row>
    <row r="747" spans="1:11" x14ac:dyDescent="0.25">
      <c r="A747">
        <v>7777</v>
      </c>
      <c r="B747">
        <v>107.561977141372</v>
      </c>
      <c r="C747">
        <v>31.689454559581701</v>
      </c>
      <c r="D747">
        <v>745</v>
      </c>
      <c r="E747">
        <f>VLOOKUP(A747, Athletes_Map!A:B, 2, FALSE)</f>
        <v>708</v>
      </c>
      <c r="F747" t="str">
        <f>VLOOKUP(A747, Athletes_Map!A:C, 3, FALSE)</f>
        <v>Player 708</v>
      </c>
      <c r="G747">
        <v>98</v>
      </c>
      <c r="H747">
        <f t="shared" si="47"/>
        <v>1</v>
      </c>
      <c r="I747" t="str">
        <f t="shared" si="44"/>
        <v>Normal</v>
      </c>
      <c r="J747" t="str">
        <f t="shared" si="45"/>
        <v>Normal</v>
      </c>
      <c r="K747" t="str">
        <f t="shared" si="46"/>
        <v/>
      </c>
    </row>
    <row r="748" spans="1:11" x14ac:dyDescent="0.25">
      <c r="A748">
        <v>7783</v>
      </c>
      <c r="B748">
        <v>118.07286690018201</v>
      </c>
      <c r="C748">
        <v>32.352833982644</v>
      </c>
      <c r="D748">
        <v>746</v>
      </c>
      <c r="E748">
        <f>VLOOKUP(A748, Athletes_Map!A:B, 2, FALSE)</f>
        <v>709</v>
      </c>
      <c r="F748" t="str">
        <f>VLOOKUP(A748, Athletes_Map!A:C, 3, FALSE)</f>
        <v>Player 709</v>
      </c>
      <c r="G748">
        <v>94</v>
      </c>
      <c r="H748">
        <f t="shared" si="47"/>
        <v>1</v>
      </c>
      <c r="I748" t="str">
        <f t="shared" si="44"/>
        <v>Normal</v>
      </c>
      <c r="J748" t="str">
        <f t="shared" si="45"/>
        <v>Normal</v>
      </c>
      <c r="K748" t="str">
        <f t="shared" si="46"/>
        <v/>
      </c>
    </row>
    <row r="749" spans="1:11" x14ac:dyDescent="0.25">
      <c r="A749">
        <v>7799</v>
      </c>
      <c r="B749">
        <v>147.27035945460801</v>
      </c>
      <c r="C749">
        <v>34.918245734515601</v>
      </c>
      <c r="D749">
        <v>747</v>
      </c>
      <c r="E749">
        <f>VLOOKUP(A749, Athletes_Map!A:B, 2, FALSE)</f>
        <v>710</v>
      </c>
      <c r="F749" t="str">
        <f>VLOOKUP(A749, Athletes_Map!A:C, 3, FALSE)</f>
        <v>Player 710</v>
      </c>
      <c r="G749">
        <v>91</v>
      </c>
      <c r="H749">
        <f t="shared" si="47"/>
        <v>3</v>
      </c>
      <c r="I749" t="str">
        <f t="shared" si="44"/>
        <v>Alert</v>
      </c>
      <c r="J749" t="str">
        <f t="shared" si="45"/>
        <v>Oxygen</v>
      </c>
      <c r="K749">
        <f t="shared" si="46"/>
        <v>91</v>
      </c>
    </row>
    <row r="750" spans="1:11" x14ac:dyDescent="0.25">
      <c r="A750">
        <v>7801</v>
      </c>
      <c r="B750">
        <v>140.62382847938699</v>
      </c>
      <c r="C750">
        <v>32.8072426565694</v>
      </c>
      <c r="D750">
        <v>748</v>
      </c>
      <c r="E750">
        <f>VLOOKUP(A750, Athletes_Map!A:B, 2, FALSE)</f>
        <v>711</v>
      </c>
      <c r="F750" t="str">
        <f>VLOOKUP(A750, Athletes_Map!A:C, 3, FALSE)</f>
        <v>Player 711</v>
      </c>
      <c r="G750">
        <v>90</v>
      </c>
      <c r="H750">
        <f t="shared" si="47"/>
        <v>3</v>
      </c>
      <c r="I750" t="str">
        <f t="shared" si="44"/>
        <v>Alert</v>
      </c>
      <c r="J750" t="str">
        <f t="shared" si="45"/>
        <v>Oxygen</v>
      </c>
      <c r="K750">
        <f t="shared" si="46"/>
        <v>90</v>
      </c>
    </row>
    <row r="751" spans="1:11" x14ac:dyDescent="0.25">
      <c r="A751">
        <v>7806</v>
      </c>
      <c r="B751">
        <v>141.05270930478</v>
      </c>
      <c r="C751">
        <v>31.9430950924767</v>
      </c>
      <c r="D751">
        <v>749</v>
      </c>
      <c r="E751">
        <f>VLOOKUP(A751, Athletes_Map!A:B, 2, FALSE)</f>
        <v>712</v>
      </c>
      <c r="F751" t="str">
        <f>VLOOKUP(A751, Athletes_Map!A:C, 3, FALSE)</f>
        <v>Player 712</v>
      </c>
      <c r="G751">
        <v>92</v>
      </c>
      <c r="H751">
        <f t="shared" si="47"/>
        <v>2</v>
      </c>
      <c r="I751" t="str">
        <f t="shared" si="44"/>
        <v>Normal</v>
      </c>
      <c r="J751" t="str">
        <f t="shared" si="45"/>
        <v>Normal</v>
      </c>
      <c r="K751" t="str">
        <f t="shared" si="46"/>
        <v/>
      </c>
    </row>
    <row r="752" spans="1:11" x14ac:dyDescent="0.25">
      <c r="A752">
        <v>7809</v>
      </c>
      <c r="B752">
        <v>149.379066213301</v>
      </c>
      <c r="C752">
        <v>33.418314143833101</v>
      </c>
      <c r="D752">
        <v>750</v>
      </c>
      <c r="E752">
        <f>VLOOKUP(A752, Athletes_Map!A:B, 2, FALSE)</f>
        <v>713</v>
      </c>
      <c r="F752" t="str">
        <f>VLOOKUP(A752, Athletes_Map!A:C, 3, FALSE)</f>
        <v>Player 713</v>
      </c>
      <c r="G752">
        <v>94</v>
      </c>
      <c r="H752">
        <f t="shared" si="47"/>
        <v>2</v>
      </c>
      <c r="I752" t="str">
        <f t="shared" si="44"/>
        <v>Normal</v>
      </c>
      <c r="J752" t="str">
        <f t="shared" si="45"/>
        <v>Normal</v>
      </c>
      <c r="K752" t="str">
        <f t="shared" si="46"/>
        <v/>
      </c>
    </row>
    <row r="753" spans="1:11" x14ac:dyDescent="0.25">
      <c r="A753">
        <v>7819</v>
      </c>
      <c r="B753">
        <v>122.01444909867899</v>
      </c>
      <c r="C753">
        <v>33.030253041048098</v>
      </c>
      <c r="D753">
        <v>751</v>
      </c>
      <c r="E753">
        <f>VLOOKUP(A753, Athletes_Map!A:B, 2, FALSE)</f>
        <v>714</v>
      </c>
      <c r="F753" t="str">
        <f>VLOOKUP(A753, Athletes_Map!A:C, 3, FALSE)</f>
        <v>Player 714</v>
      </c>
      <c r="G753">
        <v>93</v>
      </c>
      <c r="H753">
        <f t="shared" si="47"/>
        <v>2</v>
      </c>
      <c r="I753" t="str">
        <f t="shared" si="44"/>
        <v>Normal</v>
      </c>
      <c r="J753" t="str">
        <f t="shared" si="45"/>
        <v>Normal</v>
      </c>
      <c r="K753" t="str">
        <f t="shared" si="46"/>
        <v/>
      </c>
    </row>
    <row r="754" spans="1:11" x14ac:dyDescent="0.25">
      <c r="A754">
        <v>7833</v>
      </c>
      <c r="B754">
        <v>128.56729897565199</v>
      </c>
      <c r="C754">
        <v>35.014409608047004</v>
      </c>
      <c r="D754">
        <v>752</v>
      </c>
      <c r="E754">
        <f>VLOOKUP(A754, Athletes_Map!A:B, 2, FALSE)</f>
        <v>715</v>
      </c>
      <c r="F754" t="str">
        <f>VLOOKUP(A754, Athletes_Map!A:C, 3, FALSE)</f>
        <v>Player 715</v>
      </c>
      <c r="G754">
        <v>95</v>
      </c>
      <c r="H754">
        <f t="shared" si="47"/>
        <v>2</v>
      </c>
      <c r="I754" t="str">
        <f t="shared" si="44"/>
        <v>Normal</v>
      </c>
      <c r="J754" t="str">
        <f t="shared" si="45"/>
        <v>Normal</v>
      </c>
      <c r="K754" t="str">
        <f t="shared" si="46"/>
        <v/>
      </c>
    </row>
    <row r="755" spans="1:11" x14ac:dyDescent="0.25">
      <c r="A755">
        <v>7863</v>
      </c>
      <c r="B755">
        <v>98.182515373367096</v>
      </c>
      <c r="C755">
        <v>32.142383187611401</v>
      </c>
      <c r="D755">
        <v>753</v>
      </c>
      <c r="E755">
        <f>VLOOKUP(A755, Athletes_Map!A:B, 2, FALSE)</f>
        <v>716</v>
      </c>
      <c r="F755" t="str">
        <f>VLOOKUP(A755, Athletes_Map!A:C, 3, FALSE)</f>
        <v>Player 716</v>
      </c>
      <c r="G755">
        <v>99</v>
      </c>
      <c r="H755">
        <f t="shared" si="47"/>
        <v>1</v>
      </c>
      <c r="I755" t="str">
        <f t="shared" si="44"/>
        <v>Normal</v>
      </c>
      <c r="J755" t="str">
        <f t="shared" si="45"/>
        <v>Normal</v>
      </c>
      <c r="K755" t="str">
        <f t="shared" si="46"/>
        <v/>
      </c>
    </row>
    <row r="756" spans="1:11" x14ac:dyDescent="0.25">
      <c r="A756">
        <v>7873</v>
      </c>
      <c r="B756">
        <v>138.91690510195301</v>
      </c>
      <c r="C756">
        <v>34.029617034362502</v>
      </c>
      <c r="D756">
        <v>754</v>
      </c>
      <c r="E756">
        <f>VLOOKUP(A756, Athletes_Map!A:B, 2, FALSE)</f>
        <v>717</v>
      </c>
      <c r="F756" t="str">
        <f>VLOOKUP(A756, Athletes_Map!A:C, 3, FALSE)</f>
        <v>Player 717</v>
      </c>
      <c r="G756">
        <v>93</v>
      </c>
      <c r="H756">
        <f t="shared" si="47"/>
        <v>2</v>
      </c>
      <c r="I756" t="str">
        <f t="shared" si="44"/>
        <v>Normal</v>
      </c>
      <c r="J756" t="str">
        <f t="shared" si="45"/>
        <v>Normal</v>
      </c>
      <c r="K756" t="str">
        <f t="shared" si="46"/>
        <v/>
      </c>
    </row>
    <row r="757" spans="1:11" x14ac:dyDescent="0.25">
      <c r="A757">
        <v>7881</v>
      </c>
      <c r="B757">
        <v>132.118248885567</v>
      </c>
      <c r="C757">
        <v>34.080639692797902</v>
      </c>
      <c r="D757">
        <v>755</v>
      </c>
      <c r="E757">
        <f>VLOOKUP(A757, Athletes_Map!A:B, 2, FALSE)</f>
        <v>718</v>
      </c>
      <c r="F757" t="str">
        <f>VLOOKUP(A757, Athletes_Map!A:C, 3, FALSE)</f>
        <v>Player 718</v>
      </c>
      <c r="G757">
        <v>94</v>
      </c>
      <c r="H757">
        <f t="shared" si="47"/>
        <v>2</v>
      </c>
      <c r="I757" t="str">
        <f t="shared" si="44"/>
        <v>Normal</v>
      </c>
      <c r="J757" t="str">
        <f t="shared" si="45"/>
        <v>Normal</v>
      </c>
      <c r="K757" t="str">
        <f t="shared" si="46"/>
        <v/>
      </c>
    </row>
    <row r="758" spans="1:11" x14ac:dyDescent="0.25">
      <c r="A758">
        <v>7882</v>
      </c>
      <c r="B758">
        <v>140.37184557726499</v>
      </c>
      <c r="C758">
        <v>30.6605259386947</v>
      </c>
      <c r="D758">
        <v>756</v>
      </c>
      <c r="E758">
        <f>VLOOKUP(A758, Athletes_Map!A:B, 2, FALSE)</f>
        <v>719</v>
      </c>
      <c r="F758" t="str">
        <f>VLOOKUP(A758, Athletes_Map!A:C, 3, FALSE)</f>
        <v>Player 719</v>
      </c>
      <c r="G758">
        <v>90</v>
      </c>
      <c r="H758">
        <f t="shared" si="47"/>
        <v>3</v>
      </c>
      <c r="I758" t="str">
        <f t="shared" si="44"/>
        <v>Alert</v>
      </c>
      <c r="J758" t="str">
        <f t="shared" si="45"/>
        <v>Oxygen</v>
      </c>
      <c r="K758">
        <f t="shared" si="46"/>
        <v>90</v>
      </c>
    </row>
    <row r="759" spans="1:11" x14ac:dyDescent="0.25">
      <c r="A759">
        <v>7891</v>
      </c>
      <c r="B759">
        <v>149.69755572099601</v>
      </c>
      <c r="C759">
        <v>33.600171639736601</v>
      </c>
      <c r="D759">
        <v>757</v>
      </c>
      <c r="E759">
        <f>VLOOKUP(A759, Athletes_Map!A:B, 2, FALSE)</f>
        <v>720</v>
      </c>
      <c r="F759" t="str">
        <f>VLOOKUP(A759, Athletes_Map!A:C, 3, FALSE)</f>
        <v>Player 720</v>
      </c>
      <c r="G759">
        <v>91</v>
      </c>
      <c r="H759">
        <f t="shared" si="47"/>
        <v>3</v>
      </c>
      <c r="I759" t="str">
        <f t="shared" si="44"/>
        <v>Alert</v>
      </c>
      <c r="J759" t="str">
        <f t="shared" si="45"/>
        <v>Oxygen</v>
      </c>
      <c r="K759">
        <f t="shared" si="46"/>
        <v>91</v>
      </c>
    </row>
    <row r="760" spans="1:11" x14ac:dyDescent="0.25">
      <c r="A760">
        <v>7892</v>
      </c>
      <c r="B760">
        <v>135.595122789914</v>
      </c>
      <c r="C760">
        <v>31.780945407611998</v>
      </c>
      <c r="D760">
        <v>758</v>
      </c>
      <c r="E760">
        <f>VLOOKUP(A760, Athletes_Map!A:B, 2, FALSE)</f>
        <v>721</v>
      </c>
      <c r="F760" t="str">
        <f>VLOOKUP(A760, Athletes_Map!A:C, 3, FALSE)</f>
        <v>Player 721</v>
      </c>
      <c r="G760">
        <v>93</v>
      </c>
      <c r="H760">
        <f t="shared" si="47"/>
        <v>2</v>
      </c>
      <c r="I760" t="str">
        <f t="shared" si="44"/>
        <v>Normal</v>
      </c>
      <c r="J760" t="str">
        <f t="shared" si="45"/>
        <v>Normal</v>
      </c>
      <c r="K760" t="str">
        <f t="shared" si="46"/>
        <v/>
      </c>
    </row>
    <row r="761" spans="1:11" x14ac:dyDescent="0.25">
      <c r="A761">
        <v>7893</v>
      </c>
      <c r="B761">
        <v>123.89600946613599</v>
      </c>
      <c r="C761">
        <v>33.805837406074801</v>
      </c>
      <c r="D761">
        <v>759</v>
      </c>
      <c r="E761">
        <f>VLOOKUP(A761, Athletes_Map!A:B, 2, FALSE)</f>
        <v>722</v>
      </c>
      <c r="F761" t="str">
        <f>VLOOKUP(A761, Athletes_Map!A:C, 3, FALSE)</f>
        <v>Player 722</v>
      </c>
      <c r="G761">
        <v>93</v>
      </c>
      <c r="H761">
        <f t="shared" si="47"/>
        <v>2</v>
      </c>
      <c r="I761" t="str">
        <f t="shared" si="44"/>
        <v>Normal</v>
      </c>
      <c r="J761" t="str">
        <f t="shared" si="45"/>
        <v>Normal</v>
      </c>
      <c r="K761" t="str">
        <f t="shared" si="46"/>
        <v/>
      </c>
    </row>
    <row r="762" spans="1:11" x14ac:dyDescent="0.25">
      <c r="A762">
        <v>7898</v>
      </c>
      <c r="B762">
        <v>144.32859964867001</v>
      </c>
      <c r="C762">
        <v>32.100770772692599</v>
      </c>
      <c r="D762">
        <v>760</v>
      </c>
      <c r="E762">
        <f>VLOOKUP(A762, Athletes_Map!A:B, 2, FALSE)</f>
        <v>723</v>
      </c>
      <c r="F762" t="str">
        <f>VLOOKUP(A762, Athletes_Map!A:C, 3, FALSE)</f>
        <v>Player 723</v>
      </c>
      <c r="G762">
        <v>92</v>
      </c>
      <c r="H762">
        <f t="shared" si="47"/>
        <v>2</v>
      </c>
      <c r="I762" t="str">
        <f t="shared" si="44"/>
        <v>Normal</v>
      </c>
      <c r="J762" t="str">
        <f t="shared" si="45"/>
        <v>Normal</v>
      </c>
      <c r="K762" t="str">
        <f t="shared" si="46"/>
        <v/>
      </c>
    </row>
    <row r="763" spans="1:11" x14ac:dyDescent="0.25">
      <c r="A763">
        <v>7905</v>
      </c>
      <c r="B763">
        <v>109.34015551622799</v>
      </c>
      <c r="C763">
        <v>32.826114505102197</v>
      </c>
      <c r="D763">
        <v>761</v>
      </c>
      <c r="E763">
        <f>VLOOKUP(A763, Athletes_Map!A:B, 2, FALSE)</f>
        <v>724</v>
      </c>
      <c r="F763" t="str">
        <f>VLOOKUP(A763, Athletes_Map!A:C, 3, FALSE)</f>
        <v>Player 724</v>
      </c>
      <c r="G763">
        <v>97</v>
      </c>
      <c r="H763">
        <f t="shared" si="47"/>
        <v>1</v>
      </c>
      <c r="I763" t="str">
        <f t="shared" si="44"/>
        <v>Normal</v>
      </c>
      <c r="J763" t="str">
        <f t="shared" si="45"/>
        <v>Normal</v>
      </c>
      <c r="K763" t="str">
        <f t="shared" si="46"/>
        <v/>
      </c>
    </row>
    <row r="764" spans="1:11" x14ac:dyDescent="0.25">
      <c r="A764">
        <v>7910</v>
      </c>
      <c r="B764">
        <v>138.554020018665</v>
      </c>
      <c r="C764">
        <v>32.819615447673698</v>
      </c>
      <c r="D764">
        <v>762</v>
      </c>
      <c r="E764">
        <f>VLOOKUP(A764, Athletes_Map!A:B, 2, FALSE)</f>
        <v>725</v>
      </c>
      <c r="F764" t="str">
        <f>VLOOKUP(A764, Athletes_Map!A:C, 3, FALSE)</f>
        <v>Player 725</v>
      </c>
      <c r="G764">
        <v>96</v>
      </c>
      <c r="H764">
        <f t="shared" si="47"/>
        <v>2</v>
      </c>
      <c r="I764" t="str">
        <f t="shared" si="44"/>
        <v>Normal</v>
      </c>
      <c r="J764" t="str">
        <f t="shared" si="45"/>
        <v>Normal</v>
      </c>
      <c r="K764" t="str">
        <f t="shared" si="46"/>
        <v/>
      </c>
    </row>
    <row r="765" spans="1:11" x14ac:dyDescent="0.25">
      <c r="A765">
        <v>7937</v>
      </c>
      <c r="B765">
        <v>161.034825787975</v>
      </c>
      <c r="C765">
        <v>32.176465037093898</v>
      </c>
      <c r="D765">
        <v>763</v>
      </c>
      <c r="E765">
        <f>VLOOKUP(A765, Athletes_Map!A:B, 2, FALSE)</f>
        <v>726</v>
      </c>
      <c r="F765" t="str">
        <f>VLOOKUP(A765, Athletes_Map!A:C, 3, FALSE)</f>
        <v>Player 726</v>
      </c>
      <c r="G765">
        <v>90</v>
      </c>
      <c r="H765">
        <f t="shared" si="47"/>
        <v>3</v>
      </c>
      <c r="I765" t="str">
        <f t="shared" si="44"/>
        <v>Alert</v>
      </c>
      <c r="J765" t="str">
        <f t="shared" si="45"/>
        <v>Heart Rate</v>
      </c>
      <c r="K765">
        <f t="shared" si="46"/>
        <v>161.034825787975</v>
      </c>
    </row>
    <row r="766" spans="1:11" x14ac:dyDescent="0.25">
      <c r="A766">
        <v>7938</v>
      </c>
      <c r="B766">
        <v>108.293112825797</v>
      </c>
      <c r="C766">
        <v>32.607964544176298</v>
      </c>
      <c r="D766">
        <v>764</v>
      </c>
      <c r="E766">
        <f>VLOOKUP(A766, Athletes_Map!A:B, 2, FALSE)</f>
        <v>727</v>
      </c>
      <c r="F766" t="str">
        <f>VLOOKUP(A766, Athletes_Map!A:C, 3, FALSE)</f>
        <v>Player 727</v>
      </c>
      <c r="G766">
        <v>99</v>
      </c>
      <c r="H766">
        <f t="shared" si="47"/>
        <v>1</v>
      </c>
      <c r="I766" t="str">
        <f t="shared" si="44"/>
        <v>Normal</v>
      </c>
      <c r="J766" t="str">
        <f t="shared" si="45"/>
        <v>Normal</v>
      </c>
      <c r="K766" t="str">
        <f t="shared" si="46"/>
        <v/>
      </c>
    </row>
    <row r="767" spans="1:11" x14ac:dyDescent="0.25">
      <c r="A767">
        <v>7938</v>
      </c>
      <c r="B767">
        <v>153.366332120046</v>
      </c>
      <c r="C767">
        <v>31.984368336135599</v>
      </c>
      <c r="D767">
        <v>765</v>
      </c>
      <c r="E767">
        <f>VLOOKUP(A767, Athletes_Map!A:B, 2, FALSE)</f>
        <v>727</v>
      </c>
      <c r="F767" t="str">
        <f>VLOOKUP(A767, Athletes_Map!A:C, 3, FALSE)</f>
        <v>Player 727</v>
      </c>
      <c r="G767">
        <v>90</v>
      </c>
      <c r="H767">
        <f t="shared" si="47"/>
        <v>3</v>
      </c>
      <c r="I767" t="str">
        <f t="shared" si="44"/>
        <v>Alert</v>
      </c>
      <c r="J767" t="str">
        <f t="shared" si="45"/>
        <v>Heart Rate</v>
      </c>
      <c r="K767">
        <f t="shared" si="46"/>
        <v>153.366332120046</v>
      </c>
    </row>
    <row r="768" spans="1:11" x14ac:dyDescent="0.25">
      <c r="A768">
        <v>7938</v>
      </c>
      <c r="B768">
        <v>131.950603272389</v>
      </c>
      <c r="C768">
        <v>31.185739896524101</v>
      </c>
      <c r="D768">
        <v>766</v>
      </c>
      <c r="E768">
        <f>VLOOKUP(A768, Athletes_Map!A:B, 2, FALSE)</f>
        <v>727</v>
      </c>
      <c r="F768" t="str">
        <f>VLOOKUP(A768, Athletes_Map!A:C, 3, FALSE)</f>
        <v>Player 727</v>
      </c>
      <c r="G768">
        <v>96</v>
      </c>
      <c r="H768">
        <f t="shared" si="47"/>
        <v>2</v>
      </c>
      <c r="I768" t="str">
        <f t="shared" si="44"/>
        <v>Normal</v>
      </c>
      <c r="J768" t="str">
        <f t="shared" si="45"/>
        <v>Normal</v>
      </c>
      <c r="K768" t="str">
        <f t="shared" si="46"/>
        <v/>
      </c>
    </row>
    <row r="769" spans="1:11" x14ac:dyDescent="0.25">
      <c r="A769">
        <v>7941</v>
      </c>
      <c r="B769">
        <v>159.37523703394601</v>
      </c>
      <c r="C769">
        <v>31.6155692623921</v>
      </c>
      <c r="D769">
        <v>767</v>
      </c>
      <c r="E769">
        <f>VLOOKUP(A769, Athletes_Map!A:B, 2, FALSE)</f>
        <v>728</v>
      </c>
      <c r="F769" t="str">
        <f>VLOOKUP(A769, Athletes_Map!A:C, 3, FALSE)</f>
        <v>Player 728</v>
      </c>
      <c r="G769">
        <v>93</v>
      </c>
      <c r="H769">
        <f t="shared" si="47"/>
        <v>3</v>
      </c>
      <c r="I769" t="str">
        <f t="shared" si="44"/>
        <v>Alert</v>
      </c>
      <c r="J769" t="str">
        <f t="shared" si="45"/>
        <v>Heart Rate</v>
      </c>
      <c r="K769">
        <f t="shared" si="46"/>
        <v>159.37523703394601</v>
      </c>
    </row>
    <row r="770" spans="1:11" x14ac:dyDescent="0.25">
      <c r="A770">
        <v>7941</v>
      </c>
      <c r="B770">
        <v>132.56504983233401</v>
      </c>
      <c r="C770">
        <v>31.9046268968441</v>
      </c>
      <c r="D770">
        <v>768</v>
      </c>
      <c r="E770">
        <f>VLOOKUP(A770, Athletes_Map!A:B, 2, FALSE)</f>
        <v>728</v>
      </c>
      <c r="F770" t="str">
        <f>VLOOKUP(A770, Athletes_Map!A:C, 3, FALSE)</f>
        <v>Player 728</v>
      </c>
      <c r="G770">
        <v>93</v>
      </c>
      <c r="H770">
        <f t="shared" si="47"/>
        <v>2</v>
      </c>
      <c r="I770" t="str">
        <f t="shared" ref="I770:I833" si="48">IF(H770=3, "Alert", "Normal")</f>
        <v>Normal</v>
      </c>
      <c r="J770" t="str">
        <f t="shared" ref="J770:J833" si="49">IF(B770&gt;150,"Heart Rate",
IF(C770&gt;37.5,"Temperature",
IF(G770&lt;92,"Oxygen","Normal")))</f>
        <v>Normal</v>
      </c>
      <c r="K770" t="str">
        <f t="shared" ref="K770:K833" si="50">IF(J770="Heart Rate",B770,IF(J770="Temperature",C770,IF(J770="Oxygen",G770,"")))</f>
        <v/>
      </c>
    </row>
    <row r="771" spans="1:11" x14ac:dyDescent="0.25">
      <c r="A771">
        <v>7943</v>
      </c>
      <c r="B771">
        <v>156.77497239408299</v>
      </c>
      <c r="C771">
        <v>34.373151682271903</v>
      </c>
      <c r="D771">
        <v>769</v>
      </c>
      <c r="E771">
        <f>VLOOKUP(A771, Athletes_Map!A:B, 2, FALSE)</f>
        <v>729</v>
      </c>
      <c r="F771" t="str">
        <f>VLOOKUP(A771, Athletes_Map!A:C, 3, FALSE)</f>
        <v>Player 729</v>
      </c>
      <c r="G771">
        <v>90</v>
      </c>
      <c r="H771">
        <f t="shared" ref="H771:H834" si="51">IF(OR(B771&gt;150, C771&gt;37.5, G771&lt;92), 3,
IF(OR(B771&gt;120, C771&gt;37, G771&lt;94), 2,
1))</f>
        <v>3</v>
      </c>
      <c r="I771" t="str">
        <f t="shared" si="48"/>
        <v>Alert</v>
      </c>
      <c r="J771" t="str">
        <f t="shared" si="49"/>
        <v>Heart Rate</v>
      </c>
      <c r="K771">
        <f t="shared" si="50"/>
        <v>156.77497239408299</v>
      </c>
    </row>
    <row r="772" spans="1:11" x14ac:dyDescent="0.25">
      <c r="A772">
        <v>7944</v>
      </c>
      <c r="B772">
        <v>126.071327708989</v>
      </c>
      <c r="C772">
        <v>34.139513485637302</v>
      </c>
      <c r="D772">
        <v>770</v>
      </c>
      <c r="E772">
        <f>VLOOKUP(A772, Athletes_Map!A:B, 2, FALSE)</f>
        <v>730</v>
      </c>
      <c r="F772" t="str">
        <f>VLOOKUP(A772, Athletes_Map!A:C, 3, FALSE)</f>
        <v>Player 730</v>
      </c>
      <c r="G772">
        <v>94</v>
      </c>
      <c r="H772">
        <f t="shared" si="51"/>
        <v>2</v>
      </c>
      <c r="I772" t="str">
        <f t="shared" si="48"/>
        <v>Normal</v>
      </c>
      <c r="J772" t="str">
        <f t="shared" si="49"/>
        <v>Normal</v>
      </c>
      <c r="K772" t="str">
        <f t="shared" si="50"/>
        <v/>
      </c>
    </row>
    <row r="773" spans="1:11" x14ac:dyDescent="0.25">
      <c r="A773">
        <v>7949</v>
      </c>
      <c r="B773">
        <v>130.193492036837</v>
      </c>
      <c r="C773">
        <v>35.9822279000146</v>
      </c>
      <c r="D773">
        <v>771</v>
      </c>
      <c r="E773">
        <f>VLOOKUP(A773, Athletes_Map!A:B, 2, FALSE)</f>
        <v>731</v>
      </c>
      <c r="F773" t="str">
        <f>VLOOKUP(A773, Athletes_Map!A:C, 3, FALSE)</f>
        <v>Player 731</v>
      </c>
      <c r="G773">
        <v>93</v>
      </c>
      <c r="H773">
        <f t="shared" si="51"/>
        <v>2</v>
      </c>
      <c r="I773" t="str">
        <f t="shared" si="48"/>
        <v>Normal</v>
      </c>
      <c r="J773" t="str">
        <f t="shared" si="49"/>
        <v>Normal</v>
      </c>
      <c r="K773" t="str">
        <f t="shared" si="50"/>
        <v/>
      </c>
    </row>
    <row r="774" spans="1:11" x14ac:dyDescent="0.25">
      <c r="A774">
        <v>7949</v>
      </c>
      <c r="B774">
        <v>110.80610514317701</v>
      </c>
      <c r="C774">
        <v>35.039323179610399</v>
      </c>
      <c r="D774">
        <v>772</v>
      </c>
      <c r="E774">
        <f>VLOOKUP(A774, Athletes_Map!A:B, 2, FALSE)</f>
        <v>731</v>
      </c>
      <c r="F774" t="str">
        <f>VLOOKUP(A774, Athletes_Map!A:C, 3, FALSE)</f>
        <v>Player 731</v>
      </c>
      <c r="G774">
        <v>94</v>
      </c>
      <c r="H774">
        <f t="shared" si="51"/>
        <v>1</v>
      </c>
      <c r="I774" t="str">
        <f t="shared" si="48"/>
        <v>Normal</v>
      </c>
      <c r="J774" t="str">
        <f t="shared" si="49"/>
        <v>Normal</v>
      </c>
      <c r="K774" t="str">
        <f t="shared" si="50"/>
        <v/>
      </c>
    </row>
    <row r="775" spans="1:11" x14ac:dyDescent="0.25">
      <c r="A775">
        <v>7949</v>
      </c>
      <c r="B775">
        <v>136.14026249794099</v>
      </c>
      <c r="C775">
        <v>33.314480170903998</v>
      </c>
      <c r="D775">
        <v>773</v>
      </c>
      <c r="E775">
        <f>VLOOKUP(A775, Athletes_Map!A:B, 2, FALSE)</f>
        <v>731</v>
      </c>
      <c r="F775" t="str">
        <f>VLOOKUP(A775, Athletes_Map!A:C, 3, FALSE)</f>
        <v>Player 731</v>
      </c>
      <c r="G775">
        <v>95</v>
      </c>
      <c r="H775">
        <f t="shared" si="51"/>
        <v>2</v>
      </c>
      <c r="I775" t="str">
        <f t="shared" si="48"/>
        <v>Normal</v>
      </c>
      <c r="J775" t="str">
        <f t="shared" si="49"/>
        <v>Normal</v>
      </c>
      <c r="K775" t="str">
        <f t="shared" si="50"/>
        <v/>
      </c>
    </row>
    <row r="776" spans="1:11" x14ac:dyDescent="0.25">
      <c r="A776">
        <v>7966</v>
      </c>
      <c r="B776">
        <v>143.72647339348001</v>
      </c>
      <c r="C776">
        <v>32.618114966708802</v>
      </c>
      <c r="D776">
        <v>774</v>
      </c>
      <c r="E776">
        <f>VLOOKUP(A776, Athletes_Map!A:B, 2, FALSE)</f>
        <v>732</v>
      </c>
      <c r="F776" t="str">
        <f>VLOOKUP(A776, Athletes_Map!A:C, 3, FALSE)</f>
        <v>Player 732</v>
      </c>
      <c r="G776">
        <v>91</v>
      </c>
      <c r="H776">
        <f t="shared" si="51"/>
        <v>3</v>
      </c>
      <c r="I776" t="str">
        <f t="shared" si="48"/>
        <v>Alert</v>
      </c>
      <c r="J776" t="str">
        <f t="shared" si="49"/>
        <v>Oxygen</v>
      </c>
      <c r="K776">
        <f t="shared" si="50"/>
        <v>91</v>
      </c>
    </row>
    <row r="777" spans="1:11" x14ac:dyDescent="0.25">
      <c r="A777">
        <v>7970</v>
      </c>
      <c r="B777">
        <v>137.67081809564499</v>
      </c>
      <c r="C777">
        <v>35.511837518651902</v>
      </c>
      <c r="D777">
        <v>775</v>
      </c>
      <c r="E777">
        <f>VLOOKUP(A777, Athletes_Map!A:B, 2, FALSE)</f>
        <v>733</v>
      </c>
      <c r="F777" t="str">
        <f>VLOOKUP(A777, Athletes_Map!A:C, 3, FALSE)</f>
        <v>Player 733</v>
      </c>
      <c r="G777">
        <v>96</v>
      </c>
      <c r="H777">
        <f t="shared" si="51"/>
        <v>2</v>
      </c>
      <c r="I777" t="str">
        <f t="shared" si="48"/>
        <v>Normal</v>
      </c>
      <c r="J777" t="str">
        <f t="shared" si="49"/>
        <v>Normal</v>
      </c>
      <c r="K777" t="str">
        <f t="shared" si="50"/>
        <v/>
      </c>
    </row>
    <row r="778" spans="1:11" x14ac:dyDescent="0.25">
      <c r="A778">
        <v>7971</v>
      </c>
      <c r="B778">
        <v>130.056452349588</v>
      </c>
      <c r="C778">
        <v>30.629414674539401</v>
      </c>
      <c r="D778">
        <v>776</v>
      </c>
      <c r="E778">
        <f>VLOOKUP(A778, Athletes_Map!A:B, 2, FALSE)</f>
        <v>734</v>
      </c>
      <c r="F778" t="str">
        <f>VLOOKUP(A778, Athletes_Map!A:C, 3, FALSE)</f>
        <v>Player 734</v>
      </c>
      <c r="G778">
        <v>95</v>
      </c>
      <c r="H778">
        <f t="shared" si="51"/>
        <v>2</v>
      </c>
      <c r="I778" t="str">
        <f t="shared" si="48"/>
        <v>Normal</v>
      </c>
      <c r="J778" t="str">
        <f t="shared" si="49"/>
        <v>Normal</v>
      </c>
      <c r="K778" t="str">
        <f t="shared" si="50"/>
        <v/>
      </c>
    </row>
    <row r="779" spans="1:11" x14ac:dyDescent="0.25">
      <c r="A779">
        <v>7981</v>
      </c>
      <c r="B779">
        <v>148.55851742678499</v>
      </c>
      <c r="C779">
        <v>33.188553502789098</v>
      </c>
      <c r="D779">
        <v>777</v>
      </c>
      <c r="E779">
        <f>VLOOKUP(A779, Athletes_Map!A:B, 2, FALSE)</f>
        <v>735</v>
      </c>
      <c r="F779" t="str">
        <f>VLOOKUP(A779, Athletes_Map!A:C, 3, FALSE)</f>
        <v>Player 735</v>
      </c>
      <c r="G779">
        <v>91</v>
      </c>
      <c r="H779">
        <f t="shared" si="51"/>
        <v>3</v>
      </c>
      <c r="I779" t="str">
        <f t="shared" si="48"/>
        <v>Alert</v>
      </c>
      <c r="J779" t="str">
        <f t="shared" si="49"/>
        <v>Oxygen</v>
      </c>
      <c r="K779">
        <f t="shared" si="50"/>
        <v>91</v>
      </c>
    </row>
    <row r="780" spans="1:11" x14ac:dyDescent="0.25">
      <c r="A780">
        <v>7986</v>
      </c>
      <c r="B780">
        <v>139.815063589771</v>
      </c>
      <c r="C780">
        <v>34.379606422654497</v>
      </c>
      <c r="D780">
        <v>778</v>
      </c>
      <c r="E780">
        <f>VLOOKUP(A780, Athletes_Map!A:B, 2, FALSE)</f>
        <v>736</v>
      </c>
      <c r="F780" t="str">
        <f>VLOOKUP(A780, Athletes_Map!A:C, 3, FALSE)</f>
        <v>Player 736</v>
      </c>
      <c r="G780">
        <v>96</v>
      </c>
      <c r="H780">
        <f t="shared" si="51"/>
        <v>2</v>
      </c>
      <c r="I780" t="str">
        <f t="shared" si="48"/>
        <v>Normal</v>
      </c>
      <c r="J780" t="str">
        <f t="shared" si="49"/>
        <v>Normal</v>
      </c>
      <c r="K780" t="str">
        <f t="shared" si="50"/>
        <v/>
      </c>
    </row>
    <row r="781" spans="1:11" x14ac:dyDescent="0.25">
      <c r="A781">
        <v>7988</v>
      </c>
      <c r="B781">
        <v>169.539277024668</v>
      </c>
      <c r="C781">
        <v>31.985815249888599</v>
      </c>
      <c r="D781">
        <v>779</v>
      </c>
      <c r="E781">
        <f>VLOOKUP(A781, Athletes_Map!A:B, 2, FALSE)</f>
        <v>737</v>
      </c>
      <c r="F781" t="str">
        <f>VLOOKUP(A781, Athletes_Map!A:C, 3, FALSE)</f>
        <v>Player 737</v>
      </c>
      <c r="G781">
        <v>91</v>
      </c>
      <c r="H781">
        <f t="shared" si="51"/>
        <v>3</v>
      </c>
      <c r="I781" t="str">
        <f t="shared" si="48"/>
        <v>Alert</v>
      </c>
      <c r="J781" t="str">
        <f t="shared" si="49"/>
        <v>Heart Rate</v>
      </c>
      <c r="K781">
        <f t="shared" si="50"/>
        <v>169.539277024668</v>
      </c>
    </row>
    <row r="782" spans="1:11" x14ac:dyDescent="0.25">
      <c r="A782">
        <v>7996</v>
      </c>
      <c r="B782">
        <v>136.28948829620199</v>
      </c>
      <c r="C782">
        <v>32.084976913024001</v>
      </c>
      <c r="D782">
        <v>780</v>
      </c>
      <c r="E782">
        <f>VLOOKUP(A782, Athletes_Map!A:B, 2, FALSE)</f>
        <v>738</v>
      </c>
      <c r="F782" t="str">
        <f>VLOOKUP(A782, Athletes_Map!A:C, 3, FALSE)</f>
        <v>Player 738</v>
      </c>
      <c r="G782">
        <v>96</v>
      </c>
      <c r="H782">
        <f t="shared" si="51"/>
        <v>2</v>
      </c>
      <c r="I782" t="str">
        <f t="shared" si="48"/>
        <v>Normal</v>
      </c>
      <c r="J782" t="str">
        <f t="shared" si="49"/>
        <v>Normal</v>
      </c>
      <c r="K782" t="str">
        <f t="shared" si="50"/>
        <v/>
      </c>
    </row>
    <row r="783" spans="1:11" x14ac:dyDescent="0.25">
      <c r="A783">
        <v>8002</v>
      </c>
      <c r="B783">
        <v>130.73114258139501</v>
      </c>
      <c r="C783">
        <v>33.905679957681301</v>
      </c>
      <c r="D783">
        <v>781</v>
      </c>
      <c r="E783">
        <f>VLOOKUP(A783, Athletes_Map!A:B, 2, FALSE)</f>
        <v>739</v>
      </c>
      <c r="F783" t="str">
        <f>VLOOKUP(A783, Athletes_Map!A:C, 3, FALSE)</f>
        <v>Player 739</v>
      </c>
      <c r="G783">
        <v>95</v>
      </c>
      <c r="H783">
        <f t="shared" si="51"/>
        <v>2</v>
      </c>
      <c r="I783" t="str">
        <f t="shared" si="48"/>
        <v>Normal</v>
      </c>
      <c r="J783" t="str">
        <f t="shared" si="49"/>
        <v>Normal</v>
      </c>
      <c r="K783" t="str">
        <f t="shared" si="50"/>
        <v/>
      </c>
    </row>
    <row r="784" spans="1:11" x14ac:dyDescent="0.25">
      <c r="A784">
        <v>8004</v>
      </c>
      <c r="B784">
        <v>123.993896923091</v>
      </c>
      <c r="C784">
        <v>31.776365616349299</v>
      </c>
      <c r="D784">
        <v>782</v>
      </c>
      <c r="E784">
        <f>VLOOKUP(A784, Athletes_Map!A:B, 2, FALSE)</f>
        <v>740</v>
      </c>
      <c r="F784" t="str">
        <f>VLOOKUP(A784, Athletes_Map!A:C, 3, FALSE)</f>
        <v>Player 740</v>
      </c>
      <c r="G784">
        <v>93</v>
      </c>
      <c r="H784">
        <f t="shared" si="51"/>
        <v>2</v>
      </c>
      <c r="I784" t="str">
        <f t="shared" si="48"/>
        <v>Normal</v>
      </c>
      <c r="J784" t="str">
        <f t="shared" si="49"/>
        <v>Normal</v>
      </c>
      <c r="K784" t="str">
        <f t="shared" si="50"/>
        <v/>
      </c>
    </row>
    <row r="785" spans="1:11" x14ac:dyDescent="0.25">
      <c r="A785">
        <v>8022</v>
      </c>
      <c r="B785">
        <v>139.87601427542299</v>
      </c>
      <c r="C785">
        <v>32.580672807339603</v>
      </c>
      <c r="D785">
        <v>783</v>
      </c>
      <c r="E785">
        <f>VLOOKUP(A785, Athletes_Map!A:B, 2, FALSE)</f>
        <v>741</v>
      </c>
      <c r="F785" t="str">
        <f>VLOOKUP(A785, Athletes_Map!A:C, 3, FALSE)</f>
        <v>Player 741</v>
      </c>
      <c r="G785">
        <v>93</v>
      </c>
      <c r="H785">
        <f t="shared" si="51"/>
        <v>2</v>
      </c>
      <c r="I785" t="str">
        <f t="shared" si="48"/>
        <v>Normal</v>
      </c>
      <c r="J785" t="str">
        <f t="shared" si="49"/>
        <v>Normal</v>
      </c>
      <c r="K785" t="str">
        <f t="shared" si="50"/>
        <v/>
      </c>
    </row>
    <row r="786" spans="1:11" x14ac:dyDescent="0.25">
      <c r="A786">
        <v>8026</v>
      </c>
      <c r="B786">
        <v>138.38721648072101</v>
      </c>
      <c r="C786">
        <v>32.9282086277641</v>
      </c>
      <c r="D786">
        <v>784</v>
      </c>
      <c r="E786">
        <f>VLOOKUP(A786, Athletes_Map!A:B, 2, FALSE)</f>
        <v>742</v>
      </c>
      <c r="F786" t="str">
        <f>VLOOKUP(A786, Athletes_Map!A:C, 3, FALSE)</f>
        <v>Player 742</v>
      </c>
      <c r="G786">
        <v>95</v>
      </c>
      <c r="H786">
        <f t="shared" si="51"/>
        <v>2</v>
      </c>
      <c r="I786" t="str">
        <f t="shared" si="48"/>
        <v>Normal</v>
      </c>
      <c r="J786" t="str">
        <f t="shared" si="49"/>
        <v>Normal</v>
      </c>
      <c r="K786" t="str">
        <f t="shared" si="50"/>
        <v/>
      </c>
    </row>
    <row r="787" spans="1:11" x14ac:dyDescent="0.25">
      <c r="A787">
        <v>8027</v>
      </c>
      <c r="B787">
        <v>177.845407172237</v>
      </c>
      <c r="C787">
        <v>33.940307597758299</v>
      </c>
      <c r="D787">
        <v>785</v>
      </c>
      <c r="E787">
        <f>VLOOKUP(A787, Athletes_Map!A:B, 2, FALSE)</f>
        <v>743</v>
      </c>
      <c r="F787" t="str">
        <f>VLOOKUP(A787, Athletes_Map!A:C, 3, FALSE)</f>
        <v>Player 743</v>
      </c>
      <c r="G787">
        <v>91</v>
      </c>
      <c r="H787">
        <f t="shared" si="51"/>
        <v>3</v>
      </c>
      <c r="I787" t="str">
        <f t="shared" si="48"/>
        <v>Alert</v>
      </c>
      <c r="J787" t="str">
        <f t="shared" si="49"/>
        <v>Heart Rate</v>
      </c>
      <c r="K787">
        <f t="shared" si="50"/>
        <v>177.845407172237</v>
      </c>
    </row>
    <row r="788" spans="1:11" x14ac:dyDescent="0.25">
      <c r="A788">
        <v>8035</v>
      </c>
      <c r="B788">
        <v>144.18360158456801</v>
      </c>
      <c r="C788">
        <v>31.937701576650898</v>
      </c>
      <c r="D788">
        <v>786</v>
      </c>
      <c r="E788">
        <f>VLOOKUP(A788, Athletes_Map!A:B, 2, FALSE)</f>
        <v>744</v>
      </c>
      <c r="F788" t="str">
        <f>VLOOKUP(A788, Athletes_Map!A:C, 3, FALSE)</f>
        <v>Player 744</v>
      </c>
      <c r="G788">
        <v>94</v>
      </c>
      <c r="H788">
        <f t="shared" si="51"/>
        <v>2</v>
      </c>
      <c r="I788" t="str">
        <f t="shared" si="48"/>
        <v>Normal</v>
      </c>
      <c r="J788" t="str">
        <f t="shared" si="49"/>
        <v>Normal</v>
      </c>
      <c r="K788" t="str">
        <f t="shared" si="50"/>
        <v/>
      </c>
    </row>
    <row r="789" spans="1:11" x14ac:dyDescent="0.25">
      <c r="A789">
        <v>8041</v>
      </c>
      <c r="B789">
        <v>137.28455297324001</v>
      </c>
      <c r="C789">
        <v>36.891711563513603</v>
      </c>
      <c r="D789">
        <v>787</v>
      </c>
      <c r="E789">
        <f>VLOOKUP(A789, Athletes_Map!A:B, 2, FALSE)</f>
        <v>745</v>
      </c>
      <c r="F789" t="str">
        <f>VLOOKUP(A789, Athletes_Map!A:C, 3, FALSE)</f>
        <v>Player 745</v>
      </c>
      <c r="G789">
        <v>96</v>
      </c>
      <c r="H789">
        <f t="shared" si="51"/>
        <v>2</v>
      </c>
      <c r="I789" t="str">
        <f t="shared" si="48"/>
        <v>Normal</v>
      </c>
      <c r="J789" t="str">
        <f t="shared" si="49"/>
        <v>Normal</v>
      </c>
      <c r="K789" t="str">
        <f t="shared" si="50"/>
        <v/>
      </c>
    </row>
    <row r="790" spans="1:11" x14ac:dyDescent="0.25">
      <c r="A790">
        <v>8041</v>
      </c>
      <c r="B790">
        <v>160.251682068543</v>
      </c>
      <c r="C790">
        <v>33.001590826481198</v>
      </c>
      <c r="D790">
        <v>788</v>
      </c>
      <c r="E790">
        <f>VLOOKUP(A790, Athletes_Map!A:B, 2, FALSE)</f>
        <v>745</v>
      </c>
      <c r="F790" t="str">
        <f>VLOOKUP(A790, Athletes_Map!A:C, 3, FALSE)</f>
        <v>Player 745</v>
      </c>
      <c r="G790">
        <v>93</v>
      </c>
      <c r="H790">
        <f t="shared" si="51"/>
        <v>3</v>
      </c>
      <c r="I790" t="str">
        <f t="shared" si="48"/>
        <v>Alert</v>
      </c>
      <c r="J790" t="str">
        <f t="shared" si="49"/>
        <v>Heart Rate</v>
      </c>
      <c r="K790">
        <f t="shared" si="50"/>
        <v>160.251682068543</v>
      </c>
    </row>
    <row r="791" spans="1:11" x14ac:dyDescent="0.25">
      <c r="A791">
        <v>8043</v>
      </c>
      <c r="B791">
        <v>158.81292549572601</v>
      </c>
      <c r="C791">
        <v>34.2301309830981</v>
      </c>
      <c r="D791">
        <v>789</v>
      </c>
      <c r="E791">
        <f>VLOOKUP(A791, Athletes_Map!A:B, 2, FALSE)</f>
        <v>746</v>
      </c>
      <c r="F791" t="str">
        <f>VLOOKUP(A791, Athletes_Map!A:C, 3, FALSE)</f>
        <v>Player 746</v>
      </c>
      <c r="G791">
        <v>91</v>
      </c>
      <c r="H791">
        <f t="shared" si="51"/>
        <v>3</v>
      </c>
      <c r="I791" t="str">
        <f t="shared" si="48"/>
        <v>Alert</v>
      </c>
      <c r="J791" t="str">
        <f t="shared" si="49"/>
        <v>Heart Rate</v>
      </c>
      <c r="K791">
        <f t="shared" si="50"/>
        <v>158.81292549572601</v>
      </c>
    </row>
    <row r="792" spans="1:11" x14ac:dyDescent="0.25">
      <c r="A792">
        <v>8056</v>
      </c>
      <c r="B792">
        <v>133.033207464105</v>
      </c>
      <c r="C792">
        <v>33.368377287223403</v>
      </c>
      <c r="D792">
        <v>790</v>
      </c>
      <c r="E792">
        <f>VLOOKUP(A792, Athletes_Map!A:B, 2, FALSE)</f>
        <v>747</v>
      </c>
      <c r="F792" t="str">
        <f>VLOOKUP(A792, Athletes_Map!A:C, 3, FALSE)</f>
        <v>Player 747</v>
      </c>
      <c r="G792">
        <v>96</v>
      </c>
      <c r="H792">
        <f t="shared" si="51"/>
        <v>2</v>
      </c>
      <c r="I792" t="str">
        <f t="shared" si="48"/>
        <v>Normal</v>
      </c>
      <c r="J792" t="str">
        <f t="shared" si="49"/>
        <v>Normal</v>
      </c>
      <c r="K792" t="str">
        <f t="shared" si="50"/>
        <v/>
      </c>
    </row>
    <row r="793" spans="1:11" x14ac:dyDescent="0.25">
      <c r="A793">
        <v>8079</v>
      </c>
      <c r="B793">
        <v>135.760069563364</v>
      </c>
      <c r="C793">
        <v>32.062612346242602</v>
      </c>
      <c r="D793">
        <v>791</v>
      </c>
      <c r="E793">
        <f>VLOOKUP(A793, Athletes_Map!A:B, 2, FALSE)</f>
        <v>748</v>
      </c>
      <c r="F793" t="str">
        <f>VLOOKUP(A793, Athletes_Map!A:C, 3, FALSE)</f>
        <v>Player 748</v>
      </c>
      <c r="G793">
        <v>96</v>
      </c>
      <c r="H793">
        <f t="shared" si="51"/>
        <v>2</v>
      </c>
      <c r="I793" t="str">
        <f t="shared" si="48"/>
        <v>Normal</v>
      </c>
      <c r="J793" t="str">
        <f t="shared" si="49"/>
        <v>Normal</v>
      </c>
      <c r="K793" t="str">
        <f t="shared" si="50"/>
        <v/>
      </c>
    </row>
    <row r="794" spans="1:11" x14ac:dyDescent="0.25">
      <c r="A794">
        <v>8098</v>
      </c>
      <c r="B794">
        <v>148.17088545345601</v>
      </c>
      <c r="C794">
        <v>33.167864679406897</v>
      </c>
      <c r="D794">
        <v>792</v>
      </c>
      <c r="E794">
        <f>VLOOKUP(A794, Athletes_Map!A:B, 2, FALSE)</f>
        <v>749</v>
      </c>
      <c r="F794" t="str">
        <f>VLOOKUP(A794, Athletes_Map!A:C, 3, FALSE)</f>
        <v>Player 749</v>
      </c>
      <c r="G794">
        <v>91</v>
      </c>
      <c r="H794">
        <f t="shared" si="51"/>
        <v>3</v>
      </c>
      <c r="I794" t="str">
        <f t="shared" si="48"/>
        <v>Alert</v>
      </c>
      <c r="J794" t="str">
        <f t="shared" si="49"/>
        <v>Oxygen</v>
      </c>
      <c r="K794">
        <f t="shared" si="50"/>
        <v>91</v>
      </c>
    </row>
    <row r="795" spans="1:11" x14ac:dyDescent="0.25">
      <c r="A795">
        <v>8099</v>
      </c>
      <c r="B795">
        <v>133.861087525578</v>
      </c>
      <c r="C795">
        <v>32.872395596962399</v>
      </c>
      <c r="D795">
        <v>793</v>
      </c>
      <c r="E795">
        <f>VLOOKUP(A795, Athletes_Map!A:B, 2, FALSE)</f>
        <v>750</v>
      </c>
      <c r="F795" t="str">
        <f>VLOOKUP(A795, Athletes_Map!A:C, 3, FALSE)</f>
        <v>Player 750</v>
      </c>
      <c r="G795">
        <v>95</v>
      </c>
      <c r="H795">
        <f t="shared" si="51"/>
        <v>2</v>
      </c>
      <c r="I795" t="str">
        <f t="shared" si="48"/>
        <v>Normal</v>
      </c>
      <c r="J795" t="str">
        <f t="shared" si="49"/>
        <v>Normal</v>
      </c>
      <c r="K795" t="str">
        <f t="shared" si="50"/>
        <v/>
      </c>
    </row>
    <row r="796" spans="1:11" x14ac:dyDescent="0.25">
      <c r="A796">
        <v>8102</v>
      </c>
      <c r="B796">
        <v>142.48113139695101</v>
      </c>
      <c r="C796">
        <v>31.690049793408999</v>
      </c>
      <c r="D796">
        <v>794</v>
      </c>
      <c r="E796">
        <f>VLOOKUP(A796, Athletes_Map!A:B, 2, FALSE)</f>
        <v>751</v>
      </c>
      <c r="F796" t="str">
        <f>VLOOKUP(A796, Athletes_Map!A:C, 3, FALSE)</f>
        <v>Player 751</v>
      </c>
      <c r="G796">
        <v>90</v>
      </c>
      <c r="H796">
        <f t="shared" si="51"/>
        <v>3</v>
      </c>
      <c r="I796" t="str">
        <f t="shared" si="48"/>
        <v>Alert</v>
      </c>
      <c r="J796" t="str">
        <f t="shared" si="49"/>
        <v>Oxygen</v>
      </c>
      <c r="K796">
        <f t="shared" si="50"/>
        <v>90</v>
      </c>
    </row>
    <row r="797" spans="1:11" x14ac:dyDescent="0.25">
      <c r="A797">
        <v>8112</v>
      </c>
      <c r="B797">
        <v>198.86215135689699</v>
      </c>
      <c r="C797">
        <v>32.628420343214302</v>
      </c>
      <c r="D797">
        <v>795</v>
      </c>
      <c r="E797">
        <f>VLOOKUP(A797, Athletes_Map!A:B, 2, FALSE)</f>
        <v>752</v>
      </c>
      <c r="F797" t="str">
        <f>VLOOKUP(A797, Athletes_Map!A:C, 3, FALSE)</f>
        <v>Player 752</v>
      </c>
      <c r="G797">
        <v>91</v>
      </c>
      <c r="H797">
        <f t="shared" si="51"/>
        <v>3</v>
      </c>
      <c r="I797" t="str">
        <f t="shared" si="48"/>
        <v>Alert</v>
      </c>
      <c r="J797" t="str">
        <f t="shared" si="49"/>
        <v>Heart Rate</v>
      </c>
      <c r="K797">
        <f t="shared" si="50"/>
        <v>198.86215135689699</v>
      </c>
    </row>
    <row r="798" spans="1:11" x14ac:dyDescent="0.25">
      <c r="A798">
        <v>8114</v>
      </c>
      <c r="B798">
        <v>123.92823516583999</v>
      </c>
      <c r="C798">
        <v>32.583237253250502</v>
      </c>
      <c r="D798">
        <v>796</v>
      </c>
      <c r="E798">
        <f>VLOOKUP(A798, Athletes_Map!A:B, 2, FALSE)</f>
        <v>753</v>
      </c>
      <c r="F798" t="str">
        <f>VLOOKUP(A798, Athletes_Map!A:C, 3, FALSE)</f>
        <v>Player 753</v>
      </c>
      <c r="G798">
        <v>95</v>
      </c>
      <c r="H798">
        <f t="shared" si="51"/>
        <v>2</v>
      </c>
      <c r="I798" t="str">
        <f t="shared" si="48"/>
        <v>Normal</v>
      </c>
      <c r="J798" t="str">
        <f t="shared" si="49"/>
        <v>Normal</v>
      </c>
      <c r="K798" t="str">
        <f t="shared" si="50"/>
        <v/>
      </c>
    </row>
    <row r="799" spans="1:11" x14ac:dyDescent="0.25">
      <c r="A799">
        <v>8125</v>
      </c>
      <c r="B799">
        <v>139.058460417026</v>
      </c>
      <c r="C799">
        <v>32.457660753705703</v>
      </c>
      <c r="D799">
        <v>797</v>
      </c>
      <c r="E799">
        <f>VLOOKUP(A799, Athletes_Map!A:B, 2, FALSE)</f>
        <v>754</v>
      </c>
      <c r="F799" t="str">
        <f>VLOOKUP(A799, Athletes_Map!A:C, 3, FALSE)</f>
        <v>Player 754</v>
      </c>
      <c r="G799">
        <v>93</v>
      </c>
      <c r="H799">
        <f t="shared" si="51"/>
        <v>2</v>
      </c>
      <c r="I799" t="str">
        <f t="shared" si="48"/>
        <v>Normal</v>
      </c>
      <c r="J799" t="str">
        <f t="shared" si="49"/>
        <v>Normal</v>
      </c>
      <c r="K799" t="str">
        <f t="shared" si="50"/>
        <v/>
      </c>
    </row>
    <row r="800" spans="1:11" x14ac:dyDescent="0.25">
      <c r="A800">
        <v>8140</v>
      </c>
      <c r="B800">
        <v>136.636587170951</v>
      </c>
      <c r="C800">
        <v>34.447929785836699</v>
      </c>
      <c r="D800">
        <v>798</v>
      </c>
      <c r="E800">
        <f>VLOOKUP(A800, Athletes_Map!A:B, 2, FALSE)</f>
        <v>755</v>
      </c>
      <c r="F800" t="str">
        <f>VLOOKUP(A800, Athletes_Map!A:C, 3, FALSE)</f>
        <v>Player 755</v>
      </c>
      <c r="G800">
        <v>95</v>
      </c>
      <c r="H800">
        <f t="shared" si="51"/>
        <v>2</v>
      </c>
      <c r="I800" t="str">
        <f t="shared" si="48"/>
        <v>Normal</v>
      </c>
      <c r="J800" t="str">
        <f t="shared" si="49"/>
        <v>Normal</v>
      </c>
      <c r="K800" t="str">
        <f t="shared" si="50"/>
        <v/>
      </c>
    </row>
    <row r="801" spans="1:11" x14ac:dyDescent="0.25">
      <c r="A801">
        <v>8147</v>
      </c>
      <c r="B801">
        <v>118.448195587025</v>
      </c>
      <c r="C801">
        <v>32.448411873272399</v>
      </c>
      <c r="D801">
        <v>799</v>
      </c>
      <c r="E801">
        <f>VLOOKUP(A801, Athletes_Map!A:B, 2, FALSE)</f>
        <v>756</v>
      </c>
      <c r="F801" t="str">
        <f>VLOOKUP(A801, Athletes_Map!A:C, 3, FALSE)</f>
        <v>Player 756</v>
      </c>
      <c r="G801">
        <v>95</v>
      </c>
      <c r="H801">
        <f t="shared" si="51"/>
        <v>1</v>
      </c>
      <c r="I801" t="str">
        <f t="shared" si="48"/>
        <v>Normal</v>
      </c>
      <c r="J801" t="str">
        <f t="shared" si="49"/>
        <v>Normal</v>
      </c>
      <c r="K801" t="str">
        <f t="shared" si="50"/>
        <v/>
      </c>
    </row>
    <row r="802" spans="1:11" x14ac:dyDescent="0.25">
      <c r="A802">
        <v>8158</v>
      </c>
      <c r="B802">
        <v>147.97419775179199</v>
      </c>
      <c r="C802">
        <v>34.201958190250203</v>
      </c>
      <c r="D802">
        <v>800</v>
      </c>
      <c r="E802">
        <f>VLOOKUP(A802, Athletes_Map!A:B, 2, FALSE)</f>
        <v>757</v>
      </c>
      <c r="F802" t="str">
        <f>VLOOKUP(A802, Athletes_Map!A:C, 3, FALSE)</f>
        <v>Player 757</v>
      </c>
      <c r="G802">
        <v>90</v>
      </c>
      <c r="H802">
        <f t="shared" si="51"/>
        <v>3</v>
      </c>
      <c r="I802" t="str">
        <f t="shared" si="48"/>
        <v>Alert</v>
      </c>
      <c r="J802" t="str">
        <f t="shared" si="49"/>
        <v>Oxygen</v>
      </c>
      <c r="K802">
        <f t="shared" si="50"/>
        <v>90</v>
      </c>
    </row>
    <row r="803" spans="1:11" x14ac:dyDescent="0.25">
      <c r="A803">
        <v>8164</v>
      </c>
      <c r="B803">
        <v>138.00837810287101</v>
      </c>
      <c r="C803">
        <v>34.955570557335299</v>
      </c>
      <c r="D803">
        <v>801</v>
      </c>
      <c r="E803">
        <f>VLOOKUP(A803, Athletes_Map!A:B, 2, FALSE)</f>
        <v>758</v>
      </c>
      <c r="F803" t="str">
        <f>VLOOKUP(A803, Athletes_Map!A:C, 3, FALSE)</f>
        <v>Player 758</v>
      </c>
      <c r="G803">
        <v>96</v>
      </c>
      <c r="H803">
        <f t="shared" si="51"/>
        <v>2</v>
      </c>
      <c r="I803" t="str">
        <f t="shared" si="48"/>
        <v>Normal</v>
      </c>
      <c r="J803" t="str">
        <f t="shared" si="49"/>
        <v>Normal</v>
      </c>
      <c r="K803" t="str">
        <f t="shared" si="50"/>
        <v/>
      </c>
    </row>
    <row r="804" spans="1:11" x14ac:dyDescent="0.25">
      <c r="A804">
        <v>8186</v>
      </c>
      <c r="B804">
        <v>149.02345484621699</v>
      </c>
      <c r="C804">
        <v>33.005075830792897</v>
      </c>
      <c r="D804">
        <v>802</v>
      </c>
      <c r="E804">
        <f>VLOOKUP(A804, Athletes_Map!A:B, 2, FALSE)</f>
        <v>759</v>
      </c>
      <c r="F804" t="str">
        <f>VLOOKUP(A804, Athletes_Map!A:C, 3, FALSE)</f>
        <v>Player 759</v>
      </c>
      <c r="G804">
        <v>91</v>
      </c>
      <c r="H804">
        <f t="shared" si="51"/>
        <v>3</v>
      </c>
      <c r="I804" t="str">
        <f t="shared" si="48"/>
        <v>Alert</v>
      </c>
      <c r="J804" t="str">
        <f t="shared" si="49"/>
        <v>Oxygen</v>
      </c>
      <c r="K804">
        <f t="shared" si="50"/>
        <v>91</v>
      </c>
    </row>
    <row r="805" spans="1:11" x14ac:dyDescent="0.25">
      <c r="A805">
        <v>8186</v>
      </c>
      <c r="B805">
        <v>122.843560258111</v>
      </c>
      <c r="C805">
        <v>32.434421134618603</v>
      </c>
      <c r="D805">
        <v>803</v>
      </c>
      <c r="E805">
        <f>VLOOKUP(A805, Athletes_Map!A:B, 2, FALSE)</f>
        <v>759</v>
      </c>
      <c r="F805" t="str">
        <f>VLOOKUP(A805, Athletes_Map!A:C, 3, FALSE)</f>
        <v>Player 759</v>
      </c>
      <c r="G805">
        <v>96</v>
      </c>
      <c r="H805">
        <f t="shared" si="51"/>
        <v>2</v>
      </c>
      <c r="I805" t="str">
        <f t="shared" si="48"/>
        <v>Normal</v>
      </c>
      <c r="J805" t="str">
        <f t="shared" si="49"/>
        <v>Normal</v>
      </c>
      <c r="K805" t="str">
        <f t="shared" si="50"/>
        <v/>
      </c>
    </row>
    <row r="806" spans="1:11" x14ac:dyDescent="0.25">
      <c r="A806">
        <v>8190</v>
      </c>
      <c r="B806">
        <v>151.769815489032</v>
      </c>
      <c r="C806">
        <v>32.749838147351497</v>
      </c>
      <c r="D806">
        <v>804</v>
      </c>
      <c r="E806">
        <f>VLOOKUP(A806, Athletes_Map!A:B, 2, FALSE)</f>
        <v>760</v>
      </c>
      <c r="F806" t="str">
        <f>VLOOKUP(A806, Athletes_Map!A:C, 3, FALSE)</f>
        <v>Player 760</v>
      </c>
      <c r="G806">
        <v>93</v>
      </c>
      <c r="H806">
        <f t="shared" si="51"/>
        <v>3</v>
      </c>
      <c r="I806" t="str">
        <f t="shared" si="48"/>
        <v>Alert</v>
      </c>
      <c r="J806" t="str">
        <f t="shared" si="49"/>
        <v>Heart Rate</v>
      </c>
      <c r="K806">
        <f t="shared" si="50"/>
        <v>151.769815489032</v>
      </c>
    </row>
    <row r="807" spans="1:11" x14ac:dyDescent="0.25">
      <c r="A807">
        <v>8192</v>
      </c>
      <c r="B807">
        <v>167.840303202727</v>
      </c>
      <c r="C807">
        <v>34.188199486751103</v>
      </c>
      <c r="D807">
        <v>805</v>
      </c>
      <c r="E807">
        <f>VLOOKUP(A807, Athletes_Map!A:B, 2, FALSE)</f>
        <v>761</v>
      </c>
      <c r="F807" t="str">
        <f>VLOOKUP(A807, Athletes_Map!A:C, 3, FALSE)</f>
        <v>Player 761</v>
      </c>
      <c r="G807">
        <v>94</v>
      </c>
      <c r="H807">
        <f t="shared" si="51"/>
        <v>3</v>
      </c>
      <c r="I807" t="str">
        <f t="shared" si="48"/>
        <v>Alert</v>
      </c>
      <c r="J807" t="str">
        <f t="shared" si="49"/>
        <v>Heart Rate</v>
      </c>
      <c r="K807">
        <f t="shared" si="50"/>
        <v>167.840303202727</v>
      </c>
    </row>
    <row r="808" spans="1:11" x14ac:dyDescent="0.25">
      <c r="A808">
        <v>8196</v>
      </c>
      <c r="B808">
        <v>135.41587415350801</v>
      </c>
      <c r="C808">
        <v>33.506136089100998</v>
      </c>
      <c r="D808">
        <v>806</v>
      </c>
      <c r="E808">
        <f>VLOOKUP(A808, Athletes_Map!A:B, 2, FALSE)</f>
        <v>762</v>
      </c>
      <c r="F808" t="str">
        <f>VLOOKUP(A808, Athletes_Map!A:C, 3, FALSE)</f>
        <v>Player 762</v>
      </c>
      <c r="G808">
        <v>96</v>
      </c>
      <c r="H808">
        <f t="shared" si="51"/>
        <v>2</v>
      </c>
      <c r="I808" t="str">
        <f t="shared" si="48"/>
        <v>Normal</v>
      </c>
      <c r="J808" t="str">
        <f t="shared" si="49"/>
        <v>Normal</v>
      </c>
      <c r="K808" t="str">
        <f t="shared" si="50"/>
        <v/>
      </c>
    </row>
    <row r="809" spans="1:11" x14ac:dyDescent="0.25">
      <c r="A809">
        <v>8206</v>
      </c>
      <c r="B809">
        <v>134.92794921818799</v>
      </c>
      <c r="C809">
        <v>33.291458415780298</v>
      </c>
      <c r="D809">
        <v>807</v>
      </c>
      <c r="E809">
        <f>VLOOKUP(A809, Athletes_Map!A:B, 2, FALSE)</f>
        <v>763</v>
      </c>
      <c r="F809" t="str">
        <f>VLOOKUP(A809, Athletes_Map!A:C, 3, FALSE)</f>
        <v>Player 763</v>
      </c>
      <c r="G809">
        <v>93</v>
      </c>
      <c r="H809">
        <f t="shared" si="51"/>
        <v>2</v>
      </c>
      <c r="I809" t="str">
        <f t="shared" si="48"/>
        <v>Normal</v>
      </c>
      <c r="J809" t="str">
        <f t="shared" si="49"/>
        <v>Normal</v>
      </c>
      <c r="K809" t="str">
        <f t="shared" si="50"/>
        <v/>
      </c>
    </row>
    <row r="810" spans="1:11" x14ac:dyDescent="0.25">
      <c r="A810">
        <v>8208</v>
      </c>
      <c r="B810">
        <v>106.866778063035</v>
      </c>
      <c r="C810">
        <v>31.231041441549401</v>
      </c>
      <c r="D810">
        <v>808</v>
      </c>
      <c r="E810">
        <f>VLOOKUP(A810, Athletes_Map!A:B, 2, FALSE)</f>
        <v>764</v>
      </c>
      <c r="F810" t="str">
        <f>VLOOKUP(A810, Athletes_Map!A:C, 3, FALSE)</f>
        <v>Player 764</v>
      </c>
      <c r="G810">
        <v>98</v>
      </c>
      <c r="H810">
        <f t="shared" si="51"/>
        <v>1</v>
      </c>
      <c r="I810" t="str">
        <f t="shared" si="48"/>
        <v>Normal</v>
      </c>
      <c r="J810" t="str">
        <f t="shared" si="49"/>
        <v>Normal</v>
      </c>
      <c r="K810" t="str">
        <f t="shared" si="50"/>
        <v/>
      </c>
    </row>
    <row r="811" spans="1:11" x14ac:dyDescent="0.25">
      <c r="A811">
        <v>8215</v>
      </c>
      <c r="B811">
        <v>171.24897115993801</v>
      </c>
      <c r="C811">
        <v>32.3364949951592</v>
      </c>
      <c r="D811">
        <v>809</v>
      </c>
      <c r="E811">
        <f>VLOOKUP(A811, Athletes_Map!A:B, 2, FALSE)</f>
        <v>765</v>
      </c>
      <c r="F811" t="str">
        <f>VLOOKUP(A811, Athletes_Map!A:C, 3, FALSE)</f>
        <v>Player 765</v>
      </c>
      <c r="G811">
        <v>93</v>
      </c>
      <c r="H811">
        <f t="shared" si="51"/>
        <v>3</v>
      </c>
      <c r="I811" t="str">
        <f t="shared" si="48"/>
        <v>Alert</v>
      </c>
      <c r="J811" t="str">
        <f t="shared" si="49"/>
        <v>Heart Rate</v>
      </c>
      <c r="K811">
        <f t="shared" si="50"/>
        <v>171.24897115993801</v>
      </c>
    </row>
    <row r="812" spans="1:11" x14ac:dyDescent="0.25">
      <c r="A812">
        <v>8239</v>
      </c>
      <c r="B812">
        <v>144.49396465759901</v>
      </c>
      <c r="C812">
        <v>32.442502706261202</v>
      </c>
      <c r="D812">
        <v>810</v>
      </c>
      <c r="E812">
        <f>VLOOKUP(A812, Athletes_Map!A:B, 2, FALSE)</f>
        <v>766</v>
      </c>
      <c r="F812" t="str">
        <f>VLOOKUP(A812, Athletes_Map!A:C, 3, FALSE)</f>
        <v>Player 766</v>
      </c>
      <c r="G812">
        <v>90</v>
      </c>
      <c r="H812">
        <f t="shared" si="51"/>
        <v>3</v>
      </c>
      <c r="I812" t="str">
        <f t="shared" si="48"/>
        <v>Alert</v>
      </c>
      <c r="J812" t="str">
        <f t="shared" si="49"/>
        <v>Oxygen</v>
      </c>
      <c r="K812">
        <f t="shared" si="50"/>
        <v>90</v>
      </c>
    </row>
    <row r="813" spans="1:11" x14ac:dyDescent="0.25">
      <c r="A813">
        <v>8240</v>
      </c>
      <c r="B813">
        <v>140.985851608129</v>
      </c>
      <c r="C813">
        <v>32.514765608771903</v>
      </c>
      <c r="D813">
        <v>811</v>
      </c>
      <c r="E813">
        <f>VLOOKUP(A813, Athletes_Map!A:B, 2, FALSE)</f>
        <v>767</v>
      </c>
      <c r="F813" t="str">
        <f>VLOOKUP(A813, Athletes_Map!A:C, 3, FALSE)</f>
        <v>Player 767</v>
      </c>
      <c r="G813">
        <v>91</v>
      </c>
      <c r="H813">
        <f t="shared" si="51"/>
        <v>3</v>
      </c>
      <c r="I813" t="str">
        <f t="shared" si="48"/>
        <v>Alert</v>
      </c>
      <c r="J813" t="str">
        <f t="shared" si="49"/>
        <v>Oxygen</v>
      </c>
      <c r="K813">
        <f t="shared" si="50"/>
        <v>91</v>
      </c>
    </row>
    <row r="814" spans="1:11" x14ac:dyDescent="0.25">
      <c r="A814">
        <v>8241</v>
      </c>
      <c r="B814">
        <v>119.92070822266599</v>
      </c>
      <c r="C814">
        <v>32.789545852921499</v>
      </c>
      <c r="D814">
        <v>812</v>
      </c>
      <c r="E814">
        <f>VLOOKUP(A814, Athletes_Map!A:B, 2, FALSE)</f>
        <v>768</v>
      </c>
      <c r="F814" t="str">
        <f>VLOOKUP(A814, Athletes_Map!A:C, 3, FALSE)</f>
        <v>Player 768</v>
      </c>
      <c r="G814">
        <v>96</v>
      </c>
      <c r="H814">
        <f t="shared" si="51"/>
        <v>1</v>
      </c>
      <c r="I814" t="str">
        <f t="shared" si="48"/>
        <v>Normal</v>
      </c>
      <c r="J814" t="str">
        <f t="shared" si="49"/>
        <v>Normal</v>
      </c>
      <c r="K814" t="str">
        <f t="shared" si="50"/>
        <v/>
      </c>
    </row>
    <row r="815" spans="1:11" x14ac:dyDescent="0.25">
      <c r="A815">
        <v>8245</v>
      </c>
      <c r="B815">
        <v>140.347846281438</v>
      </c>
      <c r="C815">
        <v>31.8184142581832</v>
      </c>
      <c r="D815">
        <v>813</v>
      </c>
      <c r="E815">
        <f>VLOOKUP(A815, Athletes_Map!A:B, 2, FALSE)</f>
        <v>769</v>
      </c>
      <c r="F815" t="str">
        <f>VLOOKUP(A815, Athletes_Map!A:C, 3, FALSE)</f>
        <v>Player 769</v>
      </c>
      <c r="G815">
        <v>92</v>
      </c>
      <c r="H815">
        <f t="shared" si="51"/>
        <v>2</v>
      </c>
      <c r="I815" t="str">
        <f t="shared" si="48"/>
        <v>Normal</v>
      </c>
      <c r="J815" t="str">
        <f t="shared" si="49"/>
        <v>Normal</v>
      </c>
      <c r="K815" t="str">
        <f t="shared" si="50"/>
        <v/>
      </c>
    </row>
    <row r="816" spans="1:11" x14ac:dyDescent="0.25">
      <c r="A816">
        <v>8253</v>
      </c>
      <c r="B816">
        <v>150.43397421296601</v>
      </c>
      <c r="C816">
        <v>33.899880287308399</v>
      </c>
      <c r="D816">
        <v>814</v>
      </c>
      <c r="E816">
        <f>VLOOKUP(A816, Athletes_Map!A:B, 2, FALSE)</f>
        <v>770</v>
      </c>
      <c r="F816" t="str">
        <f>VLOOKUP(A816, Athletes_Map!A:C, 3, FALSE)</f>
        <v>Player 770</v>
      </c>
      <c r="G816">
        <v>91</v>
      </c>
      <c r="H816">
        <f t="shared" si="51"/>
        <v>3</v>
      </c>
      <c r="I816" t="str">
        <f t="shared" si="48"/>
        <v>Alert</v>
      </c>
      <c r="J816" t="str">
        <f t="shared" si="49"/>
        <v>Heart Rate</v>
      </c>
      <c r="K816">
        <f t="shared" si="50"/>
        <v>150.43397421296601</v>
      </c>
    </row>
    <row r="817" spans="1:11" x14ac:dyDescent="0.25">
      <c r="A817">
        <v>8266</v>
      </c>
      <c r="B817">
        <v>122.220765046209</v>
      </c>
      <c r="C817">
        <v>33.103333041910702</v>
      </c>
      <c r="D817">
        <v>815</v>
      </c>
      <c r="E817">
        <f>VLOOKUP(A817, Athletes_Map!A:B, 2, FALSE)</f>
        <v>771</v>
      </c>
      <c r="F817" t="str">
        <f>VLOOKUP(A817, Athletes_Map!A:C, 3, FALSE)</f>
        <v>Player 771</v>
      </c>
      <c r="G817">
        <v>94</v>
      </c>
      <c r="H817">
        <f t="shared" si="51"/>
        <v>2</v>
      </c>
      <c r="I817" t="str">
        <f t="shared" si="48"/>
        <v>Normal</v>
      </c>
      <c r="J817" t="str">
        <f t="shared" si="49"/>
        <v>Normal</v>
      </c>
      <c r="K817" t="str">
        <f t="shared" si="50"/>
        <v/>
      </c>
    </row>
    <row r="818" spans="1:11" x14ac:dyDescent="0.25">
      <c r="A818">
        <v>8266</v>
      </c>
      <c r="B818">
        <v>108.375340928844</v>
      </c>
      <c r="C818">
        <v>33.243883145503197</v>
      </c>
      <c r="D818">
        <v>816</v>
      </c>
      <c r="E818">
        <f>VLOOKUP(A818, Athletes_Map!A:B, 2, FALSE)</f>
        <v>771</v>
      </c>
      <c r="F818" t="str">
        <f>VLOOKUP(A818, Athletes_Map!A:C, 3, FALSE)</f>
        <v>Player 771</v>
      </c>
      <c r="G818">
        <v>96</v>
      </c>
      <c r="H818">
        <f t="shared" si="51"/>
        <v>1</v>
      </c>
      <c r="I818" t="str">
        <f t="shared" si="48"/>
        <v>Normal</v>
      </c>
      <c r="J818" t="str">
        <f t="shared" si="49"/>
        <v>Normal</v>
      </c>
      <c r="K818" t="str">
        <f t="shared" si="50"/>
        <v/>
      </c>
    </row>
    <row r="819" spans="1:11" x14ac:dyDescent="0.25">
      <c r="A819">
        <v>8270</v>
      </c>
      <c r="B819">
        <v>106.849766105643</v>
      </c>
      <c r="C819">
        <v>32.922373673960898</v>
      </c>
      <c r="D819">
        <v>817</v>
      </c>
      <c r="E819">
        <f>VLOOKUP(A819, Athletes_Map!A:B, 2, FALSE)</f>
        <v>772</v>
      </c>
      <c r="F819" t="str">
        <f>VLOOKUP(A819, Athletes_Map!A:C, 3, FALSE)</f>
        <v>Player 772</v>
      </c>
      <c r="G819">
        <v>96</v>
      </c>
      <c r="H819">
        <f t="shared" si="51"/>
        <v>1</v>
      </c>
      <c r="I819" t="str">
        <f t="shared" si="48"/>
        <v>Normal</v>
      </c>
      <c r="J819" t="str">
        <f t="shared" si="49"/>
        <v>Normal</v>
      </c>
      <c r="K819" t="str">
        <f t="shared" si="50"/>
        <v/>
      </c>
    </row>
    <row r="820" spans="1:11" x14ac:dyDescent="0.25">
      <c r="A820">
        <v>8280</v>
      </c>
      <c r="B820">
        <v>134.306302252264</v>
      </c>
      <c r="C820">
        <v>31.8358508875444</v>
      </c>
      <c r="D820">
        <v>818</v>
      </c>
      <c r="E820">
        <f>VLOOKUP(A820, Athletes_Map!A:B, 2, FALSE)</f>
        <v>773</v>
      </c>
      <c r="F820" t="str">
        <f>VLOOKUP(A820, Athletes_Map!A:C, 3, FALSE)</f>
        <v>Player 773</v>
      </c>
      <c r="G820">
        <v>96</v>
      </c>
      <c r="H820">
        <f t="shared" si="51"/>
        <v>2</v>
      </c>
      <c r="I820" t="str">
        <f t="shared" si="48"/>
        <v>Normal</v>
      </c>
      <c r="J820" t="str">
        <f t="shared" si="49"/>
        <v>Normal</v>
      </c>
      <c r="K820" t="str">
        <f t="shared" si="50"/>
        <v/>
      </c>
    </row>
    <row r="821" spans="1:11" x14ac:dyDescent="0.25">
      <c r="A821">
        <v>8311</v>
      </c>
      <c r="B821">
        <v>92.562902019828101</v>
      </c>
      <c r="C821">
        <v>32.3213083585512</v>
      </c>
      <c r="D821">
        <v>819</v>
      </c>
      <c r="E821">
        <f>VLOOKUP(A821, Athletes_Map!A:B, 2, FALSE)</f>
        <v>774</v>
      </c>
      <c r="F821" t="str">
        <f>VLOOKUP(A821, Athletes_Map!A:C, 3, FALSE)</f>
        <v>Player 774</v>
      </c>
      <c r="G821">
        <v>97</v>
      </c>
      <c r="H821">
        <f t="shared" si="51"/>
        <v>1</v>
      </c>
      <c r="I821" t="str">
        <f t="shared" si="48"/>
        <v>Normal</v>
      </c>
      <c r="J821" t="str">
        <f t="shared" si="49"/>
        <v>Normal</v>
      </c>
      <c r="K821" t="str">
        <f t="shared" si="50"/>
        <v/>
      </c>
    </row>
    <row r="822" spans="1:11" x14ac:dyDescent="0.25">
      <c r="A822">
        <v>8312</v>
      </c>
      <c r="B822">
        <v>159.55337984946499</v>
      </c>
      <c r="C822">
        <v>33.280617630947503</v>
      </c>
      <c r="D822">
        <v>820</v>
      </c>
      <c r="E822">
        <f>VLOOKUP(A822, Athletes_Map!A:B, 2, FALSE)</f>
        <v>775</v>
      </c>
      <c r="F822" t="str">
        <f>VLOOKUP(A822, Athletes_Map!A:C, 3, FALSE)</f>
        <v>Player 775</v>
      </c>
      <c r="G822">
        <v>93</v>
      </c>
      <c r="H822">
        <f t="shared" si="51"/>
        <v>3</v>
      </c>
      <c r="I822" t="str">
        <f t="shared" si="48"/>
        <v>Alert</v>
      </c>
      <c r="J822" t="str">
        <f t="shared" si="49"/>
        <v>Heart Rate</v>
      </c>
      <c r="K822">
        <f t="shared" si="50"/>
        <v>159.55337984946499</v>
      </c>
    </row>
    <row r="823" spans="1:11" x14ac:dyDescent="0.25">
      <c r="A823">
        <v>8326</v>
      </c>
      <c r="B823">
        <v>86.515194794541102</v>
      </c>
      <c r="C823">
        <v>31.924400809689502</v>
      </c>
      <c r="D823">
        <v>821</v>
      </c>
      <c r="E823">
        <f>VLOOKUP(A823, Athletes_Map!A:B, 2, FALSE)</f>
        <v>776</v>
      </c>
      <c r="F823" t="str">
        <f>VLOOKUP(A823, Athletes_Map!A:C, 3, FALSE)</f>
        <v>Player 776</v>
      </c>
      <c r="G823">
        <v>99</v>
      </c>
      <c r="H823">
        <f t="shared" si="51"/>
        <v>1</v>
      </c>
      <c r="I823" t="str">
        <f t="shared" si="48"/>
        <v>Normal</v>
      </c>
      <c r="J823" t="str">
        <f t="shared" si="49"/>
        <v>Normal</v>
      </c>
      <c r="K823" t="str">
        <f t="shared" si="50"/>
        <v/>
      </c>
    </row>
    <row r="824" spans="1:11" x14ac:dyDescent="0.25">
      <c r="A824">
        <v>8330</v>
      </c>
      <c r="B824">
        <v>162.68545637021001</v>
      </c>
      <c r="C824">
        <v>32.643148704908199</v>
      </c>
      <c r="D824">
        <v>822</v>
      </c>
      <c r="E824">
        <f>VLOOKUP(A824, Athletes_Map!A:B, 2, FALSE)</f>
        <v>777</v>
      </c>
      <c r="F824" t="str">
        <f>VLOOKUP(A824, Athletes_Map!A:C, 3, FALSE)</f>
        <v>Player 777</v>
      </c>
      <c r="G824">
        <v>94</v>
      </c>
      <c r="H824">
        <f t="shared" si="51"/>
        <v>3</v>
      </c>
      <c r="I824" t="str">
        <f t="shared" si="48"/>
        <v>Alert</v>
      </c>
      <c r="J824" t="str">
        <f t="shared" si="49"/>
        <v>Heart Rate</v>
      </c>
      <c r="K824">
        <f t="shared" si="50"/>
        <v>162.68545637021001</v>
      </c>
    </row>
    <row r="825" spans="1:11" x14ac:dyDescent="0.25">
      <c r="A825">
        <v>8339</v>
      </c>
      <c r="B825">
        <v>113.59830467347599</v>
      </c>
      <c r="C825">
        <v>34.0961684784208</v>
      </c>
      <c r="D825">
        <v>823</v>
      </c>
      <c r="E825">
        <f>VLOOKUP(A825, Athletes_Map!A:B, 2, FALSE)</f>
        <v>778</v>
      </c>
      <c r="F825" t="str">
        <f>VLOOKUP(A825, Athletes_Map!A:C, 3, FALSE)</f>
        <v>Player 778</v>
      </c>
      <c r="G825">
        <v>94</v>
      </c>
      <c r="H825">
        <f t="shared" si="51"/>
        <v>1</v>
      </c>
      <c r="I825" t="str">
        <f t="shared" si="48"/>
        <v>Normal</v>
      </c>
      <c r="J825" t="str">
        <f t="shared" si="49"/>
        <v>Normal</v>
      </c>
      <c r="K825" t="str">
        <f t="shared" si="50"/>
        <v/>
      </c>
    </row>
    <row r="826" spans="1:11" x14ac:dyDescent="0.25">
      <c r="A826">
        <v>8343</v>
      </c>
      <c r="B826">
        <v>134.04577287716</v>
      </c>
      <c r="C826">
        <v>31.651807160112401</v>
      </c>
      <c r="D826">
        <v>824</v>
      </c>
      <c r="E826">
        <f>VLOOKUP(A826, Athletes_Map!A:B, 2, FALSE)</f>
        <v>779</v>
      </c>
      <c r="F826" t="str">
        <f>VLOOKUP(A826, Athletes_Map!A:C, 3, FALSE)</f>
        <v>Player 779</v>
      </c>
      <c r="G826">
        <v>94</v>
      </c>
      <c r="H826">
        <f t="shared" si="51"/>
        <v>2</v>
      </c>
      <c r="I826" t="str">
        <f t="shared" si="48"/>
        <v>Normal</v>
      </c>
      <c r="J826" t="str">
        <f t="shared" si="49"/>
        <v>Normal</v>
      </c>
      <c r="K826" t="str">
        <f t="shared" si="50"/>
        <v/>
      </c>
    </row>
    <row r="827" spans="1:11" x14ac:dyDescent="0.25">
      <c r="A827">
        <v>8350</v>
      </c>
      <c r="B827">
        <v>146.58582999202099</v>
      </c>
      <c r="C827">
        <v>32.010465299478199</v>
      </c>
      <c r="D827">
        <v>825</v>
      </c>
      <c r="E827">
        <f>VLOOKUP(A827, Athletes_Map!A:B, 2, FALSE)</f>
        <v>780</v>
      </c>
      <c r="F827" t="str">
        <f>VLOOKUP(A827, Athletes_Map!A:C, 3, FALSE)</f>
        <v>Player 780</v>
      </c>
      <c r="G827">
        <v>90</v>
      </c>
      <c r="H827">
        <f t="shared" si="51"/>
        <v>3</v>
      </c>
      <c r="I827" t="str">
        <f t="shared" si="48"/>
        <v>Alert</v>
      </c>
      <c r="J827" t="str">
        <f t="shared" si="49"/>
        <v>Oxygen</v>
      </c>
      <c r="K827">
        <f t="shared" si="50"/>
        <v>90</v>
      </c>
    </row>
    <row r="828" spans="1:11" x14ac:dyDescent="0.25">
      <c r="A828">
        <v>8357</v>
      </c>
      <c r="B828">
        <v>119.91448299961201</v>
      </c>
      <c r="C828">
        <v>35.158470022021497</v>
      </c>
      <c r="D828">
        <v>826</v>
      </c>
      <c r="E828">
        <f>VLOOKUP(A828, Athletes_Map!A:B, 2, FALSE)</f>
        <v>781</v>
      </c>
      <c r="F828" t="str">
        <f>VLOOKUP(A828, Athletes_Map!A:C, 3, FALSE)</f>
        <v>Player 781</v>
      </c>
      <c r="G828">
        <v>96</v>
      </c>
      <c r="H828">
        <f t="shared" si="51"/>
        <v>1</v>
      </c>
      <c r="I828" t="str">
        <f t="shared" si="48"/>
        <v>Normal</v>
      </c>
      <c r="J828" t="str">
        <f t="shared" si="49"/>
        <v>Normal</v>
      </c>
      <c r="K828" t="str">
        <f t="shared" si="50"/>
        <v/>
      </c>
    </row>
    <row r="829" spans="1:11" x14ac:dyDescent="0.25">
      <c r="A829">
        <v>8385</v>
      </c>
      <c r="B829">
        <v>133.511331417999</v>
      </c>
      <c r="C829">
        <v>30.509294389105701</v>
      </c>
      <c r="D829">
        <v>827</v>
      </c>
      <c r="E829">
        <f>VLOOKUP(A829, Athletes_Map!A:B, 2, FALSE)</f>
        <v>782</v>
      </c>
      <c r="F829" t="str">
        <f>VLOOKUP(A829, Athletes_Map!A:C, 3, FALSE)</f>
        <v>Player 782</v>
      </c>
      <c r="G829">
        <v>93</v>
      </c>
      <c r="H829">
        <f t="shared" si="51"/>
        <v>2</v>
      </c>
      <c r="I829" t="str">
        <f t="shared" si="48"/>
        <v>Normal</v>
      </c>
      <c r="J829" t="str">
        <f t="shared" si="49"/>
        <v>Normal</v>
      </c>
      <c r="K829" t="str">
        <f t="shared" si="50"/>
        <v/>
      </c>
    </row>
    <row r="830" spans="1:11" x14ac:dyDescent="0.25">
      <c r="A830">
        <v>8390</v>
      </c>
      <c r="B830">
        <v>136.536437821205</v>
      </c>
      <c r="C830">
        <v>31.154898244260899</v>
      </c>
      <c r="D830">
        <v>828</v>
      </c>
      <c r="E830">
        <f>VLOOKUP(A830, Athletes_Map!A:B, 2, FALSE)</f>
        <v>783</v>
      </c>
      <c r="F830" t="str">
        <f>VLOOKUP(A830, Athletes_Map!A:C, 3, FALSE)</f>
        <v>Player 783</v>
      </c>
      <c r="G830">
        <v>93</v>
      </c>
      <c r="H830">
        <f t="shared" si="51"/>
        <v>2</v>
      </c>
      <c r="I830" t="str">
        <f t="shared" si="48"/>
        <v>Normal</v>
      </c>
      <c r="J830" t="str">
        <f t="shared" si="49"/>
        <v>Normal</v>
      </c>
      <c r="K830" t="str">
        <f t="shared" si="50"/>
        <v/>
      </c>
    </row>
    <row r="831" spans="1:11" x14ac:dyDescent="0.25">
      <c r="A831">
        <v>8392</v>
      </c>
      <c r="B831">
        <v>163.939557687074</v>
      </c>
      <c r="C831">
        <v>31.9722021151089</v>
      </c>
      <c r="D831">
        <v>829</v>
      </c>
      <c r="E831">
        <f>VLOOKUP(A831, Athletes_Map!A:B, 2, FALSE)</f>
        <v>784</v>
      </c>
      <c r="F831" t="str">
        <f>VLOOKUP(A831, Athletes_Map!A:C, 3, FALSE)</f>
        <v>Player 784</v>
      </c>
      <c r="G831">
        <v>94</v>
      </c>
      <c r="H831">
        <f t="shared" si="51"/>
        <v>3</v>
      </c>
      <c r="I831" t="str">
        <f t="shared" si="48"/>
        <v>Alert</v>
      </c>
      <c r="J831" t="str">
        <f t="shared" si="49"/>
        <v>Heart Rate</v>
      </c>
      <c r="K831">
        <f t="shared" si="50"/>
        <v>163.939557687074</v>
      </c>
    </row>
    <row r="832" spans="1:11" x14ac:dyDescent="0.25">
      <c r="A832">
        <v>8392</v>
      </c>
      <c r="B832">
        <v>112.545559568754</v>
      </c>
      <c r="C832">
        <v>34.174667470268098</v>
      </c>
      <c r="D832">
        <v>830</v>
      </c>
      <c r="E832">
        <f>VLOOKUP(A832, Athletes_Map!A:B, 2, FALSE)</f>
        <v>784</v>
      </c>
      <c r="F832" t="str">
        <f>VLOOKUP(A832, Athletes_Map!A:C, 3, FALSE)</f>
        <v>Player 784</v>
      </c>
      <c r="G832">
        <v>96</v>
      </c>
      <c r="H832">
        <f t="shared" si="51"/>
        <v>1</v>
      </c>
      <c r="I832" t="str">
        <f t="shared" si="48"/>
        <v>Normal</v>
      </c>
      <c r="J832" t="str">
        <f t="shared" si="49"/>
        <v>Normal</v>
      </c>
      <c r="K832" t="str">
        <f t="shared" si="50"/>
        <v/>
      </c>
    </row>
    <row r="833" spans="1:11" x14ac:dyDescent="0.25">
      <c r="A833">
        <v>8400</v>
      </c>
      <c r="B833">
        <v>131.65763839366201</v>
      </c>
      <c r="C833">
        <v>34.6721454330293</v>
      </c>
      <c r="D833">
        <v>831</v>
      </c>
      <c r="E833">
        <f>VLOOKUP(A833, Athletes_Map!A:B, 2, FALSE)</f>
        <v>785</v>
      </c>
      <c r="F833" t="str">
        <f>VLOOKUP(A833, Athletes_Map!A:C, 3, FALSE)</f>
        <v>Player 785</v>
      </c>
      <c r="G833">
        <v>95</v>
      </c>
      <c r="H833">
        <f t="shared" si="51"/>
        <v>2</v>
      </c>
      <c r="I833" t="str">
        <f t="shared" si="48"/>
        <v>Normal</v>
      </c>
      <c r="J833" t="str">
        <f t="shared" si="49"/>
        <v>Normal</v>
      </c>
      <c r="K833" t="str">
        <f t="shared" si="50"/>
        <v/>
      </c>
    </row>
    <row r="834" spans="1:11" x14ac:dyDescent="0.25">
      <c r="A834">
        <v>8400</v>
      </c>
      <c r="B834">
        <v>162.51413626623199</v>
      </c>
      <c r="C834">
        <v>34.966031678725102</v>
      </c>
      <c r="D834">
        <v>832</v>
      </c>
      <c r="E834">
        <f>VLOOKUP(A834, Athletes_Map!A:B, 2, FALSE)</f>
        <v>785</v>
      </c>
      <c r="F834" t="str">
        <f>VLOOKUP(A834, Athletes_Map!A:C, 3, FALSE)</f>
        <v>Player 785</v>
      </c>
      <c r="G834">
        <v>92</v>
      </c>
      <c r="H834">
        <f t="shared" si="51"/>
        <v>3</v>
      </c>
      <c r="I834" t="str">
        <f t="shared" ref="I834:I897" si="52">IF(H834=3, "Alert", "Normal")</f>
        <v>Alert</v>
      </c>
      <c r="J834" t="str">
        <f t="shared" ref="J834:J897" si="53">IF(B834&gt;150,"Heart Rate",
IF(C834&gt;37.5,"Temperature",
IF(G834&lt;92,"Oxygen","Normal")))</f>
        <v>Heart Rate</v>
      </c>
      <c r="K834">
        <f t="shared" ref="K834:K897" si="54">IF(J834="Heart Rate",B834,IF(J834="Temperature",C834,IF(J834="Oxygen",G834,"")))</f>
        <v>162.51413626623199</v>
      </c>
    </row>
    <row r="835" spans="1:11" x14ac:dyDescent="0.25">
      <c r="A835">
        <v>8404</v>
      </c>
      <c r="B835">
        <v>122.488745969809</v>
      </c>
      <c r="C835">
        <v>32.114331499606301</v>
      </c>
      <c r="D835">
        <v>833</v>
      </c>
      <c r="E835">
        <f>VLOOKUP(A835, Athletes_Map!A:B, 2, FALSE)</f>
        <v>786</v>
      </c>
      <c r="F835" t="str">
        <f>VLOOKUP(A835, Athletes_Map!A:C, 3, FALSE)</f>
        <v>Player 786</v>
      </c>
      <c r="G835">
        <v>94</v>
      </c>
      <c r="H835">
        <f t="shared" ref="H835:H898" si="55">IF(OR(B835&gt;150, C835&gt;37.5, G835&lt;92), 3,
IF(OR(B835&gt;120, C835&gt;37, G835&lt;94), 2,
1))</f>
        <v>2</v>
      </c>
      <c r="I835" t="str">
        <f t="shared" si="52"/>
        <v>Normal</v>
      </c>
      <c r="J835" t="str">
        <f t="shared" si="53"/>
        <v>Normal</v>
      </c>
      <c r="K835" t="str">
        <f t="shared" si="54"/>
        <v/>
      </c>
    </row>
    <row r="836" spans="1:11" x14ac:dyDescent="0.25">
      <c r="A836">
        <v>8408</v>
      </c>
      <c r="B836">
        <v>140.43157674390699</v>
      </c>
      <c r="C836">
        <v>33.308638764427101</v>
      </c>
      <c r="D836">
        <v>834</v>
      </c>
      <c r="E836">
        <f>VLOOKUP(A836, Athletes_Map!A:B, 2, FALSE)</f>
        <v>787</v>
      </c>
      <c r="F836" t="str">
        <f>VLOOKUP(A836, Athletes_Map!A:C, 3, FALSE)</f>
        <v>Player 787</v>
      </c>
      <c r="G836">
        <v>91</v>
      </c>
      <c r="H836">
        <f t="shared" si="55"/>
        <v>3</v>
      </c>
      <c r="I836" t="str">
        <f t="shared" si="52"/>
        <v>Alert</v>
      </c>
      <c r="J836" t="str">
        <f t="shared" si="53"/>
        <v>Oxygen</v>
      </c>
      <c r="K836">
        <f t="shared" si="54"/>
        <v>91</v>
      </c>
    </row>
    <row r="837" spans="1:11" x14ac:dyDescent="0.25">
      <c r="A837">
        <v>8409</v>
      </c>
      <c r="B837">
        <v>147.182762418143</v>
      </c>
      <c r="C837">
        <v>32.371522436674297</v>
      </c>
      <c r="D837">
        <v>835</v>
      </c>
      <c r="E837">
        <f>VLOOKUP(A837, Athletes_Map!A:B, 2, FALSE)</f>
        <v>788</v>
      </c>
      <c r="F837" t="str">
        <f>VLOOKUP(A837, Athletes_Map!A:C, 3, FALSE)</f>
        <v>Player 788</v>
      </c>
      <c r="G837">
        <v>90</v>
      </c>
      <c r="H837">
        <f t="shared" si="55"/>
        <v>3</v>
      </c>
      <c r="I837" t="str">
        <f t="shared" si="52"/>
        <v>Alert</v>
      </c>
      <c r="J837" t="str">
        <f t="shared" si="53"/>
        <v>Oxygen</v>
      </c>
      <c r="K837">
        <f t="shared" si="54"/>
        <v>90</v>
      </c>
    </row>
    <row r="838" spans="1:11" x14ac:dyDescent="0.25">
      <c r="A838">
        <v>8418</v>
      </c>
      <c r="B838">
        <v>113.153744706548</v>
      </c>
      <c r="C838">
        <v>31.369711181690999</v>
      </c>
      <c r="D838">
        <v>836</v>
      </c>
      <c r="E838">
        <f>VLOOKUP(A838, Athletes_Map!A:B, 2, FALSE)</f>
        <v>789</v>
      </c>
      <c r="F838" t="str">
        <f>VLOOKUP(A838, Athletes_Map!A:C, 3, FALSE)</f>
        <v>Player 789</v>
      </c>
      <c r="G838">
        <v>95</v>
      </c>
      <c r="H838">
        <f t="shared" si="55"/>
        <v>1</v>
      </c>
      <c r="I838" t="str">
        <f t="shared" si="52"/>
        <v>Normal</v>
      </c>
      <c r="J838" t="str">
        <f t="shared" si="53"/>
        <v>Normal</v>
      </c>
      <c r="K838" t="str">
        <f t="shared" si="54"/>
        <v/>
      </c>
    </row>
    <row r="839" spans="1:11" x14ac:dyDescent="0.25">
      <c r="A839">
        <v>8419</v>
      </c>
      <c r="B839">
        <v>103.140125329366</v>
      </c>
      <c r="C839">
        <v>30.135684155765102</v>
      </c>
      <c r="D839">
        <v>837</v>
      </c>
      <c r="E839">
        <f>VLOOKUP(A839, Athletes_Map!A:B, 2, FALSE)</f>
        <v>790</v>
      </c>
      <c r="F839" t="str">
        <f>VLOOKUP(A839, Athletes_Map!A:C, 3, FALSE)</f>
        <v>Player 790</v>
      </c>
      <c r="G839">
        <v>97</v>
      </c>
      <c r="H839">
        <f t="shared" si="55"/>
        <v>1</v>
      </c>
      <c r="I839" t="str">
        <f t="shared" si="52"/>
        <v>Normal</v>
      </c>
      <c r="J839" t="str">
        <f t="shared" si="53"/>
        <v>Normal</v>
      </c>
      <c r="K839" t="str">
        <f t="shared" si="54"/>
        <v/>
      </c>
    </row>
    <row r="840" spans="1:11" x14ac:dyDescent="0.25">
      <c r="A840">
        <v>8421</v>
      </c>
      <c r="B840">
        <v>158.21653574756999</v>
      </c>
      <c r="C840">
        <v>33.356693128056101</v>
      </c>
      <c r="D840">
        <v>838</v>
      </c>
      <c r="E840">
        <f>VLOOKUP(A840, Athletes_Map!A:B, 2, FALSE)</f>
        <v>791</v>
      </c>
      <c r="F840" t="str">
        <f>VLOOKUP(A840, Athletes_Map!A:C, 3, FALSE)</f>
        <v>Player 791</v>
      </c>
      <c r="G840">
        <v>93</v>
      </c>
      <c r="H840">
        <f t="shared" si="55"/>
        <v>3</v>
      </c>
      <c r="I840" t="str">
        <f t="shared" si="52"/>
        <v>Alert</v>
      </c>
      <c r="J840" t="str">
        <f t="shared" si="53"/>
        <v>Heart Rate</v>
      </c>
      <c r="K840">
        <f t="shared" si="54"/>
        <v>158.21653574756999</v>
      </c>
    </row>
    <row r="841" spans="1:11" x14ac:dyDescent="0.25">
      <c r="A841">
        <v>8449</v>
      </c>
      <c r="B841">
        <v>142.86635678788701</v>
      </c>
      <c r="C841">
        <v>31.840094530817598</v>
      </c>
      <c r="D841">
        <v>839</v>
      </c>
      <c r="E841">
        <f>VLOOKUP(A841, Athletes_Map!A:B, 2, FALSE)</f>
        <v>792</v>
      </c>
      <c r="F841" t="str">
        <f>VLOOKUP(A841, Athletes_Map!A:C, 3, FALSE)</f>
        <v>Player 792</v>
      </c>
      <c r="G841">
        <v>92</v>
      </c>
      <c r="H841">
        <f t="shared" si="55"/>
        <v>2</v>
      </c>
      <c r="I841" t="str">
        <f t="shared" si="52"/>
        <v>Normal</v>
      </c>
      <c r="J841" t="str">
        <f t="shared" si="53"/>
        <v>Normal</v>
      </c>
      <c r="K841" t="str">
        <f t="shared" si="54"/>
        <v/>
      </c>
    </row>
    <row r="842" spans="1:11" x14ac:dyDescent="0.25">
      <c r="A842">
        <v>8455</v>
      </c>
      <c r="B842">
        <v>121.94752041395201</v>
      </c>
      <c r="C842">
        <v>33.104037239297199</v>
      </c>
      <c r="D842">
        <v>840</v>
      </c>
      <c r="E842">
        <f>VLOOKUP(A842, Athletes_Map!A:B, 2, FALSE)</f>
        <v>793</v>
      </c>
      <c r="F842" t="str">
        <f>VLOOKUP(A842, Athletes_Map!A:C, 3, FALSE)</f>
        <v>Player 793</v>
      </c>
      <c r="G842">
        <v>95</v>
      </c>
      <c r="H842">
        <f t="shared" si="55"/>
        <v>2</v>
      </c>
      <c r="I842" t="str">
        <f t="shared" si="52"/>
        <v>Normal</v>
      </c>
      <c r="J842" t="str">
        <f t="shared" si="53"/>
        <v>Normal</v>
      </c>
      <c r="K842" t="str">
        <f t="shared" si="54"/>
        <v/>
      </c>
    </row>
    <row r="843" spans="1:11" x14ac:dyDescent="0.25">
      <c r="A843">
        <v>8483</v>
      </c>
      <c r="B843">
        <v>119.600535378827</v>
      </c>
      <c r="C843">
        <v>35.635467770583297</v>
      </c>
      <c r="D843">
        <v>841</v>
      </c>
      <c r="E843">
        <f>VLOOKUP(A843, Athletes_Map!A:B, 2, FALSE)</f>
        <v>794</v>
      </c>
      <c r="F843" t="str">
        <f>VLOOKUP(A843, Athletes_Map!A:C, 3, FALSE)</f>
        <v>Player 794</v>
      </c>
      <c r="G843">
        <v>95</v>
      </c>
      <c r="H843">
        <f t="shared" si="55"/>
        <v>1</v>
      </c>
      <c r="I843" t="str">
        <f t="shared" si="52"/>
        <v>Normal</v>
      </c>
      <c r="J843" t="str">
        <f t="shared" si="53"/>
        <v>Normal</v>
      </c>
      <c r="K843" t="str">
        <f t="shared" si="54"/>
        <v/>
      </c>
    </row>
    <row r="844" spans="1:11" x14ac:dyDescent="0.25">
      <c r="A844">
        <v>8489</v>
      </c>
      <c r="B844">
        <v>110.51403527421201</v>
      </c>
      <c r="C844">
        <v>35.219234569663598</v>
      </c>
      <c r="D844">
        <v>842</v>
      </c>
      <c r="E844">
        <f>VLOOKUP(A844, Athletes_Map!A:B, 2, FALSE)</f>
        <v>795</v>
      </c>
      <c r="F844" t="str">
        <f>VLOOKUP(A844, Athletes_Map!A:C, 3, FALSE)</f>
        <v>Player 795</v>
      </c>
      <c r="G844">
        <v>94</v>
      </c>
      <c r="H844">
        <f t="shared" si="55"/>
        <v>1</v>
      </c>
      <c r="I844" t="str">
        <f t="shared" si="52"/>
        <v>Normal</v>
      </c>
      <c r="J844" t="str">
        <f t="shared" si="53"/>
        <v>Normal</v>
      </c>
      <c r="K844" t="str">
        <f t="shared" si="54"/>
        <v/>
      </c>
    </row>
    <row r="845" spans="1:11" x14ac:dyDescent="0.25">
      <c r="A845">
        <v>8494</v>
      </c>
      <c r="B845">
        <v>137.107510122919</v>
      </c>
      <c r="C845">
        <v>33.474958618451602</v>
      </c>
      <c r="D845">
        <v>843</v>
      </c>
      <c r="E845">
        <f>VLOOKUP(A845, Athletes_Map!A:B, 2, FALSE)</f>
        <v>796</v>
      </c>
      <c r="F845" t="str">
        <f>VLOOKUP(A845, Athletes_Map!A:C, 3, FALSE)</f>
        <v>Player 796</v>
      </c>
      <c r="G845">
        <v>94</v>
      </c>
      <c r="H845">
        <f t="shared" si="55"/>
        <v>2</v>
      </c>
      <c r="I845" t="str">
        <f t="shared" si="52"/>
        <v>Normal</v>
      </c>
      <c r="J845" t="str">
        <f t="shared" si="53"/>
        <v>Normal</v>
      </c>
      <c r="K845" t="str">
        <f t="shared" si="54"/>
        <v/>
      </c>
    </row>
    <row r="846" spans="1:11" x14ac:dyDescent="0.25">
      <c r="A846">
        <v>8509</v>
      </c>
      <c r="B846">
        <v>138.95199209384799</v>
      </c>
      <c r="C846">
        <v>31.3133243353724</v>
      </c>
      <c r="D846">
        <v>844</v>
      </c>
      <c r="E846">
        <f>VLOOKUP(A846, Athletes_Map!A:B, 2, FALSE)</f>
        <v>797</v>
      </c>
      <c r="F846" t="str">
        <f>VLOOKUP(A846, Athletes_Map!A:C, 3, FALSE)</f>
        <v>Player 797</v>
      </c>
      <c r="G846">
        <v>96</v>
      </c>
      <c r="H846">
        <f t="shared" si="55"/>
        <v>2</v>
      </c>
      <c r="I846" t="str">
        <f t="shared" si="52"/>
        <v>Normal</v>
      </c>
      <c r="J846" t="str">
        <f t="shared" si="53"/>
        <v>Normal</v>
      </c>
      <c r="K846" t="str">
        <f t="shared" si="54"/>
        <v/>
      </c>
    </row>
    <row r="847" spans="1:11" x14ac:dyDescent="0.25">
      <c r="A847">
        <v>8513</v>
      </c>
      <c r="B847">
        <v>134.24730595150299</v>
      </c>
      <c r="C847">
        <v>34.215164891572798</v>
      </c>
      <c r="D847">
        <v>845</v>
      </c>
      <c r="E847">
        <f>VLOOKUP(A847, Athletes_Map!A:B, 2, FALSE)</f>
        <v>798</v>
      </c>
      <c r="F847" t="str">
        <f>VLOOKUP(A847, Athletes_Map!A:C, 3, FALSE)</f>
        <v>Player 798</v>
      </c>
      <c r="G847">
        <v>96</v>
      </c>
      <c r="H847">
        <f t="shared" si="55"/>
        <v>2</v>
      </c>
      <c r="I847" t="str">
        <f t="shared" si="52"/>
        <v>Normal</v>
      </c>
      <c r="J847" t="str">
        <f t="shared" si="53"/>
        <v>Normal</v>
      </c>
      <c r="K847" t="str">
        <f t="shared" si="54"/>
        <v/>
      </c>
    </row>
    <row r="848" spans="1:11" x14ac:dyDescent="0.25">
      <c r="A848">
        <v>8526</v>
      </c>
      <c r="B848">
        <v>140.341005317385</v>
      </c>
      <c r="C848">
        <v>32.540619372464398</v>
      </c>
      <c r="D848">
        <v>846</v>
      </c>
      <c r="E848">
        <f>VLOOKUP(A848, Athletes_Map!A:B, 2, FALSE)</f>
        <v>799</v>
      </c>
      <c r="F848" t="str">
        <f>VLOOKUP(A848, Athletes_Map!A:C, 3, FALSE)</f>
        <v>Player 799</v>
      </c>
      <c r="G848">
        <v>93</v>
      </c>
      <c r="H848">
        <f t="shared" si="55"/>
        <v>2</v>
      </c>
      <c r="I848" t="str">
        <f t="shared" si="52"/>
        <v>Normal</v>
      </c>
      <c r="J848" t="str">
        <f t="shared" si="53"/>
        <v>Normal</v>
      </c>
      <c r="K848" t="str">
        <f t="shared" si="54"/>
        <v/>
      </c>
    </row>
    <row r="849" spans="1:11" x14ac:dyDescent="0.25">
      <c r="A849">
        <v>8543</v>
      </c>
      <c r="B849">
        <v>139.34865746359401</v>
      </c>
      <c r="C849">
        <v>32.067154218184903</v>
      </c>
      <c r="D849">
        <v>847</v>
      </c>
      <c r="E849">
        <f>VLOOKUP(A849, Athletes_Map!A:B, 2, FALSE)</f>
        <v>800</v>
      </c>
      <c r="F849" t="str">
        <f>VLOOKUP(A849, Athletes_Map!A:C, 3, FALSE)</f>
        <v>Player 800</v>
      </c>
      <c r="G849">
        <v>93</v>
      </c>
      <c r="H849">
        <f t="shared" si="55"/>
        <v>2</v>
      </c>
      <c r="I849" t="str">
        <f t="shared" si="52"/>
        <v>Normal</v>
      </c>
      <c r="J849" t="str">
        <f t="shared" si="53"/>
        <v>Normal</v>
      </c>
      <c r="K849" t="str">
        <f t="shared" si="54"/>
        <v/>
      </c>
    </row>
    <row r="850" spans="1:11" x14ac:dyDescent="0.25">
      <c r="A850">
        <v>8546</v>
      </c>
      <c r="B850">
        <v>114.516263513415</v>
      </c>
      <c r="C850">
        <v>33.418010087095297</v>
      </c>
      <c r="D850">
        <v>848</v>
      </c>
      <c r="E850">
        <f>VLOOKUP(A850, Athletes_Map!A:B, 2, FALSE)</f>
        <v>801</v>
      </c>
      <c r="F850" t="str">
        <f>VLOOKUP(A850, Athletes_Map!A:C, 3, FALSE)</f>
        <v>Player 801</v>
      </c>
      <c r="G850">
        <v>94</v>
      </c>
      <c r="H850">
        <f t="shared" si="55"/>
        <v>1</v>
      </c>
      <c r="I850" t="str">
        <f t="shared" si="52"/>
        <v>Normal</v>
      </c>
      <c r="J850" t="str">
        <f t="shared" si="53"/>
        <v>Normal</v>
      </c>
      <c r="K850" t="str">
        <f t="shared" si="54"/>
        <v/>
      </c>
    </row>
    <row r="851" spans="1:11" x14ac:dyDescent="0.25">
      <c r="A851">
        <v>8554</v>
      </c>
      <c r="B851">
        <v>119.644048697917</v>
      </c>
      <c r="C851">
        <v>31.292430089685901</v>
      </c>
      <c r="D851">
        <v>849</v>
      </c>
      <c r="E851">
        <f>VLOOKUP(A851, Athletes_Map!A:B, 2, FALSE)</f>
        <v>802</v>
      </c>
      <c r="F851" t="str">
        <f>VLOOKUP(A851, Athletes_Map!A:C, 3, FALSE)</f>
        <v>Player 802</v>
      </c>
      <c r="G851">
        <v>95</v>
      </c>
      <c r="H851">
        <f t="shared" si="55"/>
        <v>1</v>
      </c>
      <c r="I851" t="str">
        <f t="shared" si="52"/>
        <v>Normal</v>
      </c>
      <c r="J851" t="str">
        <f t="shared" si="53"/>
        <v>Normal</v>
      </c>
      <c r="K851" t="str">
        <f t="shared" si="54"/>
        <v/>
      </c>
    </row>
    <row r="852" spans="1:11" x14ac:dyDescent="0.25">
      <c r="A852">
        <v>8555</v>
      </c>
      <c r="B852">
        <v>131.32033327294599</v>
      </c>
      <c r="C852">
        <v>33.699285099808598</v>
      </c>
      <c r="D852">
        <v>850</v>
      </c>
      <c r="E852">
        <f>VLOOKUP(A852, Athletes_Map!A:B, 2, FALSE)</f>
        <v>803</v>
      </c>
      <c r="F852" t="str">
        <f>VLOOKUP(A852, Athletes_Map!A:C, 3, FALSE)</f>
        <v>Player 803</v>
      </c>
      <c r="G852">
        <v>95</v>
      </c>
      <c r="H852">
        <f t="shared" si="55"/>
        <v>2</v>
      </c>
      <c r="I852" t="str">
        <f t="shared" si="52"/>
        <v>Normal</v>
      </c>
      <c r="J852" t="str">
        <f t="shared" si="53"/>
        <v>Normal</v>
      </c>
      <c r="K852" t="str">
        <f t="shared" si="54"/>
        <v/>
      </c>
    </row>
    <row r="853" spans="1:11" x14ac:dyDescent="0.25">
      <c r="A853">
        <v>8560</v>
      </c>
      <c r="B853">
        <v>115.660477137415</v>
      </c>
      <c r="C853">
        <v>36.7824680814145</v>
      </c>
      <c r="D853">
        <v>851</v>
      </c>
      <c r="E853">
        <f>VLOOKUP(A853, Athletes_Map!A:B, 2, FALSE)</f>
        <v>804</v>
      </c>
      <c r="F853" t="str">
        <f>VLOOKUP(A853, Athletes_Map!A:C, 3, FALSE)</f>
        <v>Player 804</v>
      </c>
      <c r="G853">
        <v>95</v>
      </c>
      <c r="H853">
        <f t="shared" si="55"/>
        <v>1</v>
      </c>
      <c r="I853" t="str">
        <f t="shared" si="52"/>
        <v>Normal</v>
      </c>
      <c r="J853" t="str">
        <f t="shared" si="53"/>
        <v>Normal</v>
      </c>
      <c r="K853" t="str">
        <f t="shared" si="54"/>
        <v/>
      </c>
    </row>
    <row r="854" spans="1:11" x14ac:dyDescent="0.25">
      <c r="A854">
        <v>8560</v>
      </c>
      <c r="B854">
        <v>125.822314742621</v>
      </c>
      <c r="C854">
        <v>33.919053935376702</v>
      </c>
      <c r="D854">
        <v>852</v>
      </c>
      <c r="E854">
        <f>VLOOKUP(A854, Athletes_Map!A:B, 2, FALSE)</f>
        <v>804</v>
      </c>
      <c r="F854" t="str">
        <f>VLOOKUP(A854, Athletes_Map!A:C, 3, FALSE)</f>
        <v>Player 804</v>
      </c>
      <c r="G854">
        <v>94</v>
      </c>
      <c r="H854">
        <f t="shared" si="55"/>
        <v>2</v>
      </c>
      <c r="I854" t="str">
        <f t="shared" si="52"/>
        <v>Normal</v>
      </c>
      <c r="J854" t="str">
        <f t="shared" si="53"/>
        <v>Normal</v>
      </c>
      <c r="K854" t="str">
        <f t="shared" si="54"/>
        <v/>
      </c>
    </row>
    <row r="855" spans="1:11" x14ac:dyDescent="0.25">
      <c r="A855">
        <v>8561</v>
      </c>
      <c r="B855">
        <v>123.338451228621</v>
      </c>
      <c r="C855">
        <v>32.326130704403198</v>
      </c>
      <c r="D855">
        <v>853</v>
      </c>
      <c r="E855">
        <f>VLOOKUP(A855, Athletes_Map!A:B, 2, FALSE)</f>
        <v>805</v>
      </c>
      <c r="F855" t="str">
        <f>VLOOKUP(A855, Athletes_Map!A:C, 3, FALSE)</f>
        <v>Player 805</v>
      </c>
      <c r="G855">
        <v>96</v>
      </c>
      <c r="H855">
        <f t="shared" si="55"/>
        <v>2</v>
      </c>
      <c r="I855" t="str">
        <f t="shared" si="52"/>
        <v>Normal</v>
      </c>
      <c r="J855" t="str">
        <f t="shared" si="53"/>
        <v>Normal</v>
      </c>
      <c r="K855" t="str">
        <f t="shared" si="54"/>
        <v/>
      </c>
    </row>
    <row r="856" spans="1:11" x14ac:dyDescent="0.25">
      <c r="A856">
        <v>8570</v>
      </c>
      <c r="B856">
        <v>102.728772042465</v>
      </c>
      <c r="C856">
        <v>33.162406017470701</v>
      </c>
      <c r="D856">
        <v>854</v>
      </c>
      <c r="E856">
        <f>VLOOKUP(A856, Athletes_Map!A:B, 2, FALSE)</f>
        <v>806</v>
      </c>
      <c r="F856" t="str">
        <f>VLOOKUP(A856, Athletes_Map!A:C, 3, FALSE)</f>
        <v>Player 806</v>
      </c>
      <c r="G856">
        <v>97</v>
      </c>
      <c r="H856">
        <f t="shared" si="55"/>
        <v>1</v>
      </c>
      <c r="I856" t="str">
        <f t="shared" si="52"/>
        <v>Normal</v>
      </c>
      <c r="J856" t="str">
        <f t="shared" si="53"/>
        <v>Normal</v>
      </c>
      <c r="K856" t="str">
        <f t="shared" si="54"/>
        <v/>
      </c>
    </row>
    <row r="857" spans="1:11" x14ac:dyDescent="0.25">
      <c r="A857">
        <v>8574</v>
      </c>
      <c r="B857">
        <v>148.630013947452</v>
      </c>
      <c r="C857">
        <v>33.254512023689003</v>
      </c>
      <c r="D857">
        <v>855</v>
      </c>
      <c r="E857">
        <f>VLOOKUP(A857, Athletes_Map!A:B, 2, FALSE)</f>
        <v>807</v>
      </c>
      <c r="F857" t="str">
        <f>VLOOKUP(A857, Athletes_Map!A:C, 3, FALSE)</f>
        <v>Player 807</v>
      </c>
      <c r="G857">
        <v>91</v>
      </c>
      <c r="H857">
        <f t="shared" si="55"/>
        <v>3</v>
      </c>
      <c r="I857" t="str">
        <f t="shared" si="52"/>
        <v>Alert</v>
      </c>
      <c r="J857" t="str">
        <f t="shared" si="53"/>
        <v>Oxygen</v>
      </c>
      <c r="K857">
        <f t="shared" si="54"/>
        <v>91</v>
      </c>
    </row>
    <row r="858" spans="1:11" x14ac:dyDescent="0.25">
      <c r="A858">
        <v>8575</v>
      </c>
      <c r="B858">
        <v>130.928392797952</v>
      </c>
      <c r="C858">
        <v>34.070481119678</v>
      </c>
      <c r="D858">
        <v>856</v>
      </c>
      <c r="E858">
        <f>VLOOKUP(A858, Athletes_Map!A:B, 2, FALSE)</f>
        <v>808</v>
      </c>
      <c r="F858" t="str">
        <f>VLOOKUP(A858, Athletes_Map!A:C, 3, FALSE)</f>
        <v>Player 808</v>
      </c>
      <c r="G858">
        <v>94</v>
      </c>
      <c r="H858">
        <f t="shared" si="55"/>
        <v>2</v>
      </c>
      <c r="I858" t="str">
        <f t="shared" si="52"/>
        <v>Normal</v>
      </c>
      <c r="J858" t="str">
        <f t="shared" si="53"/>
        <v>Normal</v>
      </c>
      <c r="K858" t="str">
        <f t="shared" si="54"/>
        <v/>
      </c>
    </row>
    <row r="859" spans="1:11" x14ac:dyDescent="0.25">
      <c r="A859">
        <v>8576</v>
      </c>
      <c r="B859">
        <v>129.10100643415899</v>
      </c>
      <c r="C859">
        <v>33.054589771596902</v>
      </c>
      <c r="D859">
        <v>857</v>
      </c>
      <c r="E859">
        <f>VLOOKUP(A859, Athletes_Map!A:B, 2, FALSE)</f>
        <v>809</v>
      </c>
      <c r="F859" t="str">
        <f>VLOOKUP(A859, Athletes_Map!A:C, 3, FALSE)</f>
        <v>Player 809</v>
      </c>
      <c r="G859">
        <v>94</v>
      </c>
      <c r="H859">
        <f t="shared" si="55"/>
        <v>2</v>
      </c>
      <c r="I859" t="str">
        <f t="shared" si="52"/>
        <v>Normal</v>
      </c>
      <c r="J859" t="str">
        <f t="shared" si="53"/>
        <v>Normal</v>
      </c>
      <c r="K859" t="str">
        <f t="shared" si="54"/>
        <v/>
      </c>
    </row>
    <row r="860" spans="1:11" x14ac:dyDescent="0.25">
      <c r="A860">
        <v>8577</v>
      </c>
      <c r="B860">
        <v>159.42067391050699</v>
      </c>
      <c r="C860">
        <v>32.414753552461498</v>
      </c>
      <c r="D860">
        <v>858</v>
      </c>
      <c r="E860">
        <f>VLOOKUP(A860, Athletes_Map!A:B, 2, FALSE)</f>
        <v>810</v>
      </c>
      <c r="F860" t="str">
        <f>VLOOKUP(A860, Athletes_Map!A:C, 3, FALSE)</f>
        <v>Player 810</v>
      </c>
      <c r="G860">
        <v>92</v>
      </c>
      <c r="H860">
        <f t="shared" si="55"/>
        <v>3</v>
      </c>
      <c r="I860" t="str">
        <f t="shared" si="52"/>
        <v>Alert</v>
      </c>
      <c r="J860" t="str">
        <f t="shared" si="53"/>
        <v>Heart Rate</v>
      </c>
      <c r="K860">
        <f t="shared" si="54"/>
        <v>159.42067391050699</v>
      </c>
    </row>
    <row r="861" spans="1:11" x14ac:dyDescent="0.25">
      <c r="A861">
        <v>8587</v>
      </c>
      <c r="B861">
        <v>152.401354613775</v>
      </c>
      <c r="C861">
        <v>34.870547021396199</v>
      </c>
      <c r="D861">
        <v>859</v>
      </c>
      <c r="E861">
        <f>VLOOKUP(A861, Athletes_Map!A:B, 2, FALSE)</f>
        <v>811</v>
      </c>
      <c r="F861" t="str">
        <f>VLOOKUP(A861, Athletes_Map!A:C, 3, FALSE)</f>
        <v>Player 811</v>
      </c>
      <c r="G861">
        <v>92</v>
      </c>
      <c r="H861">
        <f t="shared" si="55"/>
        <v>3</v>
      </c>
      <c r="I861" t="str">
        <f t="shared" si="52"/>
        <v>Alert</v>
      </c>
      <c r="J861" t="str">
        <f t="shared" si="53"/>
        <v>Heart Rate</v>
      </c>
      <c r="K861">
        <f t="shared" si="54"/>
        <v>152.401354613775</v>
      </c>
    </row>
    <row r="862" spans="1:11" x14ac:dyDescent="0.25">
      <c r="A862">
        <v>8629</v>
      </c>
      <c r="B862">
        <v>144.45194964826001</v>
      </c>
      <c r="C862">
        <v>32.8535314414544</v>
      </c>
      <c r="D862">
        <v>860</v>
      </c>
      <c r="E862">
        <f>VLOOKUP(A862, Athletes_Map!A:B, 2, FALSE)</f>
        <v>812</v>
      </c>
      <c r="F862" t="str">
        <f>VLOOKUP(A862, Athletes_Map!A:C, 3, FALSE)</f>
        <v>Player 812</v>
      </c>
      <c r="G862">
        <v>91</v>
      </c>
      <c r="H862">
        <f t="shared" si="55"/>
        <v>3</v>
      </c>
      <c r="I862" t="str">
        <f t="shared" si="52"/>
        <v>Alert</v>
      </c>
      <c r="J862" t="str">
        <f t="shared" si="53"/>
        <v>Oxygen</v>
      </c>
      <c r="K862">
        <f t="shared" si="54"/>
        <v>91</v>
      </c>
    </row>
    <row r="863" spans="1:11" x14ac:dyDescent="0.25">
      <c r="A863">
        <v>8641</v>
      </c>
      <c r="B863">
        <v>112.935832685566</v>
      </c>
      <c r="C863">
        <v>31.986811155380298</v>
      </c>
      <c r="D863">
        <v>861</v>
      </c>
      <c r="E863">
        <f>VLOOKUP(A863, Athletes_Map!A:B, 2, FALSE)</f>
        <v>813</v>
      </c>
      <c r="F863" t="str">
        <f>VLOOKUP(A863, Athletes_Map!A:C, 3, FALSE)</f>
        <v>Player 813</v>
      </c>
      <c r="G863">
        <v>96</v>
      </c>
      <c r="H863">
        <f t="shared" si="55"/>
        <v>1</v>
      </c>
      <c r="I863" t="str">
        <f t="shared" si="52"/>
        <v>Normal</v>
      </c>
      <c r="J863" t="str">
        <f t="shared" si="53"/>
        <v>Normal</v>
      </c>
      <c r="K863" t="str">
        <f t="shared" si="54"/>
        <v/>
      </c>
    </row>
    <row r="864" spans="1:11" x14ac:dyDescent="0.25">
      <c r="A864">
        <v>8648</v>
      </c>
      <c r="B864">
        <v>128.258280577639</v>
      </c>
      <c r="C864">
        <v>32.225313513557502</v>
      </c>
      <c r="D864">
        <v>862</v>
      </c>
      <c r="E864">
        <f>VLOOKUP(A864, Athletes_Map!A:B, 2, FALSE)</f>
        <v>814</v>
      </c>
      <c r="F864" t="str">
        <f>VLOOKUP(A864, Athletes_Map!A:C, 3, FALSE)</f>
        <v>Player 814</v>
      </c>
      <c r="G864">
        <v>93</v>
      </c>
      <c r="H864">
        <f t="shared" si="55"/>
        <v>2</v>
      </c>
      <c r="I864" t="str">
        <f t="shared" si="52"/>
        <v>Normal</v>
      </c>
      <c r="J864" t="str">
        <f t="shared" si="53"/>
        <v>Normal</v>
      </c>
      <c r="K864" t="str">
        <f t="shared" si="54"/>
        <v/>
      </c>
    </row>
    <row r="865" spans="1:11" x14ac:dyDescent="0.25">
      <c r="A865">
        <v>8651</v>
      </c>
      <c r="B865">
        <v>121.236993096445</v>
      </c>
      <c r="C865">
        <v>33.631844020406703</v>
      </c>
      <c r="D865">
        <v>863</v>
      </c>
      <c r="E865">
        <f>VLOOKUP(A865, Athletes_Map!A:B, 2, FALSE)</f>
        <v>815</v>
      </c>
      <c r="F865" t="str">
        <f>VLOOKUP(A865, Athletes_Map!A:C, 3, FALSE)</f>
        <v>Player 815</v>
      </c>
      <c r="G865">
        <v>95</v>
      </c>
      <c r="H865">
        <f t="shared" si="55"/>
        <v>2</v>
      </c>
      <c r="I865" t="str">
        <f t="shared" si="52"/>
        <v>Normal</v>
      </c>
      <c r="J865" t="str">
        <f t="shared" si="53"/>
        <v>Normal</v>
      </c>
      <c r="K865" t="str">
        <f t="shared" si="54"/>
        <v/>
      </c>
    </row>
    <row r="866" spans="1:11" x14ac:dyDescent="0.25">
      <c r="A866">
        <v>8667</v>
      </c>
      <c r="B866">
        <v>144.37548512149999</v>
      </c>
      <c r="C866">
        <v>33.7011769997223</v>
      </c>
      <c r="D866">
        <v>864</v>
      </c>
      <c r="E866">
        <f>VLOOKUP(A866, Athletes_Map!A:B, 2, FALSE)</f>
        <v>816</v>
      </c>
      <c r="F866" t="str">
        <f>VLOOKUP(A866, Athletes_Map!A:C, 3, FALSE)</f>
        <v>Player 816</v>
      </c>
      <c r="G866">
        <v>91</v>
      </c>
      <c r="H866">
        <f t="shared" si="55"/>
        <v>3</v>
      </c>
      <c r="I866" t="str">
        <f t="shared" si="52"/>
        <v>Alert</v>
      </c>
      <c r="J866" t="str">
        <f t="shared" si="53"/>
        <v>Oxygen</v>
      </c>
      <c r="K866">
        <f t="shared" si="54"/>
        <v>91</v>
      </c>
    </row>
    <row r="867" spans="1:11" x14ac:dyDescent="0.25">
      <c r="A867">
        <v>8668</v>
      </c>
      <c r="B867">
        <v>122.52462078608301</v>
      </c>
      <c r="C867">
        <v>32.759576906646998</v>
      </c>
      <c r="D867">
        <v>865</v>
      </c>
      <c r="E867">
        <f>VLOOKUP(A867, Athletes_Map!A:B, 2, FALSE)</f>
        <v>817</v>
      </c>
      <c r="F867" t="str">
        <f>VLOOKUP(A867, Athletes_Map!A:C, 3, FALSE)</f>
        <v>Player 817</v>
      </c>
      <c r="G867">
        <v>95</v>
      </c>
      <c r="H867">
        <f t="shared" si="55"/>
        <v>2</v>
      </c>
      <c r="I867" t="str">
        <f t="shared" si="52"/>
        <v>Normal</v>
      </c>
      <c r="J867" t="str">
        <f t="shared" si="53"/>
        <v>Normal</v>
      </c>
      <c r="K867" t="str">
        <f t="shared" si="54"/>
        <v/>
      </c>
    </row>
    <row r="868" spans="1:11" x14ac:dyDescent="0.25">
      <c r="A868">
        <v>8673</v>
      </c>
      <c r="B868">
        <v>153.55680256162401</v>
      </c>
      <c r="C868">
        <v>33.730686427505503</v>
      </c>
      <c r="D868">
        <v>866</v>
      </c>
      <c r="E868">
        <f>VLOOKUP(A868, Athletes_Map!A:B, 2, FALSE)</f>
        <v>818</v>
      </c>
      <c r="F868" t="str">
        <f>VLOOKUP(A868, Athletes_Map!A:C, 3, FALSE)</f>
        <v>Player 818</v>
      </c>
      <c r="G868">
        <v>93</v>
      </c>
      <c r="H868">
        <f t="shared" si="55"/>
        <v>3</v>
      </c>
      <c r="I868" t="str">
        <f t="shared" si="52"/>
        <v>Alert</v>
      </c>
      <c r="J868" t="str">
        <f t="shared" si="53"/>
        <v>Heart Rate</v>
      </c>
      <c r="K868">
        <f t="shared" si="54"/>
        <v>153.55680256162401</v>
      </c>
    </row>
    <row r="869" spans="1:11" x14ac:dyDescent="0.25">
      <c r="A869">
        <v>8679</v>
      </c>
      <c r="B869">
        <v>133.01648272441199</v>
      </c>
      <c r="C869">
        <v>30.131634759036601</v>
      </c>
      <c r="D869">
        <v>867</v>
      </c>
      <c r="E869">
        <f>VLOOKUP(A869, Athletes_Map!A:B, 2, FALSE)</f>
        <v>819</v>
      </c>
      <c r="F869" t="str">
        <f>VLOOKUP(A869, Athletes_Map!A:C, 3, FALSE)</f>
        <v>Player 819</v>
      </c>
      <c r="G869">
        <v>94</v>
      </c>
      <c r="H869">
        <f t="shared" si="55"/>
        <v>2</v>
      </c>
      <c r="I869" t="str">
        <f t="shared" si="52"/>
        <v>Normal</v>
      </c>
      <c r="J869" t="str">
        <f t="shared" si="53"/>
        <v>Normal</v>
      </c>
      <c r="K869" t="str">
        <f t="shared" si="54"/>
        <v/>
      </c>
    </row>
    <row r="870" spans="1:11" x14ac:dyDescent="0.25">
      <c r="A870">
        <v>8683</v>
      </c>
      <c r="B870">
        <v>152.44914656560201</v>
      </c>
      <c r="C870">
        <v>34.476266610780897</v>
      </c>
      <c r="D870">
        <v>868</v>
      </c>
      <c r="E870">
        <f>VLOOKUP(A870, Athletes_Map!A:B, 2, FALSE)</f>
        <v>820</v>
      </c>
      <c r="F870" t="str">
        <f>VLOOKUP(A870, Athletes_Map!A:C, 3, FALSE)</f>
        <v>Player 820</v>
      </c>
      <c r="G870">
        <v>94</v>
      </c>
      <c r="H870">
        <f t="shared" si="55"/>
        <v>3</v>
      </c>
      <c r="I870" t="str">
        <f t="shared" si="52"/>
        <v>Alert</v>
      </c>
      <c r="J870" t="str">
        <f t="shared" si="53"/>
        <v>Heart Rate</v>
      </c>
      <c r="K870">
        <f t="shared" si="54"/>
        <v>152.44914656560201</v>
      </c>
    </row>
    <row r="871" spans="1:11" x14ac:dyDescent="0.25">
      <c r="A871">
        <v>8687</v>
      </c>
      <c r="B871">
        <v>131.82940853945999</v>
      </c>
      <c r="C871">
        <v>35.517527206958903</v>
      </c>
      <c r="D871">
        <v>869</v>
      </c>
      <c r="E871">
        <f>VLOOKUP(A871, Athletes_Map!A:B, 2, FALSE)</f>
        <v>821</v>
      </c>
      <c r="F871" t="str">
        <f>VLOOKUP(A871, Athletes_Map!A:C, 3, FALSE)</f>
        <v>Player 821</v>
      </c>
      <c r="G871">
        <v>94</v>
      </c>
      <c r="H871">
        <f t="shared" si="55"/>
        <v>2</v>
      </c>
      <c r="I871" t="str">
        <f t="shared" si="52"/>
        <v>Normal</v>
      </c>
      <c r="J871" t="str">
        <f t="shared" si="53"/>
        <v>Normal</v>
      </c>
      <c r="K871" t="str">
        <f t="shared" si="54"/>
        <v/>
      </c>
    </row>
    <row r="872" spans="1:11" x14ac:dyDescent="0.25">
      <c r="A872">
        <v>8714</v>
      </c>
      <c r="B872">
        <v>136.520107828248</v>
      </c>
      <c r="C872">
        <v>32.655846917113998</v>
      </c>
      <c r="D872">
        <v>870</v>
      </c>
      <c r="E872">
        <f>VLOOKUP(A872, Athletes_Map!A:B, 2, FALSE)</f>
        <v>822</v>
      </c>
      <c r="F872" t="str">
        <f>VLOOKUP(A872, Athletes_Map!A:C, 3, FALSE)</f>
        <v>Player 822</v>
      </c>
      <c r="G872">
        <v>94</v>
      </c>
      <c r="H872">
        <f t="shared" si="55"/>
        <v>2</v>
      </c>
      <c r="I872" t="str">
        <f t="shared" si="52"/>
        <v>Normal</v>
      </c>
      <c r="J872" t="str">
        <f t="shared" si="53"/>
        <v>Normal</v>
      </c>
      <c r="K872" t="str">
        <f t="shared" si="54"/>
        <v/>
      </c>
    </row>
    <row r="873" spans="1:11" x14ac:dyDescent="0.25">
      <c r="A873">
        <v>8721</v>
      </c>
      <c r="B873">
        <v>151.67844309097799</v>
      </c>
      <c r="C873">
        <v>33.379629985843302</v>
      </c>
      <c r="D873">
        <v>871</v>
      </c>
      <c r="E873">
        <f>VLOOKUP(A873, Athletes_Map!A:B, 2, FALSE)</f>
        <v>823</v>
      </c>
      <c r="F873" t="str">
        <f>VLOOKUP(A873, Athletes_Map!A:C, 3, FALSE)</f>
        <v>Player 823</v>
      </c>
      <c r="G873">
        <v>91</v>
      </c>
      <c r="H873">
        <f t="shared" si="55"/>
        <v>3</v>
      </c>
      <c r="I873" t="str">
        <f t="shared" si="52"/>
        <v>Alert</v>
      </c>
      <c r="J873" t="str">
        <f t="shared" si="53"/>
        <v>Heart Rate</v>
      </c>
      <c r="K873">
        <f t="shared" si="54"/>
        <v>151.67844309097799</v>
      </c>
    </row>
    <row r="874" spans="1:11" x14ac:dyDescent="0.25">
      <c r="A874">
        <v>8723</v>
      </c>
      <c r="B874">
        <v>136.03891771614599</v>
      </c>
      <c r="C874">
        <v>33.265870168348997</v>
      </c>
      <c r="D874">
        <v>872</v>
      </c>
      <c r="E874">
        <f>VLOOKUP(A874, Athletes_Map!A:B, 2, FALSE)</f>
        <v>824</v>
      </c>
      <c r="F874" t="str">
        <f>VLOOKUP(A874, Athletes_Map!A:C, 3, FALSE)</f>
        <v>Player 824</v>
      </c>
      <c r="G874">
        <v>94</v>
      </c>
      <c r="H874">
        <f t="shared" si="55"/>
        <v>2</v>
      </c>
      <c r="I874" t="str">
        <f t="shared" si="52"/>
        <v>Normal</v>
      </c>
      <c r="J874" t="str">
        <f t="shared" si="53"/>
        <v>Normal</v>
      </c>
      <c r="K874" t="str">
        <f t="shared" si="54"/>
        <v/>
      </c>
    </row>
    <row r="875" spans="1:11" x14ac:dyDescent="0.25">
      <c r="A875">
        <v>8730</v>
      </c>
      <c r="B875">
        <v>138.21147962099701</v>
      </c>
      <c r="C875">
        <v>34.129418239703902</v>
      </c>
      <c r="D875">
        <v>873</v>
      </c>
      <c r="E875">
        <f>VLOOKUP(A875, Athletes_Map!A:B, 2, FALSE)</f>
        <v>825</v>
      </c>
      <c r="F875" t="str">
        <f>VLOOKUP(A875, Athletes_Map!A:C, 3, FALSE)</f>
        <v>Player 825</v>
      </c>
      <c r="G875">
        <v>95</v>
      </c>
      <c r="H875">
        <f t="shared" si="55"/>
        <v>2</v>
      </c>
      <c r="I875" t="str">
        <f t="shared" si="52"/>
        <v>Normal</v>
      </c>
      <c r="J875" t="str">
        <f t="shared" si="53"/>
        <v>Normal</v>
      </c>
      <c r="K875" t="str">
        <f t="shared" si="54"/>
        <v/>
      </c>
    </row>
    <row r="876" spans="1:11" x14ac:dyDescent="0.25">
      <c r="A876">
        <v>8734</v>
      </c>
      <c r="B876">
        <v>147.12019902691199</v>
      </c>
      <c r="C876">
        <v>33.369135201827</v>
      </c>
      <c r="D876">
        <v>874</v>
      </c>
      <c r="E876">
        <f>VLOOKUP(A876, Athletes_Map!A:B, 2, FALSE)</f>
        <v>826</v>
      </c>
      <c r="F876" t="str">
        <f>VLOOKUP(A876, Athletes_Map!A:C, 3, FALSE)</f>
        <v>Player 826</v>
      </c>
      <c r="G876">
        <v>94</v>
      </c>
      <c r="H876">
        <f t="shared" si="55"/>
        <v>2</v>
      </c>
      <c r="I876" t="str">
        <f t="shared" si="52"/>
        <v>Normal</v>
      </c>
      <c r="J876" t="str">
        <f t="shared" si="53"/>
        <v>Normal</v>
      </c>
      <c r="K876" t="str">
        <f t="shared" si="54"/>
        <v/>
      </c>
    </row>
    <row r="877" spans="1:11" x14ac:dyDescent="0.25">
      <c r="A877">
        <v>8777</v>
      </c>
      <c r="B877">
        <v>123.95553911438</v>
      </c>
      <c r="C877">
        <v>32.131211601908802</v>
      </c>
      <c r="D877">
        <v>875</v>
      </c>
      <c r="E877">
        <f>VLOOKUP(A877, Athletes_Map!A:B, 2, FALSE)</f>
        <v>827</v>
      </c>
      <c r="F877" t="str">
        <f>VLOOKUP(A877, Athletes_Map!A:C, 3, FALSE)</f>
        <v>Player 827</v>
      </c>
      <c r="G877">
        <v>96</v>
      </c>
      <c r="H877">
        <f t="shared" si="55"/>
        <v>2</v>
      </c>
      <c r="I877" t="str">
        <f t="shared" si="52"/>
        <v>Normal</v>
      </c>
      <c r="J877" t="str">
        <f t="shared" si="53"/>
        <v>Normal</v>
      </c>
      <c r="K877" t="str">
        <f t="shared" si="54"/>
        <v/>
      </c>
    </row>
    <row r="878" spans="1:11" x14ac:dyDescent="0.25">
      <c r="A878">
        <v>8783</v>
      </c>
      <c r="B878">
        <v>136.23359699695899</v>
      </c>
      <c r="C878">
        <v>33.940803335172802</v>
      </c>
      <c r="D878">
        <v>876</v>
      </c>
      <c r="E878">
        <f>VLOOKUP(A878, Athletes_Map!A:B, 2, FALSE)</f>
        <v>828</v>
      </c>
      <c r="F878" t="str">
        <f>VLOOKUP(A878, Athletes_Map!A:C, 3, FALSE)</f>
        <v>Player 828</v>
      </c>
      <c r="G878">
        <v>96</v>
      </c>
      <c r="H878">
        <f t="shared" si="55"/>
        <v>2</v>
      </c>
      <c r="I878" t="str">
        <f t="shared" si="52"/>
        <v>Normal</v>
      </c>
      <c r="J878" t="str">
        <f t="shared" si="53"/>
        <v>Normal</v>
      </c>
      <c r="K878" t="str">
        <f t="shared" si="54"/>
        <v/>
      </c>
    </row>
    <row r="879" spans="1:11" x14ac:dyDescent="0.25">
      <c r="A879">
        <v>8790</v>
      </c>
      <c r="B879">
        <v>148.86211214526199</v>
      </c>
      <c r="C879">
        <v>34.431735535021197</v>
      </c>
      <c r="D879">
        <v>877</v>
      </c>
      <c r="E879">
        <f>VLOOKUP(A879, Athletes_Map!A:B, 2, FALSE)</f>
        <v>829</v>
      </c>
      <c r="F879" t="str">
        <f>VLOOKUP(A879, Athletes_Map!A:C, 3, FALSE)</f>
        <v>Player 829</v>
      </c>
      <c r="G879">
        <v>94</v>
      </c>
      <c r="H879">
        <f t="shared" si="55"/>
        <v>2</v>
      </c>
      <c r="I879" t="str">
        <f t="shared" si="52"/>
        <v>Normal</v>
      </c>
      <c r="J879" t="str">
        <f t="shared" si="53"/>
        <v>Normal</v>
      </c>
      <c r="K879" t="str">
        <f t="shared" si="54"/>
        <v/>
      </c>
    </row>
    <row r="880" spans="1:11" x14ac:dyDescent="0.25">
      <c r="A880">
        <v>8804</v>
      </c>
      <c r="B880">
        <v>172.691726118692</v>
      </c>
      <c r="C880">
        <v>31.334557739453</v>
      </c>
      <c r="D880">
        <v>878</v>
      </c>
      <c r="E880">
        <f>VLOOKUP(A880, Athletes_Map!A:B, 2, FALSE)</f>
        <v>830</v>
      </c>
      <c r="F880" t="str">
        <f>VLOOKUP(A880, Athletes_Map!A:C, 3, FALSE)</f>
        <v>Player 830</v>
      </c>
      <c r="G880">
        <v>93</v>
      </c>
      <c r="H880">
        <f t="shared" si="55"/>
        <v>3</v>
      </c>
      <c r="I880" t="str">
        <f t="shared" si="52"/>
        <v>Alert</v>
      </c>
      <c r="J880" t="str">
        <f t="shared" si="53"/>
        <v>Heart Rate</v>
      </c>
      <c r="K880">
        <f t="shared" si="54"/>
        <v>172.691726118692</v>
      </c>
    </row>
    <row r="881" spans="1:11" x14ac:dyDescent="0.25">
      <c r="A881">
        <v>8805</v>
      </c>
      <c r="B881">
        <v>148.04645756826801</v>
      </c>
      <c r="C881">
        <v>33.840840734544699</v>
      </c>
      <c r="D881">
        <v>879</v>
      </c>
      <c r="E881">
        <f>VLOOKUP(A881, Athletes_Map!A:B, 2, FALSE)</f>
        <v>831</v>
      </c>
      <c r="F881" t="str">
        <f>VLOOKUP(A881, Athletes_Map!A:C, 3, FALSE)</f>
        <v>Player 831</v>
      </c>
      <c r="G881">
        <v>93</v>
      </c>
      <c r="H881">
        <f t="shared" si="55"/>
        <v>2</v>
      </c>
      <c r="I881" t="str">
        <f t="shared" si="52"/>
        <v>Normal</v>
      </c>
      <c r="J881" t="str">
        <f t="shared" si="53"/>
        <v>Normal</v>
      </c>
      <c r="K881" t="str">
        <f t="shared" si="54"/>
        <v/>
      </c>
    </row>
    <row r="882" spans="1:11" x14ac:dyDescent="0.25">
      <c r="A882">
        <v>8806</v>
      </c>
      <c r="B882">
        <v>86.522413467420805</v>
      </c>
      <c r="C882">
        <v>34.736766839270103</v>
      </c>
      <c r="D882">
        <v>880</v>
      </c>
      <c r="E882">
        <f>VLOOKUP(A882, Athletes_Map!A:B, 2, FALSE)</f>
        <v>832</v>
      </c>
      <c r="F882" t="str">
        <f>VLOOKUP(A882, Athletes_Map!A:C, 3, FALSE)</f>
        <v>Player 832</v>
      </c>
      <c r="G882">
        <v>97</v>
      </c>
      <c r="H882">
        <f t="shared" si="55"/>
        <v>1</v>
      </c>
      <c r="I882" t="str">
        <f t="shared" si="52"/>
        <v>Normal</v>
      </c>
      <c r="J882" t="str">
        <f t="shared" si="53"/>
        <v>Normal</v>
      </c>
      <c r="K882" t="str">
        <f t="shared" si="54"/>
        <v/>
      </c>
    </row>
    <row r="883" spans="1:11" x14ac:dyDescent="0.25">
      <c r="A883">
        <v>8830</v>
      </c>
      <c r="B883">
        <v>134.69380301653999</v>
      </c>
      <c r="C883">
        <v>33.368884283663597</v>
      </c>
      <c r="D883">
        <v>881</v>
      </c>
      <c r="E883">
        <f>VLOOKUP(A883, Athletes_Map!A:B, 2, FALSE)</f>
        <v>833</v>
      </c>
      <c r="F883" t="str">
        <f>VLOOKUP(A883, Athletes_Map!A:C, 3, FALSE)</f>
        <v>Player 833</v>
      </c>
      <c r="G883">
        <v>93</v>
      </c>
      <c r="H883">
        <f t="shared" si="55"/>
        <v>2</v>
      </c>
      <c r="I883" t="str">
        <f t="shared" si="52"/>
        <v>Normal</v>
      </c>
      <c r="J883" t="str">
        <f t="shared" si="53"/>
        <v>Normal</v>
      </c>
      <c r="K883" t="str">
        <f t="shared" si="54"/>
        <v/>
      </c>
    </row>
    <row r="884" spans="1:11" x14ac:dyDescent="0.25">
      <c r="A884">
        <v>8849</v>
      </c>
      <c r="B884">
        <v>109.97772847229299</v>
      </c>
      <c r="C884">
        <v>33.399129012388997</v>
      </c>
      <c r="D884">
        <v>882</v>
      </c>
      <c r="E884">
        <f>VLOOKUP(A884, Athletes_Map!A:B, 2, FALSE)</f>
        <v>834</v>
      </c>
      <c r="F884" t="str">
        <f>VLOOKUP(A884, Athletes_Map!A:C, 3, FALSE)</f>
        <v>Player 834</v>
      </c>
      <c r="G884">
        <v>96</v>
      </c>
      <c r="H884">
        <f t="shared" si="55"/>
        <v>1</v>
      </c>
      <c r="I884" t="str">
        <f t="shared" si="52"/>
        <v>Normal</v>
      </c>
      <c r="J884" t="str">
        <f t="shared" si="53"/>
        <v>Normal</v>
      </c>
      <c r="K884" t="str">
        <f t="shared" si="54"/>
        <v/>
      </c>
    </row>
    <row r="885" spans="1:11" x14ac:dyDescent="0.25">
      <c r="A885">
        <v>8858</v>
      </c>
      <c r="B885">
        <v>101.78078132968</v>
      </c>
      <c r="C885">
        <v>34.563933644779198</v>
      </c>
      <c r="D885">
        <v>883</v>
      </c>
      <c r="E885">
        <f>VLOOKUP(A885, Athletes_Map!A:B, 2, FALSE)</f>
        <v>835</v>
      </c>
      <c r="F885" t="str">
        <f>VLOOKUP(A885, Athletes_Map!A:C, 3, FALSE)</f>
        <v>Player 835</v>
      </c>
      <c r="G885">
        <v>96</v>
      </c>
      <c r="H885">
        <f t="shared" si="55"/>
        <v>1</v>
      </c>
      <c r="I885" t="str">
        <f t="shared" si="52"/>
        <v>Normal</v>
      </c>
      <c r="J885" t="str">
        <f t="shared" si="53"/>
        <v>Normal</v>
      </c>
      <c r="K885" t="str">
        <f t="shared" si="54"/>
        <v/>
      </c>
    </row>
    <row r="886" spans="1:11" x14ac:dyDescent="0.25">
      <c r="A886">
        <v>8860</v>
      </c>
      <c r="B886">
        <v>180.818851451814</v>
      </c>
      <c r="C886">
        <v>33.575792442440097</v>
      </c>
      <c r="D886">
        <v>884</v>
      </c>
      <c r="E886">
        <f>VLOOKUP(A886, Athletes_Map!A:B, 2, FALSE)</f>
        <v>836</v>
      </c>
      <c r="F886" t="str">
        <f>VLOOKUP(A886, Athletes_Map!A:C, 3, FALSE)</f>
        <v>Player 836</v>
      </c>
      <c r="G886">
        <v>92</v>
      </c>
      <c r="H886">
        <f t="shared" si="55"/>
        <v>3</v>
      </c>
      <c r="I886" t="str">
        <f t="shared" si="52"/>
        <v>Alert</v>
      </c>
      <c r="J886" t="str">
        <f t="shared" si="53"/>
        <v>Heart Rate</v>
      </c>
      <c r="K886">
        <f t="shared" si="54"/>
        <v>180.818851451814</v>
      </c>
    </row>
    <row r="887" spans="1:11" x14ac:dyDescent="0.25">
      <c r="A887">
        <v>8863</v>
      </c>
      <c r="B887">
        <v>129.373448857635</v>
      </c>
      <c r="C887">
        <v>32.315231483759803</v>
      </c>
      <c r="D887">
        <v>885</v>
      </c>
      <c r="E887">
        <f>VLOOKUP(A887, Athletes_Map!A:B, 2, FALSE)</f>
        <v>837</v>
      </c>
      <c r="F887" t="str">
        <f>VLOOKUP(A887, Athletes_Map!A:C, 3, FALSE)</f>
        <v>Player 837</v>
      </c>
      <c r="G887">
        <v>93</v>
      </c>
      <c r="H887">
        <f t="shared" si="55"/>
        <v>2</v>
      </c>
      <c r="I887" t="str">
        <f t="shared" si="52"/>
        <v>Normal</v>
      </c>
      <c r="J887" t="str">
        <f t="shared" si="53"/>
        <v>Normal</v>
      </c>
      <c r="K887" t="str">
        <f t="shared" si="54"/>
        <v/>
      </c>
    </row>
    <row r="888" spans="1:11" x14ac:dyDescent="0.25">
      <c r="A888">
        <v>8869</v>
      </c>
      <c r="B888">
        <v>154.65381967891</v>
      </c>
      <c r="C888">
        <v>32.8087653214249</v>
      </c>
      <c r="D888">
        <v>886</v>
      </c>
      <c r="E888">
        <f>VLOOKUP(A888, Athletes_Map!A:B, 2, FALSE)</f>
        <v>838</v>
      </c>
      <c r="F888" t="str">
        <f>VLOOKUP(A888, Athletes_Map!A:C, 3, FALSE)</f>
        <v>Player 838</v>
      </c>
      <c r="G888">
        <v>93</v>
      </c>
      <c r="H888">
        <f t="shared" si="55"/>
        <v>3</v>
      </c>
      <c r="I888" t="str">
        <f t="shared" si="52"/>
        <v>Alert</v>
      </c>
      <c r="J888" t="str">
        <f t="shared" si="53"/>
        <v>Heart Rate</v>
      </c>
      <c r="K888">
        <f t="shared" si="54"/>
        <v>154.65381967891</v>
      </c>
    </row>
    <row r="889" spans="1:11" x14ac:dyDescent="0.25">
      <c r="A889">
        <v>8891</v>
      </c>
      <c r="B889">
        <v>143.38038018731999</v>
      </c>
      <c r="C889">
        <v>34.709394985496303</v>
      </c>
      <c r="D889">
        <v>887</v>
      </c>
      <c r="E889">
        <f>VLOOKUP(A889, Athletes_Map!A:B, 2, FALSE)</f>
        <v>839</v>
      </c>
      <c r="F889" t="str">
        <f>VLOOKUP(A889, Athletes_Map!A:C, 3, FALSE)</f>
        <v>Player 839</v>
      </c>
      <c r="G889">
        <v>91</v>
      </c>
      <c r="H889">
        <f t="shared" si="55"/>
        <v>3</v>
      </c>
      <c r="I889" t="str">
        <f t="shared" si="52"/>
        <v>Alert</v>
      </c>
      <c r="J889" t="str">
        <f t="shared" si="53"/>
        <v>Oxygen</v>
      </c>
      <c r="K889">
        <f t="shared" si="54"/>
        <v>91</v>
      </c>
    </row>
    <row r="890" spans="1:11" x14ac:dyDescent="0.25">
      <c r="A890">
        <v>8892</v>
      </c>
      <c r="B890">
        <v>155.28740130036201</v>
      </c>
      <c r="C890">
        <v>31.382343465671799</v>
      </c>
      <c r="D890">
        <v>888</v>
      </c>
      <c r="E890">
        <f>VLOOKUP(A890, Athletes_Map!A:B, 2, FALSE)</f>
        <v>840</v>
      </c>
      <c r="F890" t="str">
        <f>VLOOKUP(A890, Athletes_Map!A:C, 3, FALSE)</f>
        <v>Player 840</v>
      </c>
      <c r="G890">
        <v>90</v>
      </c>
      <c r="H890">
        <f t="shared" si="55"/>
        <v>3</v>
      </c>
      <c r="I890" t="str">
        <f t="shared" si="52"/>
        <v>Alert</v>
      </c>
      <c r="J890" t="str">
        <f t="shared" si="53"/>
        <v>Heart Rate</v>
      </c>
      <c r="K890">
        <f t="shared" si="54"/>
        <v>155.28740130036201</v>
      </c>
    </row>
    <row r="891" spans="1:11" x14ac:dyDescent="0.25">
      <c r="A891">
        <v>8901</v>
      </c>
      <c r="B891">
        <v>128.895505912906</v>
      </c>
      <c r="C891">
        <v>34.3534907919042</v>
      </c>
      <c r="D891">
        <v>889</v>
      </c>
      <c r="E891">
        <f>VLOOKUP(A891, Athletes_Map!A:B, 2, FALSE)</f>
        <v>841</v>
      </c>
      <c r="F891" t="str">
        <f>VLOOKUP(A891, Athletes_Map!A:C, 3, FALSE)</f>
        <v>Player 841</v>
      </c>
      <c r="G891">
        <v>96</v>
      </c>
      <c r="H891">
        <f t="shared" si="55"/>
        <v>2</v>
      </c>
      <c r="I891" t="str">
        <f t="shared" si="52"/>
        <v>Normal</v>
      </c>
      <c r="J891" t="str">
        <f t="shared" si="53"/>
        <v>Normal</v>
      </c>
      <c r="K891" t="str">
        <f t="shared" si="54"/>
        <v/>
      </c>
    </row>
    <row r="892" spans="1:11" x14ac:dyDescent="0.25">
      <c r="A892">
        <v>8916</v>
      </c>
      <c r="B892">
        <v>109.40846066528501</v>
      </c>
      <c r="C892">
        <v>33.6255358860165</v>
      </c>
      <c r="D892">
        <v>890</v>
      </c>
      <c r="E892">
        <f>VLOOKUP(A892, Athletes_Map!A:B, 2, FALSE)</f>
        <v>842</v>
      </c>
      <c r="F892" t="str">
        <f>VLOOKUP(A892, Athletes_Map!A:C, 3, FALSE)</f>
        <v>Player 842</v>
      </c>
      <c r="G892">
        <v>99</v>
      </c>
      <c r="H892">
        <f t="shared" si="55"/>
        <v>1</v>
      </c>
      <c r="I892" t="str">
        <f t="shared" si="52"/>
        <v>Normal</v>
      </c>
      <c r="J892" t="str">
        <f t="shared" si="53"/>
        <v>Normal</v>
      </c>
      <c r="K892" t="str">
        <f t="shared" si="54"/>
        <v/>
      </c>
    </row>
    <row r="893" spans="1:11" x14ac:dyDescent="0.25">
      <c r="A893">
        <v>8939</v>
      </c>
      <c r="B893">
        <v>145.730196871408</v>
      </c>
      <c r="C893">
        <v>31.431156261322801</v>
      </c>
      <c r="D893">
        <v>891</v>
      </c>
      <c r="E893">
        <f>VLOOKUP(A893, Athletes_Map!A:B, 2, FALSE)</f>
        <v>843</v>
      </c>
      <c r="F893" t="str">
        <f>VLOOKUP(A893, Athletes_Map!A:C, 3, FALSE)</f>
        <v>Player 843</v>
      </c>
      <c r="G893">
        <v>93</v>
      </c>
      <c r="H893">
        <f t="shared" si="55"/>
        <v>2</v>
      </c>
      <c r="I893" t="str">
        <f t="shared" si="52"/>
        <v>Normal</v>
      </c>
      <c r="J893" t="str">
        <f t="shared" si="53"/>
        <v>Normal</v>
      </c>
      <c r="K893" t="str">
        <f t="shared" si="54"/>
        <v/>
      </c>
    </row>
    <row r="894" spans="1:11" x14ac:dyDescent="0.25">
      <c r="A894">
        <v>8941</v>
      </c>
      <c r="B894">
        <v>145.82925456409501</v>
      </c>
      <c r="C894">
        <v>32.7011137864163</v>
      </c>
      <c r="D894">
        <v>892</v>
      </c>
      <c r="E894">
        <f>VLOOKUP(A894, Athletes_Map!A:B, 2, FALSE)</f>
        <v>844</v>
      </c>
      <c r="F894" t="str">
        <f>VLOOKUP(A894, Athletes_Map!A:C, 3, FALSE)</f>
        <v>Player 844</v>
      </c>
      <c r="G894">
        <v>93</v>
      </c>
      <c r="H894">
        <f t="shared" si="55"/>
        <v>2</v>
      </c>
      <c r="I894" t="str">
        <f t="shared" si="52"/>
        <v>Normal</v>
      </c>
      <c r="J894" t="str">
        <f t="shared" si="53"/>
        <v>Normal</v>
      </c>
      <c r="K894" t="str">
        <f t="shared" si="54"/>
        <v/>
      </c>
    </row>
    <row r="895" spans="1:11" x14ac:dyDescent="0.25">
      <c r="A895">
        <v>8943</v>
      </c>
      <c r="B895">
        <v>144.81949903276501</v>
      </c>
      <c r="C895">
        <v>32.5912815517081</v>
      </c>
      <c r="D895">
        <v>893</v>
      </c>
      <c r="E895">
        <f>VLOOKUP(A895, Athletes_Map!A:B, 2, FALSE)</f>
        <v>845</v>
      </c>
      <c r="F895" t="str">
        <f>VLOOKUP(A895, Athletes_Map!A:C, 3, FALSE)</f>
        <v>Player 845</v>
      </c>
      <c r="G895">
        <v>93</v>
      </c>
      <c r="H895">
        <f t="shared" si="55"/>
        <v>2</v>
      </c>
      <c r="I895" t="str">
        <f t="shared" si="52"/>
        <v>Normal</v>
      </c>
      <c r="J895" t="str">
        <f t="shared" si="53"/>
        <v>Normal</v>
      </c>
      <c r="K895" t="str">
        <f t="shared" si="54"/>
        <v/>
      </c>
    </row>
    <row r="896" spans="1:11" x14ac:dyDescent="0.25">
      <c r="A896">
        <v>8956</v>
      </c>
      <c r="B896">
        <v>164.423406549872</v>
      </c>
      <c r="C896">
        <v>34.193336850610599</v>
      </c>
      <c r="D896">
        <v>894</v>
      </c>
      <c r="E896">
        <f>VLOOKUP(A896, Athletes_Map!A:B, 2, FALSE)</f>
        <v>846</v>
      </c>
      <c r="F896" t="str">
        <f>VLOOKUP(A896, Athletes_Map!A:C, 3, FALSE)</f>
        <v>Player 846</v>
      </c>
      <c r="G896">
        <v>93</v>
      </c>
      <c r="H896">
        <f t="shared" si="55"/>
        <v>3</v>
      </c>
      <c r="I896" t="str">
        <f t="shared" si="52"/>
        <v>Alert</v>
      </c>
      <c r="J896" t="str">
        <f t="shared" si="53"/>
        <v>Heart Rate</v>
      </c>
      <c r="K896">
        <f t="shared" si="54"/>
        <v>164.423406549872</v>
      </c>
    </row>
    <row r="897" spans="1:11" x14ac:dyDescent="0.25">
      <c r="A897">
        <v>8970</v>
      </c>
      <c r="B897">
        <v>137.265408210755</v>
      </c>
      <c r="C897">
        <v>32.455636334889903</v>
      </c>
      <c r="D897">
        <v>895</v>
      </c>
      <c r="E897">
        <f>VLOOKUP(A897, Athletes_Map!A:B, 2, FALSE)</f>
        <v>847</v>
      </c>
      <c r="F897" t="str">
        <f>VLOOKUP(A897, Athletes_Map!A:C, 3, FALSE)</f>
        <v>Player 847</v>
      </c>
      <c r="G897">
        <v>94</v>
      </c>
      <c r="H897">
        <f t="shared" si="55"/>
        <v>2</v>
      </c>
      <c r="I897" t="str">
        <f t="shared" si="52"/>
        <v>Normal</v>
      </c>
      <c r="J897" t="str">
        <f t="shared" si="53"/>
        <v>Normal</v>
      </c>
      <c r="K897" t="str">
        <f t="shared" si="54"/>
        <v/>
      </c>
    </row>
    <row r="898" spans="1:11" x14ac:dyDescent="0.25">
      <c r="A898">
        <v>8973</v>
      </c>
      <c r="B898">
        <v>172.46595552434999</v>
      </c>
      <c r="C898">
        <v>33.427503346447303</v>
      </c>
      <c r="D898">
        <v>896</v>
      </c>
      <c r="E898">
        <f>VLOOKUP(A898, Athletes_Map!A:B, 2, FALSE)</f>
        <v>848</v>
      </c>
      <c r="F898" t="str">
        <f>VLOOKUP(A898, Athletes_Map!A:C, 3, FALSE)</f>
        <v>Player 848</v>
      </c>
      <c r="G898">
        <v>93</v>
      </c>
      <c r="H898">
        <f t="shared" si="55"/>
        <v>3</v>
      </c>
      <c r="I898" t="str">
        <f t="shared" ref="I898:I961" si="56">IF(H898=3, "Alert", "Normal")</f>
        <v>Alert</v>
      </c>
      <c r="J898" t="str">
        <f t="shared" ref="J898:J961" si="57">IF(B898&gt;150,"Heart Rate",
IF(C898&gt;37.5,"Temperature",
IF(G898&lt;92,"Oxygen","Normal")))</f>
        <v>Heart Rate</v>
      </c>
      <c r="K898">
        <f t="shared" ref="K898:K961" si="58">IF(J898="Heart Rate",B898,IF(J898="Temperature",C898,IF(J898="Oxygen",G898,"")))</f>
        <v>172.46595552434999</v>
      </c>
    </row>
    <row r="899" spans="1:11" x14ac:dyDescent="0.25">
      <c r="A899">
        <v>8984</v>
      </c>
      <c r="B899">
        <v>146.85053898402299</v>
      </c>
      <c r="C899">
        <v>31.5669727186892</v>
      </c>
      <c r="D899">
        <v>897</v>
      </c>
      <c r="E899">
        <f>VLOOKUP(A899, Athletes_Map!A:B, 2, FALSE)</f>
        <v>849</v>
      </c>
      <c r="F899" t="str">
        <f>VLOOKUP(A899, Athletes_Map!A:C, 3, FALSE)</f>
        <v>Player 849</v>
      </c>
      <c r="G899">
        <v>91</v>
      </c>
      <c r="H899">
        <f t="shared" ref="H899:H962" si="59">IF(OR(B899&gt;150, C899&gt;37.5, G899&lt;92), 3,
IF(OR(B899&gt;120, C899&gt;37, G899&lt;94), 2,
1))</f>
        <v>3</v>
      </c>
      <c r="I899" t="str">
        <f t="shared" si="56"/>
        <v>Alert</v>
      </c>
      <c r="J899" t="str">
        <f t="shared" si="57"/>
        <v>Oxygen</v>
      </c>
      <c r="K899">
        <f t="shared" si="58"/>
        <v>91</v>
      </c>
    </row>
    <row r="900" spans="1:11" x14ac:dyDescent="0.25">
      <c r="A900">
        <v>8987</v>
      </c>
      <c r="B900">
        <v>137.40062653436499</v>
      </c>
      <c r="C900">
        <v>32.688239831078903</v>
      </c>
      <c r="D900">
        <v>898</v>
      </c>
      <c r="E900">
        <f>VLOOKUP(A900, Athletes_Map!A:B, 2, FALSE)</f>
        <v>850</v>
      </c>
      <c r="F900" t="str">
        <f>VLOOKUP(A900, Athletes_Map!A:C, 3, FALSE)</f>
        <v>Player 850</v>
      </c>
      <c r="G900">
        <v>94</v>
      </c>
      <c r="H900">
        <f t="shared" si="59"/>
        <v>2</v>
      </c>
      <c r="I900" t="str">
        <f t="shared" si="56"/>
        <v>Normal</v>
      </c>
      <c r="J900" t="str">
        <f t="shared" si="57"/>
        <v>Normal</v>
      </c>
      <c r="K900" t="str">
        <f t="shared" si="58"/>
        <v/>
      </c>
    </row>
    <row r="901" spans="1:11" x14ac:dyDescent="0.25">
      <c r="A901">
        <v>8989</v>
      </c>
      <c r="B901">
        <v>119.433905491953</v>
      </c>
      <c r="C901">
        <v>30.220627364437298</v>
      </c>
      <c r="D901">
        <v>899</v>
      </c>
      <c r="E901">
        <f>VLOOKUP(A901, Athletes_Map!A:B, 2, FALSE)</f>
        <v>851</v>
      </c>
      <c r="F901" t="str">
        <f>VLOOKUP(A901, Athletes_Map!A:C, 3, FALSE)</f>
        <v>Player 851</v>
      </c>
      <c r="G901">
        <v>93</v>
      </c>
      <c r="H901">
        <f t="shared" si="59"/>
        <v>2</v>
      </c>
      <c r="I901" t="str">
        <f t="shared" si="56"/>
        <v>Normal</v>
      </c>
      <c r="J901" t="str">
        <f t="shared" si="57"/>
        <v>Normal</v>
      </c>
      <c r="K901" t="str">
        <f t="shared" si="58"/>
        <v/>
      </c>
    </row>
    <row r="902" spans="1:11" x14ac:dyDescent="0.25">
      <c r="A902">
        <v>8992</v>
      </c>
      <c r="B902">
        <v>129.37799414227999</v>
      </c>
      <c r="C902">
        <v>33.0341490974197</v>
      </c>
      <c r="D902">
        <v>900</v>
      </c>
      <c r="E902">
        <f>VLOOKUP(A902, Athletes_Map!A:B, 2, FALSE)</f>
        <v>852</v>
      </c>
      <c r="F902" t="str">
        <f>VLOOKUP(A902, Athletes_Map!A:C, 3, FALSE)</f>
        <v>Player 852</v>
      </c>
      <c r="G902">
        <v>94</v>
      </c>
      <c r="H902">
        <f t="shared" si="59"/>
        <v>2</v>
      </c>
      <c r="I902" t="str">
        <f t="shared" si="56"/>
        <v>Normal</v>
      </c>
      <c r="J902" t="str">
        <f t="shared" si="57"/>
        <v>Normal</v>
      </c>
      <c r="K902" t="str">
        <f t="shared" si="58"/>
        <v/>
      </c>
    </row>
    <row r="903" spans="1:11" x14ac:dyDescent="0.25">
      <c r="A903">
        <v>8994</v>
      </c>
      <c r="B903">
        <v>126.08994957198399</v>
      </c>
      <c r="C903">
        <v>32.1958617594549</v>
      </c>
      <c r="D903">
        <v>901</v>
      </c>
      <c r="E903">
        <f>VLOOKUP(A903, Athletes_Map!A:B, 2, FALSE)</f>
        <v>853</v>
      </c>
      <c r="F903" t="str">
        <f>VLOOKUP(A903, Athletes_Map!A:C, 3, FALSE)</f>
        <v>Player 853</v>
      </c>
      <c r="G903">
        <v>95</v>
      </c>
      <c r="H903">
        <f t="shared" si="59"/>
        <v>2</v>
      </c>
      <c r="I903" t="str">
        <f t="shared" si="56"/>
        <v>Normal</v>
      </c>
      <c r="J903" t="str">
        <f t="shared" si="57"/>
        <v>Normal</v>
      </c>
      <c r="K903" t="str">
        <f t="shared" si="58"/>
        <v/>
      </c>
    </row>
    <row r="904" spans="1:11" x14ac:dyDescent="0.25">
      <c r="A904">
        <v>8996</v>
      </c>
      <c r="B904">
        <v>109.393912026582</v>
      </c>
      <c r="C904">
        <v>33.454983742471299</v>
      </c>
      <c r="D904">
        <v>902</v>
      </c>
      <c r="E904">
        <f>VLOOKUP(A904, Athletes_Map!A:B, 2, FALSE)</f>
        <v>854</v>
      </c>
      <c r="F904" t="str">
        <f>VLOOKUP(A904, Athletes_Map!A:C, 3, FALSE)</f>
        <v>Player 854</v>
      </c>
      <c r="G904">
        <v>97</v>
      </c>
      <c r="H904">
        <f t="shared" si="59"/>
        <v>1</v>
      </c>
      <c r="I904" t="str">
        <f t="shared" si="56"/>
        <v>Normal</v>
      </c>
      <c r="J904" t="str">
        <f t="shared" si="57"/>
        <v>Normal</v>
      </c>
      <c r="K904" t="str">
        <f t="shared" si="58"/>
        <v/>
      </c>
    </row>
    <row r="905" spans="1:11" x14ac:dyDescent="0.25">
      <c r="A905">
        <v>9002</v>
      </c>
      <c r="B905">
        <v>131.0730030183</v>
      </c>
      <c r="C905">
        <v>32.535165642536597</v>
      </c>
      <c r="D905">
        <v>903</v>
      </c>
      <c r="E905">
        <f>VLOOKUP(A905, Athletes_Map!A:B, 2, FALSE)</f>
        <v>855</v>
      </c>
      <c r="F905" t="str">
        <f>VLOOKUP(A905, Athletes_Map!A:C, 3, FALSE)</f>
        <v>Player 855</v>
      </c>
      <c r="G905">
        <v>95</v>
      </c>
      <c r="H905">
        <f t="shared" si="59"/>
        <v>2</v>
      </c>
      <c r="I905" t="str">
        <f t="shared" si="56"/>
        <v>Normal</v>
      </c>
      <c r="J905" t="str">
        <f t="shared" si="57"/>
        <v>Normal</v>
      </c>
      <c r="K905" t="str">
        <f t="shared" si="58"/>
        <v/>
      </c>
    </row>
    <row r="906" spans="1:11" x14ac:dyDescent="0.25">
      <c r="A906">
        <v>9004</v>
      </c>
      <c r="B906">
        <v>118.35288853791501</v>
      </c>
      <c r="C906">
        <v>31.325052957369</v>
      </c>
      <c r="D906">
        <v>904</v>
      </c>
      <c r="E906">
        <f>VLOOKUP(A906, Athletes_Map!A:B, 2, FALSE)</f>
        <v>856</v>
      </c>
      <c r="F906" t="str">
        <f>VLOOKUP(A906, Athletes_Map!A:C, 3, FALSE)</f>
        <v>Player 856</v>
      </c>
      <c r="G906">
        <v>93</v>
      </c>
      <c r="H906">
        <f t="shared" si="59"/>
        <v>2</v>
      </c>
      <c r="I906" t="str">
        <f t="shared" si="56"/>
        <v>Normal</v>
      </c>
      <c r="J906" t="str">
        <f t="shared" si="57"/>
        <v>Normal</v>
      </c>
      <c r="K906" t="str">
        <f t="shared" si="58"/>
        <v/>
      </c>
    </row>
    <row r="907" spans="1:11" x14ac:dyDescent="0.25">
      <c r="A907">
        <v>9006</v>
      </c>
      <c r="B907">
        <v>156.07283593215601</v>
      </c>
      <c r="C907">
        <v>32.462130460439802</v>
      </c>
      <c r="D907">
        <v>905</v>
      </c>
      <c r="E907">
        <f>VLOOKUP(A907, Athletes_Map!A:B, 2, FALSE)</f>
        <v>857</v>
      </c>
      <c r="F907" t="str">
        <f>VLOOKUP(A907, Athletes_Map!A:C, 3, FALSE)</f>
        <v>Player 857</v>
      </c>
      <c r="G907">
        <v>93</v>
      </c>
      <c r="H907">
        <f t="shared" si="59"/>
        <v>3</v>
      </c>
      <c r="I907" t="str">
        <f t="shared" si="56"/>
        <v>Alert</v>
      </c>
      <c r="J907" t="str">
        <f t="shared" si="57"/>
        <v>Heart Rate</v>
      </c>
      <c r="K907">
        <f t="shared" si="58"/>
        <v>156.07283593215601</v>
      </c>
    </row>
    <row r="908" spans="1:11" x14ac:dyDescent="0.25">
      <c r="A908">
        <v>9007</v>
      </c>
      <c r="B908">
        <v>97.6692676585388</v>
      </c>
      <c r="C908">
        <v>31.877284441484999</v>
      </c>
      <c r="D908">
        <v>906</v>
      </c>
      <c r="E908">
        <f>VLOOKUP(A908, Athletes_Map!A:B, 2, FALSE)</f>
        <v>858</v>
      </c>
      <c r="F908" t="str">
        <f>VLOOKUP(A908, Athletes_Map!A:C, 3, FALSE)</f>
        <v>Player 858</v>
      </c>
      <c r="G908">
        <v>99</v>
      </c>
      <c r="H908">
        <f t="shared" si="59"/>
        <v>1</v>
      </c>
      <c r="I908" t="str">
        <f t="shared" si="56"/>
        <v>Normal</v>
      </c>
      <c r="J908" t="str">
        <f t="shared" si="57"/>
        <v>Normal</v>
      </c>
      <c r="K908" t="str">
        <f t="shared" si="58"/>
        <v/>
      </c>
    </row>
    <row r="909" spans="1:11" x14ac:dyDescent="0.25">
      <c r="A909">
        <v>9010</v>
      </c>
      <c r="B909">
        <v>150.178571795735</v>
      </c>
      <c r="C909">
        <v>31.1486361381085</v>
      </c>
      <c r="D909">
        <v>907</v>
      </c>
      <c r="E909">
        <f>VLOOKUP(A909, Athletes_Map!A:B, 2, FALSE)</f>
        <v>859</v>
      </c>
      <c r="F909" t="str">
        <f>VLOOKUP(A909, Athletes_Map!A:C, 3, FALSE)</f>
        <v>Player 859</v>
      </c>
      <c r="G909">
        <v>94</v>
      </c>
      <c r="H909">
        <f t="shared" si="59"/>
        <v>3</v>
      </c>
      <c r="I909" t="str">
        <f t="shared" si="56"/>
        <v>Alert</v>
      </c>
      <c r="J909" t="str">
        <f t="shared" si="57"/>
        <v>Heart Rate</v>
      </c>
      <c r="K909">
        <f t="shared" si="58"/>
        <v>150.178571795735</v>
      </c>
    </row>
    <row r="910" spans="1:11" x14ac:dyDescent="0.25">
      <c r="A910">
        <v>9017</v>
      </c>
      <c r="B910">
        <v>165.61501664687299</v>
      </c>
      <c r="C910">
        <v>33.817634791890299</v>
      </c>
      <c r="D910">
        <v>908</v>
      </c>
      <c r="E910">
        <f>VLOOKUP(A910, Athletes_Map!A:B, 2, FALSE)</f>
        <v>860</v>
      </c>
      <c r="F910" t="str">
        <f>VLOOKUP(A910, Athletes_Map!A:C, 3, FALSE)</f>
        <v>Player 860</v>
      </c>
      <c r="G910">
        <v>93</v>
      </c>
      <c r="H910">
        <f t="shared" si="59"/>
        <v>3</v>
      </c>
      <c r="I910" t="str">
        <f t="shared" si="56"/>
        <v>Alert</v>
      </c>
      <c r="J910" t="str">
        <f t="shared" si="57"/>
        <v>Heart Rate</v>
      </c>
      <c r="K910">
        <f t="shared" si="58"/>
        <v>165.61501664687299</v>
      </c>
    </row>
    <row r="911" spans="1:11" x14ac:dyDescent="0.25">
      <c r="A911">
        <v>9050</v>
      </c>
      <c r="B911">
        <v>142.54423750129001</v>
      </c>
      <c r="C911">
        <v>33.5549803488802</v>
      </c>
      <c r="D911">
        <v>909</v>
      </c>
      <c r="E911">
        <f>VLOOKUP(A911, Athletes_Map!A:B, 2, FALSE)</f>
        <v>861</v>
      </c>
      <c r="F911" t="str">
        <f>VLOOKUP(A911, Athletes_Map!A:C, 3, FALSE)</f>
        <v>Player 861</v>
      </c>
      <c r="G911">
        <v>93</v>
      </c>
      <c r="H911">
        <f t="shared" si="59"/>
        <v>2</v>
      </c>
      <c r="I911" t="str">
        <f t="shared" si="56"/>
        <v>Normal</v>
      </c>
      <c r="J911" t="str">
        <f t="shared" si="57"/>
        <v>Normal</v>
      </c>
      <c r="K911" t="str">
        <f t="shared" si="58"/>
        <v/>
      </c>
    </row>
    <row r="912" spans="1:11" x14ac:dyDescent="0.25">
      <c r="A912">
        <v>9053</v>
      </c>
      <c r="B912">
        <v>133.234359032974</v>
      </c>
      <c r="C912">
        <v>32.266970832233902</v>
      </c>
      <c r="D912">
        <v>910</v>
      </c>
      <c r="E912">
        <f>VLOOKUP(A912, Athletes_Map!A:B, 2, FALSE)</f>
        <v>862</v>
      </c>
      <c r="F912" t="str">
        <f>VLOOKUP(A912, Athletes_Map!A:C, 3, FALSE)</f>
        <v>Player 862</v>
      </c>
      <c r="G912">
        <v>93</v>
      </c>
      <c r="H912">
        <f t="shared" si="59"/>
        <v>2</v>
      </c>
      <c r="I912" t="str">
        <f t="shared" si="56"/>
        <v>Normal</v>
      </c>
      <c r="J912" t="str">
        <f t="shared" si="57"/>
        <v>Normal</v>
      </c>
      <c r="K912" t="str">
        <f t="shared" si="58"/>
        <v/>
      </c>
    </row>
    <row r="913" spans="1:11" x14ac:dyDescent="0.25">
      <c r="A913">
        <v>9058</v>
      </c>
      <c r="B913">
        <v>129.091971797219</v>
      </c>
      <c r="C913">
        <v>35.585914412859701</v>
      </c>
      <c r="D913">
        <v>911</v>
      </c>
      <c r="E913">
        <f>VLOOKUP(A913, Athletes_Map!A:B, 2, FALSE)</f>
        <v>863</v>
      </c>
      <c r="F913" t="str">
        <f>VLOOKUP(A913, Athletes_Map!A:C, 3, FALSE)</f>
        <v>Player 863</v>
      </c>
      <c r="G913">
        <v>93</v>
      </c>
      <c r="H913">
        <f t="shared" si="59"/>
        <v>2</v>
      </c>
      <c r="I913" t="str">
        <f t="shared" si="56"/>
        <v>Normal</v>
      </c>
      <c r="J913" t="str">
        <f t="shared" si="57"/>
        <v>Normal</v>
      </c>
      <c r="K913" t="str">
        <f t="shared" si="58"/>
        <v/>
      </c>
    </row>
    <row r="914" spans="1:11" x14ac:dyDescent="0.25">
      <c r="A914">
        <v>9070</v>
      </c>
      <c r="B914">
        <v>126.053562086824</v>
      </c>
      <c r="C914">
        <v>32.199373098266904</v>
      </c>
      <c r="D914">
        <v>912</v>
      </c>
      <c r="E914">
        <f>VLOOKUP(A914, Athletes_Map!A:B, 2, FALSE)</f>
        <v>864</v>
      </c>
      <c r="F914" t="str">
        <f>VLOOKUP(A914, Athletes_Map!A:C, 3, FALSE)</f>
        <v>Player 864</v>
      </c>
      <c r="G914">
        <v>93</v>
      </c>
      <c r="H914">
        <f t="shared" si="59"/>
        <v>2</v>
      </c>
      <c r="I914" t="str">
        <f t="shared" si="56"/>
        <v>Normal</v>
      </c>
      <c r="J914" t="str">
        <f t="shared" si="57"/>
        <v>Normal</v>
      </c>
      <c r="K914" t="str">
        <f t="shared" si="58"/>
        <v/>
      </c>
    </row>
    <row r="915" spans="1:11" x14ac:dyDescent="0.25">
      <c r="A915">
        <v>9082</v>
      </c>
      <c r="B915">
        <v>131.998888259349</v>
      </c>
      <c r="C915">
        <v>33.457571534717701</v>
      </c>
      <c r="D915">
        <v>913</v>
      </c>
      <c r="E915">
        <f>VLOOKUP(A915, Athletes_Map!A:B, 2, FALSE)</f>
        <v>865</v>
      </c>
      <c r="F915" t="str">
        <f>VLOOKUP(A915, Athletes_Map!A:C, 3, FALSE)</f>
        <v>Player 865</v>
      </c>
      <c r="G915">
        <v>93</v>
      </c>
      <c r="H915">
        <f t="shared" si="59"/>
        <v>2</v>
      </c>
      <c r="I915" t="str">
        <f t="shared" si="56"/>
        <v>Normal</v>
      </c>
      <c r="J915" t="str">
        <f t="shared" si="57"/>
        <v>Normal</v>
      </c>
      <c r="K915" t="str">
        <f t="shared" si="58"/>
        <v/>
      </c>
    </row>
    <row r="916" spans="1:11" x14ac:dyDescent="0.25">
      <c r="A916">
        <v>9096</v>
      </c>
      <c r="B916">
        <v>143.50915123569899</v>
      </c>
      <c r="C916">
        <v>34.9687374761859</v>
      </c>
      <c r="D916">
        <v>914</v>
      </c>
      <c r="E916">
        <f>VLOOKUP(A916, Athletes_Map!A:B, 2, FALSE)</f>
        <v>866</v>
      </c>
      <c r="F916" t="str">
        <f>VLOOKUP(A916, Athletes_Map!A:C, 3, FALSE)</f>
        <v>Player 866</v>
      </c>
      <c r="G916">
        <v>93</v>
      </c>
      <c r="H916">
        <f t="shared" si="59"/>
        <v>2</v>
      </c>
      <c r="I916" t="str">
        <f t="shared" si="56"/>
        <v>Normal</v>
      </c>
      <c r="J916" t="str">
        <f t="shared" si="57"/>
        <v>Normal</v>
      </c>
      <c r="K916" t="str">
        <f t="shared" si="58"/>
        <v/>
      </c>
    </row>
    <row r="917" spans="1:11" x14ac:dyDescent="0.25">
      <c r="A917">
        <v>9110</v>
      </c>
      <c r="B917">
        <v>103.59550560219</v>
      </c>
      <c r="C917">
        <v>33.565850856501797</v>
      </c>
      <c r="D917">
        <v>915</v>
      </c>
      <c r="E917">
        <f>VLOOKUP(A917, Athletes_Map!A:B, 2, FALSE)</f>
        <v>867</v>
      </c>
      <c r="F917" t="str">
        <f>VLOOKUP(A917, Athletes_Map!A:C, 3, FALSE)</f>
        <v>Player 867</v>
      </c>
      <c r="G917">
        <v>96</v>
      </c>
      <c r="H917">
        <f t="shared" si="59"/>
        <v>1</v>
      </c>
      <c r="I917" t="str">
        <f t="shared" si="56"/>
        <v>Normal</v>
      </c>
      <c r="J917" t="str">
        <f t="shared" si="57"/>
        <v>Normal</v>
      </c>
      <c r="K917" t="str">
        <f t="shared" si="58"/>
        <v/>
      </c>
    </row>
    <row r="918" spans="1:11" x14ac:dyDescent="0.25">
      <c r="A918">
        <v>9120</v>
      </c>
      <c r="B918">
        <v>148.63782979252599</v>
      </c>
      <c r="C918">
        <v>32.923106683021501</v>
      </c>
      <c r="D918">
        <v>916</v>
      </c>
      <c r="E918">
        <f>VLOOKUP(A918, Athletes_Map!A:B, 2, FALSE)</f>
        <v>868</v>
      </c>
      <c r="F918" t="str">
        <f>VLOOKUP(A918, Athletes_Map!A:C, 3, FALSE)</f>
        <v>Player 868</v>
      </c>
      <c r="G918">
        <v>91</v>
      </c>
      <c r="H918">
        <f t="shared" si="59"/>
        <v>3</v>
      </c>
      <c r="I918" t="str">
        <f t="shared" si="56"/>
        <v>Alert</v>
      </c>
      <c r="J918" t="str">
        <f t="shared" si="57"/>
        <v>Oxygen</v>
      </c>
      <c r="K918">
        <f t="shared" si="58"/>
        <v>91</v>
      </c>
    </row>
    <row r="919" spans="1:11" x14ac:dyDescent="0.25">
      <c r="A919">
        <v>9120</v>
      </c>
      <c r="B919">
        <v>168.55401628152799</v>
      </c>
      <c r="C919">
        <v>34.722104879066599</v>
      </c>
      <c r="D919">
        <v>917</v>
      </c>
      <c r="E919">
        <f>VLOOKUP(A919, Athletes_Map!A:B, 2, FALSE)</f>
        <v>868</v>
      </c>
      <c r="F919" t="str">
        <f>VLOOKUP(A919, Athletes_Map!A:C, 3, FALSE)</f>
        <v>Player 868</v>
      </c>
      <c r="G919">
        <v>91</v>
      </c>
      <c r="H919">
        <f t="shared" si="59"/>
        <v>3</v>
      </c>
      <c r="I919" t="str">
        <f t="shared" si="56"/>
        <v>Alert</v>
      </c>
      <c r="J919" t="str">
        <f t="shared" si="57"/>
        <v>Heart Rate</v>
      </c>
      <c r="K919">
        <f t="shared" si="58"/>
        <v>168.55401628152799</v>
      </c>
    </row>
    <row r="920" spans="1:11" x14ac:dyDescent="0.25">
      <c r="A920">
        <v>9130</v>
      </c>
      <c r="B920">
        <v>121.567532641238</v>
      </c>
      <c r="C920">
        <v>33.247634125590501</v>
      </c>
      <c r="D920">
        <v>918</v>
      </c>
      <c r="E920">
        <f>VLOOKUP(A920, Athletes_Map!A:B, 2, FALSE)</f>
        <v>869</v>
      </c>
      <c r="F920" t="str">
        <f>VLOOKUP(A920, Athletes_Map!A:C, 3, FALSE)</f>
        <v>Player 869</v>
      </c>
      <c r="G920">
        <v>96</v>
      </c>
      <c r="H920">
        <f t="shared" si="59"/>
        <v>2</v>
      </c>
      <c r="I920" t="str">
        <f t="shared" si="56"/>
        <v>Normal</v>
      </c>
      <c r="J920" t="str">
        <f t="shared" si="57"/>
        <v>Normal</v>
      </c>
      <c r="K920" t="str">
        <f t="shared" si="58"/>
        <v/>
      </c>
    </row>
    <row r="921" spans="1:11" x14ac:dyDescent="0.25">
      <c r="A921">
        <v>9135</v>
      </c>
      <c r="B921">
        <v>125.858074868274</v>
      </c>
      <c r="C921">
        <v>32.282798780094097</v>
      </c>
      <c r="D921">
        <v>919</v>
      </c>
      <c r="E921">
        <f>VLOOKUP(A921, Athletes_Map!A:B, 2, FALSE)</f>
        <v>870</v>
      </c>
      <c r="F921" t="str">
        <f>VLOOKUP(A921, Athletes_Map!A:C, 3, FALSE)</f>
        <v>Player 870</v>
      </c>
      <c r="G921">
        <v>96</v>
      </c>
      <c r="H921">
        <f t="shared" si="59"/>
        <v>2</v>
      </c>
      <c r="I921" t="str">
        <f t="shared" si="56"/>
        <v>Normal</v>
      </c>
      <c r="J921" t="str">
        <f t="shared" si="57"/>
        <v>Normal</v>
      </c>
      <c r="K921" t="str">
        <f t="shared" si="58"/>
        <v/>
      </c>
    </row>
    <row r="922" spans="1:11" x14ac:dyDescent="0.25">
      <c r="A922">
        <v>9150</v>
      </c>
      <c r="B922">
        <v>114.061780346361</v>
      </c>
      <c r="C922">
        <v>33.584766284453899</v>
      </c>
      <c r="D922">
        <v>920</v>
      </c>
      <c r="E922">
        <f>VLOOKUP(A922, Athletes_Map!A:B, 2, FALSE)</f>
        <v>871</v>
      </c>
      <c r="F922" t="str">
        <f>VLOOKUP(A922, Athletes_Map!A:C, 3, FALSE)</f>
        <v>Player 871</v>
      </c>
      <c r="G922">
        <v>95</v>
      </c>
      <c r="H922">
        <f t="shared" si="59"/>
        <v>1</v>
      </c>
      <c r="I922" t="str">
        <f t="shared" si="56"/>
        <v>Normal</v>
      </c>
      <c r="J922" t="str">
        <f t="shared" si="57"/>
        <v>Normal</v>
      </c>
      <c r="K922" t="str">
        <f t="shared" si="58"/>
        <v/>
      </c>
    </row>
    <row r="923" spans="1:11" x14ac:dyDescent="0.25">
      <c r="A923">
        <v>9152</v>
      </c>
      <c r="B923">
        <v>145.765921580992</v>
      </c>
      <c r="C923">
        <v>34.643641329185002</v>
      </c>
      <c r="D923">
        <v>921</v>
      </c>
      <c r="E923">
        <f>VLOOKUP(A923, Athletes_Map!A:B, 2, FALSE)</f>
        <v>872</v>
      </c>
      <c r="F923" t="str">
        <f>VLOOKUP(A923, Athletes_Map!A:C, 3, FALSE)</f>
        <v>Player 872</v>
      </c>
      <c r="G923">
        <v>93</v>
      </c>
      <c r="H923">
        <f t="shared" si="59"/>
        <v>2</v>
      </c>
      <c r="I923" t="str">
        <f t="shared" si="56"/>
        <v>Normal</v>
      </c>
      <c r="J923" t="str">
        <f t="shared" si="57"/>
        <v>Normal</v>
      </c>
      <c r="K923" t="str">
        <f t="shared" si="58"/>
        <v/>
      </c>
    </row>
    <row r="924" spans="1:11" x14ac:dyDescent="0.25">
      <c r="A924">
        <v>9154</v>
      </c>
      <c r="B924">
        <v>154.45108899253401</v>
      </c>
      <c r="C924">
        <v>32.088356259023598</v>
      </c>
      <c r="D924">
        <v>922</v>
      </c>
      <c r="E924">
        <f>VLOOKUP(A924, Athletes_Map!A:B, 2, FALSE)</f>
        <v>873</v>
      </c>
      <c r="F924" t="str">
        <f>VLOOKUP(A924, Athletes_Map!A:C, 3, FALSE)</f>
        <v>Player 873</v>
      </c>
      <c r="G924">
        <v>94</v>
      </c>
      <c r="H924">
        <f t="shared" si="59"/>
        <v>3</v>
      </c>
      <c r="I924" t="str">
        <f t="shared" si="56"/>
        <v>Alert</v>
      </c>
      <c r="J924" t="str">
        <f t="shared" si="57"/>
        <v>Heart Rate</v>
      </c>
      <c r="K924">
        <f t="shared" si="58"/>
        <v>154.45108899253401</v>
      </c>
    </row>
    <row r="925" spans="1:11" x14ac:dyDescent="0.25">
      <c r="A925">
        <v>9155</v>
      </c>
      <c r="B925">
        <v>155.88321754138099</v>
      </c>
      <c r="C925">
        <v>31.9316185823761</v>
      </c>
      <c r="D925">
        <v>923</v>
      </c>
      <c r="E925">
        <f>VLOOKUP(A925, Athletes_Map!A:B, 2, FALSE)</f>
        <v>874</v>
      </c>
      <c r="F925" t="str">
        <f>VLOOKUP(A925, Athletes_Map!A:C, 3, FALSE)</f>
        <v>Player 874</v>
      </c>
      <c r="G925">
        <v>94</v>
      </c>
      <c r="H925">
        <f t="shared" si="59"/>
        <v>3</v>
      </c>
      <c r="I925" t="str">
        <f t="shared" si="56"/>
        <v>Alert</v>
      </c>
      <c r="J925" t="str">
        <f t="shared" si="57"/>
        <v>Heart Rate</v>
      </c>
      <c r="K925">
        <f t="shared" si="58"/>
        <v>155.88321754138099</v>
      </c>
    </row>
    <row r="926" spans="1:11" x14ac:dyDescent="0.25">
      <c r="A926">
        <v>9162</v>
      </c>
      <c r="B926">
        <v>154.10610417141001</v>
      </c>
      <c r="C926">
        <v>33.318740391806998</v>
      </c>
      <c r="D926">
        <v>924</v>
      </c>
      <c r="E926">
        <f>VLOOKUP(A926, Athletes_Map!A:B, 2, FALSE)</f>
        <v>875</v>
      </c>
      <c r="F926" t="str">
        <f>VLOOKUP(A926, Athletes_Map!A:C, 3, FALSE)</f>
        <v>Player 875</v>
      </c>
      <c r="G926">
        <v>91</v>
      </c>
      <c r="H926">
        <f t="shared" si="59"/>
        <v>3</v>
      </c>
      <c r="I926" t="str">
        <f t="shared" si="56"/>
        <v>Alert</v>
      </c>
      <c r="J926" t="str">
        <f t="shared" si="57"/>
        <v>Heart Rate</v>
      </c>
      <c r="K926">
        <f t="shared" si="58"/>
        <v>154.10610417141001</v>
      </c>
    </row>
    <row r="927" spans="1:11" x14ac:dyDescent="0.25">
      <c r="A927">
        <v>9164</v>
      </c>
      <c r="B927">
        <v>134.010725806951</v>
      </c>
      <c r="C927">
        <v>32.262812227084403</v>
      </c>
      <c r="D927">
        <v>925</v>
      </c>
      <c r="E927">
        <f>VLOOKUP(A927, Athletes_Map!A:B, 2, FALSE)</f>
        <v>876</v>
      </c>
      <c r="F927" t="str">
        <f>VLOOKUP(A927, Athletes_Map!A:C, 3, FALSE)</f>
        <v>Player 876</v>
      </c>
      <c r="G927">
        <v>96</v>
      </c>
      <c r="H927">
        <f t="shared" si="59"/>
        <v>2</v>
      </c>
      <c r="I927" t="str">
        <f t="shared" si="56"/>
        <v>Normal</v>
      </c>
      <c r="J927" t="str">
        <f t="shared" si="57"/>
        <v>Normal</v>
      </c>
      <c r="K927" t="str">
        <f t="shared" si="58"/>
        <v/>
      </c>
    </row>
    <row r="928" spans="1:11" x14ac:dyDescent="0.25">
      <c r="A928">
        <v>9172</v>
      </c>
      <c r="B928">
        <v>178.30004689802101</v>
      </c>
      <c r="C928">
        <v>30.002326779008399</v>
      </c>
      <c r="D928">
        <v>926</v>
      </c>
      <c r="E928">
        <f>VLOOKUP(A928, Athletes_Map!A:B, 2, FALSE)</f>
        <v>877</v>
      </c>
      <c r="F928" t="str">
        <f>VLOOKUP(A928, Athletes_Map!A:C, 3, FALSE)</f>
        <v>Player 877</v>
      </c>
      <c r="G928">
        <v>91</v>
      </c>
      <c r="H928">
        <f t="shared" si="59"/>
        <v>3</v>
      </c>
      <c r="I928" t="str">
        <f t="shared" si="56"/>
        <v>Alert</v>
      </c>
      <c r="J928" t="str">
        <f t="shared" si="57"/>
        <v>Heart Rate</v>
      </c>
      <c r="K928">
        <f t="shared" si="58"/>
        <v>178.30004689802101</v>
      </c>
    </row>
    <row r="929" spans="1:11" x14ac:dyDescent="0.25">
      <c r="A929">
        <v>9173</v>
      </c>
      <c r="B929">
        <v>146.45165562712299</v>
      </c>
      <c r="C929">
        <v>33.4327774697229</v>
      </c>
      <c r="D929">
        <v>927</v>
      </c>
      <c r="E929">
        <f>VLOOKUP(A929, Athletes_Map!A:B, 2, FALSE)</f>
        <v>878</v>
      </c>
      <c r="F929" t="str">
        <f>VLOOKUP(A929, Athletes_Map!A:C, 3, FALSE)</f>
        <v>Player 878</v>
      </c>
      <c r="G929">
        <v>91</v>
      </c>
      <c r="H929">
        <f t="shared" si="59"/>
        <v>3</v>
      </c>
      <c r="I929" t="str">
        <f t="shared" si="56"/>
        <v>Alert</v>
      </c>
      <c r="J929" t="str">
        <f t="shared" si="57"/>
        <v>Oxygen</v>
      </c>
      <c r="K929">
        <f t="shared" si="58"/>
        <v>91</v>
      </c>
    </row>
    <row r="930" spans="1:11" x14ac:dyDescent="0.25">
      <c r="A930">
        <v>9175</v>
      </c>
      <c r="B930">
        <v>91.942188140950293</v>
      </c>
      <c r="C930">
        <v>33.726727479157503</v>
      </c>
      <c r="D930">
        <v>928</v>
      </c>
      <c r="E930">
        <f>VLOOKUP(A930, Athletes_Map!A:B, 2, FALSE)</f>
        <v>879</v>
      </c>
      <c r="F930" t="str">
        <f>VLOOKUP(A930, Athletes_Map!A:C, 3, FALSE)</f>
        <v>Player 879</v>
      </c>
      <c r="G930">
        <v>99</v>
      </c>
      <c r="H930">
        <f t="shared" si="59"/>
        <v>1</v>
      </c>
      <c r="I930" t="str">
        <f t="shared" si="56"/>
        <v>Normal</v>
      </c>
      <c r="J930" t="str">
        <f t="shared" si="57"/>
        <v>Normal</v>
      </c>
      <c r="K930" t="str">
        <f t="shared" si="58"/>
        <v/>
      </c>
    </row>
    <row r="931" spans="1:11" x14ac:dyDescent="0.25">
      <c r="A931">
        <v>9195</v>
      </c>
      <c r="B931">
        <v>117.98959091581401</v>
      </c>
      <c r="C931">
        <v>34.395406293041901</v>
      </c>
      <c r="D931">
        <v>929</v>
      </c>
      <c r="E931">
        <f>VLOOKUP(A931, Athletes_Map!A:B, 2, FALSE)</f>
        <v>880</v>
      </c>
      <c r="F931" t="str">
        <f>VLOOKUP(A931, Athletes_Map!A:C, 3, FALSE)</f>
        <v>Player 880</v>
      </c>
      <c r="G931">
        <v>94</v>
      </c>
      <c r="H931">
        <f t="shared" si="59"/>
        <v>1</v>
      </c>
      <c r="I931" t="str">
        <f t="shared" si="56"/>
        <v>Normal</v>
      </c>
      <c r="J931" t="str">
        <f t="shared" si="57"/>
        <v>Normal</v>
      </c>
      <c r="K931" t="str">
        <f t="shared" si="58"/>
        <v/>
      </c>
    </row>
    <row r="932" spans="1:11" x14ac:dyDescent="0.25">
      <c r="A932">
        <v>9208</v>
      </c>
      <c r="B932">
        <v>171.932739920953</v>
      </c>
      <c r="C932">
        <v>32.505335105970602</v>
      </c>
      <c r="D932">
        <v>930</v>
      </c>
      <c r="E932">
        <f>VLOOKUP(A932, Athletes_Map!A:B, 2, FALSE)</f>
        <v>881</v>
      </c>
      <c r="F932" t="str">
        <f>VLOOKUP(A932, Athletes_Map!A:C, 3, FALSE)</f>
        <v>Player 881</v>
      </c>
      <c r="G932">
        <v>91</v>
      </c>
      <c r="H932">
        <f t="shared" si="59"/>
        <v>3</v>
      </c>
      <c r="I932" t="str">
        <f t="shared" si="56"/>
        <v>Alert</v>
      </c>
      <c r="J932" t="str">
        <f t="shared" si="57"/>
        <v>Heart Rate</v>
      </c>
      <c r="K932">
        <f t="shared" si="58"/>
        <v>171.932739920953</v>
      </c>
    </row>
    <row r="933" spans="1:11" x14ac:dyDescent="0.25">
      <c r="A933">
        <v>9226</v>
      </c>
      <c r="B933">
        <v>100.796632146867</v>
      </c>
      <c r="C933">
        <v>35.043807131901602</v>
      </c>
      <c r="D933">
        <v>931</v>
      </c>
      <c r="E933">
        <f>VLOOKUP(A933, Athletes_Map!A:B, 2, FALSE)</f>
        <v>882</v>
      </c>
      <c r="F933" t="str">
        <f>VLOOKUP(A933, Athletes_Map!A:C, 3, FALSE)</f>
        <v>Player 882</v>
      </c>
      <c r="G933">
        <v>98</v>
      </c>
      <c r="H933">
        <f t="shared" si="59"/>
        <v>1</v>
      </c>
      <c r="I933" t="str">
        <f t="shared" si="56"/>
        <v>Normal</v>
      </c>
      <c r="J933" t="str">
        <f t="shared" si="57"/>
        <v>Normal</v>
      </c>
      <c r="K933" t="str">
        <f t="shared" si="58"/>
        <v/>
      </c>
    </row>
    <row r="934" spans="1:11" x14ac:dyDescent="0.25">
      <c r="A934">
        <v>9258</v>
      </c>
      <c r="B934">
        <v>131.657565724271</v>
      </c>
      <c r="C934">
        <v>32.336292219702997</v>
      </c>
      <c r="D934">
        <v>932</v>
      </c>
      <c r="E934">
        <f>VLOOKUP(A934, Athletes_Map!A:B, 2, FALSE)</f>
        <v>883</v>
      </c>
      <c r="F934" t="str">
        <f>VLOOKUP(A934, Athletes_Map!A:C, 3, FALSE)</f>
        <v>Player 883</v>
      </c>
      <c r="G934">
        <v>94</v>
      </c>
      <c r="H934">
        <f t="shared" si="59"/>
        <v>2</v>
      </c>
      <c r="I934" t="str">
        <f t="shared" si="56"/>
        <v>Normal</v>
      </c>
      <c r="J934" t="str">
        <f t="shared" si="57"/>
        <v>Normal</v>
      </c>
      <c r="K934" t="str">
        <f t="shared" si="58"/>
        <v/>
      </c>
    </row>
    <row r="935" spans="1:11" x14ac:dyDescent="0.25">
      <c r="A935">
        <v>9306</v>
      </c>
      <c r="B935">
        <v>132.208207436896</v>
      </c>
      <c r="C935">
        <v>34.063429426301703</v>
      </c>
      <c r="D935">
        <v>933</v>
      </c>
      <c r="E935">
        <f>VLOOKUP(A935, Athletes_Map!A:B, 2, FALSE)</f>
        <v>884</v>
      </c>
      <c r="F935" t="str">
        <f>VLOOKUP(A935, Athletes_Map!A:C, 3, FALSE)</f>
        <v>Player 884</v>
      </c>
      <c r="G935">
        <v>94</v>
      </c>
      <c r="H935">
        <f t="shared" si="59"/>
        <v>2</v>
      </c>
      <c r="I935" t="str">
        <f t="shared" si="56"/>
        <v>Normal</v>
      </c>
      <c r="J935" t="str">
        <f t="shared" si="57"/>
        <v>Normal</v>
      </c>
      <c r="K935" t="str">
        <f t="shared" si="58"/>
        <v/>
      </c>
    </row>
    <row r="936" spans="1:11" x14ac:dyDescent="0.25">
      <c r="A936">
        <v>9308</v>
      </c>
      <c r="B936">
        <v>105.712502395803</v>
      </c>
      <c r="C936">
        <v>32.734184084457397</v>
      </c>
      <c r="D936">
        <v>934</v>
      </c>
      <c r="E936">
        <f>VLOOKUP(A936, Athletes_Map!A:B, 2, FALSE)</f>
        <v>885</v>
      </c>
      <c r="F936" t="str">
        <f>VLOOKUP(A936, Athletes_Map!A:C, 3, FALSE)</f>
        <v>Player 885</v>
      </c>
      <c r="G936">
        <v>97</v>
      </c>
      <c r="H936">
        <f t="shared" si="59"/>
        <v>1</v>
      </c>
      <c r="I936" t="str">
        <f t="shared" si="56"/>
        <v>Normal</v>
      </c>
      <c r="J936" t="str">
        <f t="shared" si="57"/>
        <v>Normal</v>
      </c>
      <c r="K936" t="str">
        <f t="shared" si="58"/>
        <v/>
      </c>
    </row>
    <row r="937" spans="1:11" x14ac:dyDescent="0.25">
      <c r="A937">
        <v>9311</v>
      </c>
      <c r="B937">
        <v>147.94391879405401</v>
      </c>
      <c r="C937">
        <v>30</v>
      </c>
      <c r="D937">
        <v>935</v>
      </c>
      <c r="E937">
        <f>VLOOKUP(A937, Athletes_Map!A:B, 2, FALSE)</f>
        <v>886</v>
      </c>
      <c r="F937" t="str">
        <f>VLOOKUP(A937, Athletes_Map!A:C, 3, FALSE)</f>
        <v>Player 886</v>
      </c>
      <c r="G937">
        <v>93</v>
      </c>
      <c r="H937">
        <f t="shared" si="59"/>
        <v>2</v>
      </c>
      <c r="I937" t="str">
        <f t="shared" si="56"/>
        <v>Normal</v>
      </c>
      <c r="J937" t="str">
        <f t="shared" si="57"/>
        <v>Normal</v>
      </c>
      <c r="K937" t="str">
        <f t="shared" si="58"/>
        <v/>
      </c>
    </row>
    <row r="938" spans="1:11" x14ac:dyDescent="0.25">
      <c r="A938">
        <v>9319</v>
      </c>
      <c r="B938">
        <v>133.20528611425499</v>
      </c>
      <c r="C938">
        <v>32.270128191066199</v>
      </c>
      <c r="D938">
        <v>936</v>
      </c>
      <c r="E938">
        <f>VLOOKUP(A938, Athletes_Map!A:B, 2, FALSE)</f>
        <v>887</v>
      </c>
      <c r="F938" t="str">
        <f>VLOOKUP(A938, Athletes_Map!A:C, 3, FALSE)</f>
        <v>Player 887</v>
      </c>
      <c r="G938">
        <v>96</v>
      </c>
      <c r="H938">
        <f t="shared" si="59"/>
        <v>2</v>
      </c>
      <c r="I938" t="str">
        <f t="shared" si="56"/>
        <v>Normal</v>
      </c>
      <c r="J938" t="str">
        <f t="shared" si="57"/>
        <v>Normal</v>
      </c>
      <c r="K938" t="str">
        <f t="shared" si="58"/>
        <v/>
      </c>
    </row>
    <row r="939" spans="1:11" x14ac:dyDescent="0.25">
      <c r="A939">
        <v>9322</v>
      </c>
      <c r="B939">
        <v>144.78749122455801</v>
      </c>
      <c r="C939">
        <v>34.475057741156398</v>
      </c>
      <c r="D939">
        <v>937</v>
      </c>
      <c r="E939">
        <f>VLOOKUP(A939, Athletes_Map!A:B, 2, FALSE)</f>
        <v>888</v>
      </c>
      <c r="F939" t="str">
        <f>VLOOKUP(A939, Athletes_Map!A:C, 3, FALSE)</f>
        <v>Player 888</v>
      </c>
      <c r="G939">
        <v>91</v>
      </c>
      <c r="H939">
        <f t="shared" si="59"/>
        <v>3</v>
      </c>
      <c r="I939" t="str">
        <f t="shared" si="56"/>
        <v>Alert</v>
      </c>
      <c r="J939" t="str">
        <f t="shared" si="57"/>
        <v>Oxygen</v>
      </c>
      <c r="K939">
        <f t="shared" si="58"/>
        <v>91</v>
      </c>
    </row>
    <row r="940" spans="1:11" x14ac:dyDescent="0.25">
      <c r="A940">
        <v>9335</v>
      </c>
      <c r="B940">
        <v>115.172153010873</v>
      </c>
      <c r="C940">
        <v>32.927515524963702</v>
      </c>
      <c r="D940">
        <v>938</v>
      </c>
      <c r="E940">
        <f>VLOOKUP(A940, Athletes_Map!A:B, 2, FALSE)</f>
        <v>889</v>
      </c>
      <c r="F940" t="str">
        <f>VLOOKUP(A940, Athletes_Map!A:C, 3, FALSE)</f>
        <v>Player 889</v>
      </c>
      <c r="G940">
        <v>93</v>
      </c>
      <c r="H940">
        <f t="shared" si="59"/>
        <v>2</v>
      </c>
      <c r="I940" t="str">
        <f t="shared" si="56"/>
        <v>Normal</v>
      </c>
      <c r="J940" t="str">
        <f t="shared" si="57"/>
        <v>Normal</v>
      </c>
      <c r="K940" t="str">
        <f t="shared" si="58"/>
        <v/>
      </c>
    </row>
    <row r="941" spans="1:11" x14ac:dyDescent="0.25">
      <c r="A941">
        <v>9338</v>
      </c>
      <c r="B941">
        <v>119.03405510923</v>
      </c>
      <c r="C941">
        <v>33.189313727152502</v>
      </c>
      <c r="D941">
        <v>939</v>
      </c>
      <c r="E941">
        <f>VLOOKUP(A941, Athletes_Map!A:B, 2, FALSE)</f>
        <v>890</v>
      </c>
      <c r="F941" t="str">
        <f>VLOOKUP(A941, Athletes_Map!A:C, 3, FALSE)</f>
        <v>Player 890</v>
      </c>
      <c r="G941">
        <v>95</v>
      </c>
      <c r="H941">
        <f t="shared" si="59"/>
        <v>1</v>
      </c>
      <c r="I941" t="str">
        <f t="shared" si="56"/>
        <v>Normal</v>
      </c>
      <c r="J941" t="str">
        <f t="shared" si="57"/>
        <v>Normal</v>
      </c>
      <c r="K941" t="str">
        <f t="shared" si="58"/>
        <v/>
      </c>
    </row>
    <row r="942" spans="1:11" x14ac:dyDescent="0.25">
      <c r="A942">
        <v>9352</v>
      </c>
      <c r="B942">
        <v>147.15793019432999</v>
      </c>
      <c r="C942">
        <v>32.8950776054673</v>
      </c>
      <c r="D942">
        <v>940</v>
      </c>
      <c r="E942">
        <f>VLOOKUP(A942, Athletes_Map!A:B, 2, FALSE)</f>
        <v>891</v>
      </c>
      <c r="F942" t="str">
        <f>VLOOKUP(A942, Athletes_Map!A:C, 3, FALSE)</f>
        <v>Player 891</v>
      </c>
      <c r="G942">
        <v>93</v>
      </c>
      <c r="H942">
        <f t="shared" si="59"/>
        <v>2</v>
      </c>
      <c r="I942" t="str">
        <f t="shared" si="56"/>
        <v>Normal</v>
      </c>
      <c r="J942" t="str">
        <f t="shared" si="57"/>
        <v>Normal</v>
      </c>
      <c r="K942" t="str">
        <f t="shared" si="58"/>
        <v/>
      </c>
    </row>
    <row r="943" spans="1:11" x14ac:dyDescent="0.25">
      <c r="A943">
        <v>9389</v>
      </c>
      <c r="B943">
        <v>134.449701898987</v>
      </c>
      <c r="C943">
        <v>31.7517675362209</v>
      </c>
      <c r="D943">
        <v>941</v>
      </c>
      <c r="E943">
        <f>VLOOKUP(A943, Athletes_Map!A:B, 2, FALSE)</f>
        <v>892</v>
      </c>
      <c r="F943" t="str">
        <f>VLOOKUP(A943, Athletes_Map!A:C, 3, FALSE)</f>
        <v>Player 892</v>
      </c>
      <c r="G943">
        <v>93</v>
      </c>
      <c r="H943">
        <f t="shared" si="59"/>
        <v>2</v>
      </c>
      <c r="I943" t="str">
        <f t="shared" si="56"/>
        <v>Normal</v>
      </c>
      <c r="J943" t="str">
        <f t="shared" si="57"/>
        <v>Normal</v>
      </c>
      <c r="K943" t="str">
        <f t="shared" si="58"/>
        <v/>
      </c>
    </row>
    <row r="944" spans="1:11" x14ac:dyDescent="0.25">
      <c r="A944">
        <v>9392</v>
      </c>
      <c r="B944">
        <v>170.41601271271</v>
      </c>
      <c r="C944">
        <v>34.564209518321697</v>
      </c>
      <c r="D944">
        <v>942</v>
      </c>
      <c r="E944">
        <f>VLOOKUP(A944, Athletes_Map!A:B, 2, FALSE)</f>
        <v>893</v>
      </c>
      <c r="F944" t="str">
        <f>VLOOKUP(A944, Athletes_Map!A:C, 3, FALSE)</f>
        <v>Player 893</v>
      </c>
      <c r="G944">
        <v>92</v>
      </c>
      <c r="H944">
        <f t="shared" si="59"/>
        <v>3</v>
      </c>
      <c r="I944" t="str">
        <f t="shared" si="56"/>
        <v>Alert</v>
      </c>
      <c r="J944" t="str">
        <f t="shared" si="57"/>
        <v>Heart Rate</v>
      </c>
      <c r="K944">
        <f t="shared" si="58"/>
        <v>170.41601271271</v>
      </c>
    </row>
    <row r="945" spans="1:11" x14ac:dyDescent="0.25">
      <c r="A945">
        <v>9393</v>
      </c>
      <c r="B945">
        <v>140.97505816731299</v>
      </c>
      <c r="C945">
        <v>34.375233090016003</v>
      </c>
      <c r="D945">
        <v>943</v>
      </c>
      <c r="E945">
        <f>VLOOKUP(A945, Athletes_Map!A:B, 2, FALSE)</f>
        <v>894</v>
      </c>
      <c r="F945" t="str">
        <f>VLOOKUP(A945, Athletes_Map!A:C, 3, FALSE)</f>
        <v>Player 894</v>
      </c>
      <c r="G945">
        <v>90</v>
      </c>
      <c r="H945">
        <f t="shared" si="59"/>
        <v>3</v>
      </c>
      <c r="I945" t="str">
        <f t="shared" si="56"/>
        <v>Alert</v>
      </c>
      <c r="J945" t="str">
        <f t="shared" si="57"/>
        <v>Oxygen</v>
      </c>
      <c r="K945">
        <f t="shared" si="58"/>
        <v>90</v>
      </c>
    </row>
    <row r="946" spans="1:11" x14ac:dyDescent="0.25">
      <c r="A946">
        <v>9415</v>
      </c>
      <c r="B946">
        <v>181.38659079963301</v>
      </c>
      <c r="C946">
        <v>32.2818749033027</v>
      </c>
      <c r="D946">
        <v>944</v>
      </c>
      <c r="E946">
        <f>VLOOKUP(A946, Athletes_Map!A:B, 2, FALSE)</f>
        <v>895</v>
      </c>
      <c r="F946" t="str">
        <f>VLOOKUP(A946, Athletes_Map!A:C, 3, FALSE)</f>
        <v>Player 895</v>
      </c>
      <c r="G946">
        <v>91</v>
      </c>
      <c r="H946">
        <f t="shared" si="59"/>
        <v>3</v>
      </c>
      <c r="I946" t="str">
        <f t="shared" si="56"/>
        <v>Alert</v>
      </c>
      <c r="J946" t="str">
        <f t="shared" si="57"/>
        <v>Heart Rate</v>
      </c>
      <c r="K946">
        <f t="shared" si="58"/>
        <v>181.38659079963301</v>
      </c>
    </row>
    <row r="947" spans="1:11" x14ac:dyDescent="0.25">
      <c r="A947">
        <v>9427</v>
      </c>
      <c r="B947">
        <v>108.763275352996</v>
      </c>
      <c r="C947">
        <v>34.207109414155703</v>
      </c>
      <c r="D947">
        <v>945</v>
      </c>
      <c r="E947">
        <f>VLOOKUP(A947, Athletes_Map!A:B, 2, FALSE)</f>
        <v>896</v>
      </c>
      <c r="F947" t="str">
        <f>VLOOKUP(A947, Athletes_Map!A:C, 3, FALSE)</f>
        <v>Player 896</v>
      </c>
      <c r="G947">
        <v>98</v>
      </c>
      <c r="H947">
        <f t="shared" si="59"/>
        <v>1</v>
      </c>
      <c r="I947" t="str">
        <f t="shared" si="56"/>
        <v>Normal</v>
      </c>
      <c r="J947" t="str">
        <f t="shared" si="57"/>
        <v>Normal</v>
      </c>
      <c r="K947" t="str">
        <f t="shared" si="58"/>
        <v/>
      </c>
    </row>
    <row r="948" spans="1:11" x14ac:dyDescent="0.25">
      <c r="A948">
        <v>9433</v>
      </c>
      <c r="B948">
        <v>142.98272228704101</v>
      </c>
      <c r="C948">
        <v>30.440885248614101</v>
      </c>
      <c r="D948">
        <v>946</v>
      </c>
      <c r="E948">
        <f>VLOOKUP(A948, Athletes_Map!A:B, 2, FALSE)</f>
        <v>897</v>
      </c>
      <c r="F948" t="str">
        <f>VLOOKUP(A948, Athletes_Map!A:C, 3, FALSE)</f>
        <v>Player 897</v>
      </c>
      <c r="G948">
        <v>92</v>
      </c>
      <c r="H948">
        <f t="shared" si="59"/>
        <v>2</v>
      </c>
      <c r="I948" t="str">
        <f t="shared" si="56"/>
        <v>Normal</v>
      </c>
      <c r="J948" t="str">
        <f t="shared" si="57"/>
        <v>Normal</v>
      </c>
      <c r="K948" t="str">
        <f t="shared" si="58"/>
        <v/>
      </c>
    </row>
    <row r="949" spans="1:11" x14ac:dyDescent="0.25">
      <c r="A949">
        <v>9434</v>
      </c>
      <c r="B949">
        <v>99.784744816883602</v>
      </c>
      <c r="C949">
        <v>33.346473603611798</v>
      </c>
      <c r="D949">
        <v>947</v>
      </c>
      <c r="E949">
        <f>VLOOKUP(A949, Athletes_Map!A:B, 2, FALSE)</f>
        <v>898</v>
      </c>
      <c r="F949" t="str">
        <f>VLOOKUP(A949, Athletes_Map!A:C, 3, FALSE)</f>
        <v>Player 898</v>
      </c>
      <c r="G949">
        <v>98</v>
      </c>
      <c r="H949">
        <f t="shared" si="59"/>
        <v>1</v>
      </c>
      <c r="I949" t="str">
        <f t="shared" si="56"/>
        <v>Normal</v>
      </c>
      <c r="J949" t="str">
        <f t="shared" si="57"/>
        <v>Normal</v>
      </c>
      <c r="K949" t="str">
        <f t="shared" si="58"/>
        <v/>
      </c>
    </row>
    <row r="950" spans="1:11" x14ac:dyDescent="0.25">
      <c r="A950">
        <v>9445</v>
      </c>
      <c r="B950">
        <v>107.802877180401</v>
      </c>
      <c r="C950">
        <v>34.590518530913997</v>
      </c>
      <c r="D950">
        <v>948</v>
      </c>
      <c r="E950">
        <f>VLOOKUP(A950, Athletes_Map!A:B, 2, FALSE)</f>
        <v>899</v>
      </c>
      <c r="F950" t="str">
        <f>VLOOKUP(A950, Athletes_Map!A:C, 3, FALSE)</f>
        <v>Player 899</v>
      </c>
      <c r="G950">
        <v>100</v>
      </c>
      <c r="H950">
        <f t="shared" si="59"/>
        <v>1</v>
      </c>
      <c r="I950" t="str">
        <f t="shared" si="56"/>
        <v>Normal</v>
      </c>
      <c r="J950" t="str">
        <f t="shared" si="57"/>
        <v>Normal</v>
      </c>
      <c r="K950" t="str">
        <f t="shared" si="58"/>
        <v/>
      </c>
    </row>
    <row r="951" spans="1:11" x14ac:dyDescent="0.25">
      <c r="A951">
        <v>9472</v>
      </c>
      <c r="B951">
        <v>134.453909209801</v>
      </c>
      <c r="C951">
        <v>32.369242879217502</v>
      </c>
      <c r="D951">
        <v>949</v>
      </c>
      <c r="E951">
        <f>VLOOKUP(A951, Athletes_Map!A:B, 2, FALSE)</f>
        <v>900</v>
      </c>
      <c r="F951" t="str">
        <f>VLOOKUP(A951, Athletes_Map!A:C, 3, FALSE)</f>
        <v>Player 900</v>
      </c>
      <c r="G951">
        <v>93</v>
      </c>
      <c r="H951">
        <f t="shared" si="59"/>
        <v>2</v>
      </c>
      <c r="I951" t="str">
        <f t="shared" si="56"/>
        <v>Normal</v>
      </c>
      <c r="J951" t="str">
        <f t="shared" si="57"/>
        <v>Normal</v>
      </c>
      <c r="K951" t="str">
        <f t="shared" si="58"/>
        <v/>
      </c>
    </row>
    <row r="952" spans="1:11" x14ac:dyDescent="0.25">
      <c r="A952">
        <v>9477</v>
      </c>
      <c r="B952">
        <v>132.63862946017801</v>
      </c>
      <c r="C952">
        <v>32.660138353265701</v>
      </c>
      <c r="D952">
        <v>950</v>
      </c>
      <c r="E952">
        <f>VLOOKUP(A952, Athletes_Map!A:B, 2, FALSE)</f>
        <v>901</v>
      </c>
      <c r="F952" t="str">
        <f>VLOOKUP(A952, Athletes_Map!A:C, 3, FALSE)</f>
        <v>Player 901</v>
      </c>
      <c r="G952">
        <v>95</v>
      </c>
      <c r="H952">
        <f t="shared" si="59"/>
        <v>2</v>
      </c>
      <c r="I952" t="str">
        <f t="shared" si="56"/>
        <v>Normal</v>
      </c>
      <c r="J952" t="str">
        <f t="shared" si="57"/>
        <v>Normal</v>
      </c>
      <c r="K952" t="str">
        <f t="shared" si="58"/>
        <v/>
      </c>
    </row>
    <row r="953" spans="1:11" x14ac:dyDescent="0.25">
      <c r="A953">
        <v>9512</v>
      </c>
      <c r="B953">
        <v>138.69102606394</v>
      </c>
      <c r="C953">
        <v>32.449633636678698</v>
      </c>
      <c r="D953">
        <v>951</v>
      </c>
      <c r="E953">
        <f>VLOOKUP(A953, Athletes_Map!A:B, 2, FALSE)</f>
        <v>902</v>
      </c>
      <c r="F953" t="str">
        <f>VLOOKUP(A953, Athletes_Map!A:C, 3, FALSE)</f>
        <v>Player 902</v>
      </c>
      <c r="G953">
        <v>93</v>
      </c>
      <c r="H953">
        <f t="shared" si="59"/>
        <v>2</v>
      </c>
      <c r="I953" t="str">
        <f t="shared" si="56"/>
        <v>Normal</v>
      </c>
      <c r="J953" t="str">
        <f t="shared" si="57"/>
        <v>Normal</v>
      </c>
      <c r="K953" t="str">
        <f t="shared" si="58"/>
        <v/>
      </c>
    </row>
    <row r="954" spans="1:11" x14ac:dyDescent="0.25">
      <c r="A954">
        <v>9527</v>
      </c>
      <c r="B954">
        <v>126.43769678068099</v>
      </c>
      <c r="C954">
        <v>30.591051767105899</v>
      </c>
      <c r="D954">
        <v>952</v>
      </c>
      <c r="E954">
        <f>VLOOKUP(A954, Athletes_Map!A:B, 2, FALSE)</f>
        <v>903</v>
      </c>
      <c r="F954" t="str">
        <f>VLOOKUP(A954, Athletes_Map!A:C, 3, FALSE)</f>
        <v>Player 903</v>
      </c>
      <c r="G954">
        <v>94</v>
      </c>
      <c r="H954">
        <f t="shared" si="59"/>
        <v>2</v>
      </c>
      <c r="I954" t="str">
        <f t="shared" si="56"/>
        <v>Normal</v>
      </c>
      <c r="J954" t="str">
        <f t="shared" si="57"/>
        <v>Normal</v>
      </c>
      <c r="K954" t="str">
        <f t="shared" si="58"/>
        <v/>
      </c>
    </row>
    <row r="955" spans="1:11" x14ac:dyDescent="0.25">
      <c r="A955">
        <v>9529</v>
      </c>
      <c r="B955">
        <v>122.503628446086</v>
      </c>
      <c r="C955">
        <v>33.386014249651801</v>
      </c>
      <c r="D955">
        <v>953</v>
      </c>
      <c r="E955">
        <f>VLOOKUP(A955, Athletes_Map!A:B, 2, FALSE)</f>
        <v>904</v>
      </c>
      <c r="F955" t="str">
        <f>VLOOKUP(A955, Athletes_Map!A:C, 3, FALSE)</f>
        <v>Player 904</v>
      </c>
      <c r="G955">
        <v>93</v>
      </c>
      <c r="H955">
        <f t="shared" si="59"/>
        <v>2</v>
      </c>
      <c r="I955" t="str">
        <f t="shared" si="56"/>
        <v>Normal</v>
      </c>
      <c r="J955" t="str">
        <f t="shared" si="57"/>
        <v>Normal</v>
      </c>
      <c r="K955" t="str">
        <f t="shared" si="58"/>
        <v/>
      </c>
    </row>
    <row r="956" spans="1:11" x14ac:dyDescent="0.25">
      <c r="A956">
        <v>9533</v>
      </c>
      <c r="B956">
        <v>186.79127284037199</v>
      </c>
      <c r="C956">
        <v>32.724741201773398</v>
      </c>
      <c r="D956">
        <v>954</v>
      </c>
      <c r="E956">
        <f>VLOOKUP(A956, Athletes_Map!A:B, 2, FALSE)</f>
        <v>905</v>
      </c>
      <c r="F956" t="str">
        <f>VLOOKUP(A956, Athletes_Map!A:C, 3, FALSE)</f>
        <v>Player 905</v>
      </c>
      <c r="G956">
        <v>93</v>
      </c>
      <c r="H956">
        <f t="shared" si="59"/>
        <v>3</v>
      </c>
      <c r="I956" t="str">
        <f t="shared" si="56"/>
        <v>Alert</v>
      </c>
      <c r="J956" t="str">
        <f t="shared" si="57"/>
        <v>Heart Rate</v>
      </c>
      <c r="K956">
        <f t="shared" si="58"/>
        <v>186.79127284037199</v>
      </c>
    </row>
    <row r="957" spans="1:11" x14ac:dyDescent="0.25">
      <c r="A957">
        <v>9549</v>
      </c>
      <c r="B957">
        <v>127.41744518025</v>
      </c>
      <c r="C957">
        <v>30.789722672450502</v>
      </c>
      <c r="D957">
        <v>955</v>
      </c>
      <c r="E957">
        <f>VLOOKUP(A957, Athletes_Map!A:B, 2, FALSE)</f>
        <v>906</v>
      </c>
      <c r="F957" t="str">
        <f>VLOOKUP(A957, Athletes_Map!A:C, 3, FALSE)</f>
        <v>Player 906</v>
      </c>
      <c r="G957">
        <v>94</v>
      </c>
      <c r="H957">
        <f t="shared" si="59"/>
        <v>2</v>
      </c>
      <c r="I957" t="str">
        <f t="shared" si="56"/>
        <v>Normal</v>
      </c>
      <c r="J957" t="str">
        <f t="shared" si="57"/>
        <v>Normal</v>
      </c>
      <c r="K957" t="str">
        <f t="shared" si="58"/>
        <v/>
      </c>
    </row>
    <row r="958" spans="1:11" x14ac:dyDescent="0.25">
      <c r="A958">
        <v>9554</v>
      </c>
      <c r="B958">
        <v>157.97274698857399</v>
      </c>
      <c r="C958">
        <v>31.818559139421598</v>
      </c>
      <c r="D958">
        <v>956</v>
      </c>
      <c r="E958">
        <f>VLOOKUP(A958, Athletes_Map!A:B, 2, FALSE)</f>
        <v>907</v>
      </c>
      <c r="F958" t="str">
        <f>VLOOKUP(A958, Athletes_Map!A:C, 3, FALSE)</f>
        <v>Player 907</v>
      </c>
      <c r="G958">
        <v>93</v>
      </c>
      <c r="H958">
        <f t="shared" si="59"/>
        <v>3</v>
      </c>
      <c r="I958" t="str">
        <f t="shared" si="56"/>
        <v>Alert</v>
      </c>
      <c r="J958" t="str">
        <f t="shared" si="57"/>
        <v>Heart Rate</v>
      </c>
      <c r="K958">
        <f t="shared" si="58"/>
        <v>157.97274698857399</v>
      </c>
    </row>
    <row r="959" spans="1:11" x14ac:dyDescent="0.25">
      <c r="A959">
        <v>9567</v>
      </c>
      <c r="B959">
        <v>134.93251085177999</v>
      </c>
      <c r="C959">
        <v>33.495598694565302</v>
      </c>
      <c r="D959">
        <v>957</v>
      </c>
      <c r="E959">
        <f>VLOOKUP(A959, Athletes_Map!A:B, 2, FALSE)</f>
        <v>908</v>
      </c>
      <c r="F959" t="str">
        <f>VLOOKUP(A959, Athletes_Map!A:C, 3, FALSE)</f>
        <v>Player 908</v>
      </c>
      <c r="G959">
        <v>93</v>
      </c>
      <c r="H959">
        <f t="shared" si="59"/>
        <v>2</v>
      </c>
      <c r="I959" t="str">
        <f t="shared" si="56"/>
        <v>Normal</v>
      </c>
      <c r="J959" t="str">
        <f t="shared" si="57"/>
        <v>Normal</v>
      </c>
      <c r="K959" t="str">
        <f t="shared" si="58"/>
        <v/>
      </c>
    </row>
    <row r="960" spans="1:11" x14ac:dyDescent="0.25">
      <c r="A960">
        <v>9571</v>
      </c>
      <c r="B960">
        <v>119.892341352933</v>
      </c>
      <c r="C960">
        <v>33.214171996662401</v>
      </c>
      <c r="D960">
        <v>958</v>
      </c>
      <c r="E960">
        <f>VLOOKUP(A960, Athletes_Map!A:B, 2, FALSE)</f>
        <v>909</v>
      </c>
      <c r="F960" t="str">
        <f>VLOOKUP(A960, Athletes_Map!A:C, 3, FALSE)</f>
        <v>Player 909</v>
      </c>
      <c r="G960">
        <v>96</v>
      </c>
      <c r="H960">
        <f t="shared" si="59"/>
        <v>1</v>
      </c>
      <c r="I960" t="str">
        <f t="shared" si="56"/>
        <v>Normal</v>
      </c>
      <c r="J960" t="str">
        <f t="shared" si="57"/>
        <v>Normal</v>
      </c>
      <c r="K960" t="str">
        <f t="shared" si="58"/>
        <v/>
      </c>
    </row>
    <row r="961" spans="1:11" x14ac:dyDescent="0.25">
      <c r="A961">
        <v>9577</v>
      </c>
      <c r="B961">
        <v>156.60096131429199</v>
      </c>
      <c r="C961">
        <v>34.513823103042597</v>
      </c>
      <c r="D961">
        <v>959</v>
      </c>
      <c r="E961">
        <f>VLOOKUP(A961, Athletes_Map!A:B, 2, FALSE)</f>
        <v>910</v>
      </c>
      <c r="F961" t="str">
        <f>VLOOKUP(A961, Athletes_Map!A:C, 3, FALSE)</f>
        <v>Player 910</v>
      </c>
      <c r="G961">
        <v>94</v>
      </c>
      <c r="H961">
        <f t="shared" si="59"/>
        <v>3</v>
      </c>
      <c r="I961" t="str">
        <f t="shared" si="56"/>
        <v>Alert</v>
      </c>
      <c r="J961" t="str">
        <f t="shared" si="57"/>
        <v>Heart Rate</v>
      </c>
      <c r="K961">
        <f t="shared" si="58"/>
        <v>156.60096131429199</v>
      </c>
    </row>
    <row r="962" spans="1:11" x14ac:dyDescent="0.25">
      <c r="A962">
        <v>9580</v>
      </c>
      <c r="B962">
        <v>113.69772673849199</v>
      </c>
      <c r="C962">
        <v>31.647004681256298</v>
      </c>
      <c r="D962">
        <v>960</v>
      </c>
      <c r="E962">
        <f>VLOOKUP(A962, Athletes_Map!A:B, 2, FALSE)</f>
        <v>911</v>
      </c>
      <c r="F962" t="str">
        <f>VLOOKUP(A962, Athletes_Map!A:C, 3, FALSE)</f>
        <v>Player 911</v>
      </c>
      <c r="G962">
        <v>93</v>
      </c>
      <c r="H962">
        <f t="shared" si="59"/>
        <v>2</v>
      </c>
      <c r="I962" t="str">
        <f t="shared" ref="I962:I1025" si="60">IF(H962=3, "Alert", "Normal")</f>
        <v>Normal</v>
      </c>
      <c r="J962" t="str">
        <f t="shared" ref="J962:J1001" si="61">IF(B962&gt;150,"Heart Rate",
IF(C962&gt;37.5,"Temperature",
IF(G962&lt;92,"Oxygen","Normal")))</f>
        <v>Normal</v>
      </c>
      <c r="K962" t="str">
        <f t="shared" ref="K962:K1025" si="62">IF(J962="Heart Rate",B962,IF(J962="Temperature",C962,IF(J962="Oxygen",G962,"")))</f>
        <v/>
      </c>
    </row>
    <row r="963" spans="1:11" x14ac:dyDescent="0.25">
      <c r="A963">
        <v>9609</v>
      </c>
      <c r="B963">
        <v>136.357110210548</v>
      </c>
      <c r="C963">
        <v>34.3152838889728</v>
      </c>
      <c r="D963">
        <v>961</v>
      </c>
      <c r="E963">
        <f>VLOOKUP(A963, Athletes_Map!A:B, 2, FALSE)</f>
        <v>912</v>
      </c>
      <c r="F963" t="str">
        <f>VLOOKUP(A963, Athletes_Map!A:C, 3, FALSE)</f>
        <v>Player 912</v>
      </c>
      <c r="G963">
        <v>96</v>
      </c>
      <c r="H963">
        <f t="shared" ref="H963:H1001" si="63">IF(OR(B963&gt;150, C963&gt;37.5, G963&lt;92), 3,
IF(OR(B963&gt;120, C963&gt;37, G963&lt;94), 2,
1))</f>
        <v>2</v>
      </c>
      <c r="I963" t="str">
        <f t="shared" si="60"/>
        <v>Normal</v>
      </c>
      <c r="J963" t="str">
        <f t="shared" si="61"/>
        <v>Normal</v>
      </c>
      <c r="K963" t="str">
        <f t="shared" si="62"/>
        <v/>
      </c>
    </row>
    <row r="964" spans="1:11" x14ac:dyDescent="0.25">
      <c r="A964">
        <v>9647</v>
      </c>
      <c r="B964">
        <v>106.94789456400601</v>
      </c>
      <c r="C964">
        <v>31.971777761846599</v>
      </c>
      <c r="D964">
        <v>962</v>
      </c>
      <c r="E964">
        <f>VLOOKUP(A964, Athletes_Map!A:B, 2, FALSE)</f>
        <v>913</v>
      </c>
      <c r="F964" t="str">
        <f>VLOOKUP(A964, Athletes_Map!A:C, 3, FALSE)</f>
        <v>Player 913</v>
      </c>
      <c r="G964">
        <v>96</v>
      </c>
      <c r="H964">
        <f t="shared" si="63"/>
        <v>1</v>
      </c>
      <c r="I964" t="str">
        <f t="shared" si="60"/>
        <v>Normal</v>
      </c>
      <c r="J964" t="str">
        <f t="shared" si="61"/>
        <v>Normal</v>
      </c>
      <c r="K964" t="str">
        <f t="shared" si="62"/>
        <v/>
      </c>
    </row>
    <row r="965" spans="1:11" x14ac:dyDescent="0.25">
      <c r="A965">
        <v>9659</v>
      </c>
      <c r="B965">
        <v>130.819534854279</v>
      </c>
      <c r="C965">
        <v>34.0117263987878</v>
      </c>
      <c r="D965">
        <v>963</v>
      </c>
      <c r="E965">
        <f>VLOOKUP(A965, Athletes_Map!A:B, 2, FALSE)</f>
        <v>914</v>
      </c>
      <c r="F965" t="str">
        <f>VLOOKUP(A965, Athletes_Map!A:C, 3, FALSE)</f>
        <v>Player 914</v>
      </c>
      <c r="G965">
        <v>96</v>
      </c>
      <c r="H965">
        <f t="shared" si="63"/>
        <v>2</v>
      </c>
      <c r="I965" t="str">
        <f t="shared" si="60"/>
        <v>Normal</v>
      </c>
      <c r="J965" t="str">
        <f t="shared" si="61"/>
        <v>Normal</v>
      </c>
      <c r="K965" t="str">
        <f t="shared" si="62"/>
        <v/>
      </c>
    </row>
    <row r="966" spans="1:11" x14ac:dyDescent="0.25">
      <c r="A966">
        <v>9662</v>
      </c>
      <c r="B966">
        <v>167.782336108881</v>
      </c>
      <c r="C966">
        <v>31.584648402590599</v>
      </c>
      <c r="D966">
        <v>964</v>
      </c>
      <c r="E966">
        <f>VLOOKUP(A966, Athletes_Map!A:B, 2, FALSE)</f>
        <v>915</v>
      </c>
      <c r="F966" t="str">
        <f>VLOOKUP(A966, Athletes_Map!A:C, 3, FALSE)</f>
        <v>Player 915</v>
      </c>
      <c r="G966">
        <v>92</v>
      </c>
      <c r="H966">
        <f t="shared" si="63"/>
        <v>3</v>
      </c>
      <c r="I966" t="str">
        <f t="shared" si="60"/>
        <v>Alert</v>
      </c>
      <c r="J966" t="str">
        <f t="shared" si="61"/>
        <v>Heart Rate</v>
      </c>
      <c r="K966">
        <f t="shared" si="62"/>
        <v>167.782336108881</v>
      </c>
    </row>
    <row r="967" spans="1:11" x14ac:dyDescent="0.25">
      <c r="A967">
        <v>9666</v>
      </c>
      <c r="B967">
        <v>128.80907121371999</v>
      </c>
      <c r="C967">
        <v>32.621895922566999</v>
      </c>
      <c r="D967">
        <v>965</v>
      </c>
      <c r="E967">
        <f>VLOOKUP(A967, Athletes_Map!A:B, 2, FALSE)</f>
        <v>916</v>
      </c>
      <c r="F967" t="str">
        <f>VLOOKUP(A967, Athletes_Map!A:C, 3, FALSE)</f>
        <v>Player 916</v>
      </c>
      <c r="G967">
        <v>96</v>
      </c>
      <c r="H967">
        <f t="shared" si="63"/>
        <v>2</v>
      </c>
      <c r="I967" t="str">
        <f t="shared" si="60"/>
        <v>Normal</v>
      </c>
      <c r="J967" t="str">
        <f t="shared" si="61"/>
        <v>Normal</v>
      </c>
      <c r="K967" t="str">
        <f t="shared" si="62"/>
        <v/>
      </c>
    </row>
    <row r="968" spans="1:11" x14ac:dyDescent="0.25">
      <c r="A968">
        <v>9666</v>
      </c>
      <c r="B968">
        <v>160.62032723470199</v>
      </c>
      <c r="C968">
        <v>32.120437321051398</v>
      </c>
      <c r="D968">
        <v>966</v>
      </c>
      <c r="E968">
        <f>VLOOKUP(A968, Athletes_Map!A:B, 2, FALSE)</f>
        <v>916</v>
      </c>
      <c r="F968" t="str">
        <f>VLOOKUP(A968, Athletes_Map!A:C, 3, FALSE)</f>
        <v>Player 916</v>
      </c>
      <c r="G968">
        <v>91</v>
      </c>
      <c r="H968">
        <f t="shared" si="63"/>
        <v>3</v>
      </c>
      <c r="I968" t="str">
        <f t="shared" si="60"/>
        <v>Alert</v>
      </c>
      <c r="J968" t="str">
        <f t="shared" si="61"/>
        <v>Heart Rate</v>
      </c>
      <c r="K968">
        <f t="shared" si="62"/>
        <v>160.62032723470199</v>
      </c>
    </row>
    <row r="969" spans="1:11" x14ac:dyDescent="0.25">
      <c r="A969">
        <v>9669</v>
      </c>
      <c r="B969">
        <v>159.53866447768601</v>
      </c>
      <c r="C969">
        <v>32.722716627050701</v>
      </c>
      <c r="D969">
        <v>967</v>
      </c>
      <c r="E969">
        <f>VLOOKUP(A969, Athletes_Map!A:B, 2, FALSE)</f>
        <v>917</v>
      </c>
      <c r="F969" t="str">
        <f>VLOOKUP(A969, Athletes_Map!A:C, 3, FALSE)</f>
        <v>Player 917</v>
      </c>
      <c r="G969">
        <v>91</v>
      </c>
      <c r="H969">
        <f t="shared" si="63"/>
        <v>3</v>
      </c>
      <c r="I969" t="str">
        <f t="shared" si="60"/>
        <v>Alert</v>
      </c>
      <c r="J969" t="str">
        <f t="shared" si="61"/>
        <v>Heart Rate</v>
      </c>
      <c r="K969">
        <f t="shared" si="62"/>
        <v>159.53866447768601</v>
      </c>
    </row>
    <row r="970" spans="1:11" x14ac:dyDescent="0.25">
      <c r="A970">
        <v>9680</v>
      </c>
      <c r="B970">
        <v>170.891157270355</v>
      </c>
      <c r="C970">
        <v>34.430279201296202</v>
      </c>
      <c r="D970">
        <v>968</v>
      </c>
      <c r="E970">
        <f>VLOOKUP(A970, Athletes_Map!A:B, 2, FALSE)</f>
        <v>918</v>
      </c>
      <c r="F970" t="str">
        <f>VLOOKUP(A970, Athletes_Map!A:C, 3, FALSE)</f>
        <v>Player 918</v>
      </c>
      <c r="G970">
        <v>94</v>
      </c>
      <c r="H970">
        <f t="shared" si="63"/>
        <v>3</v>
      </c>
      <c r="I970" t="str">
        <f t="shared" si="60"/>
        <v>Alert</v>
      </c>
      <c r="J970" t="str">
        <f t="shared" si="61"/>
        <v>Heart Rate</v>
      </c>
      <c r="K970">
        <f t="shared" si="62"/>
        <v>170.891157270355</v>
      </c>
    </row>
    <row r="971" spans="1:11" x14ac:dyDescent="0.25">
      <c r="A971">
        <v>9684</v>
      </c>
      <c r="B971">
        <v>122.769643940161</v>
      </c>
      <c r="C971">
        <v>34.714629249376202</v>
      </c>
      <c r="D971">
        <v>969</v>
      </c>
      <c r="E971">
        <f>VLOOKUP(A971, Athletes_Map!A:B, 2, FALSE)</f>
        <v>919</v>
      </c>
      <c r="F971" t="str">
        <f>VLOOKUP(A971, Athletes_Map!A:C, 3, FALSE)</f>
        <v>Player 919</v>
      </c>
      <c r="G971">
        <v>95</v>
      </c>
      <c r="H971">
        <f t="shared" si="63"/>
        <v>2</v>
      </c>
      <c r="I971" t="str">
        <f t="shared" si="60"/>
        <v>Normal</v>
      </c>
      <c r="J971" t="str">
        <f t="shared" si="61"/>
        <v>Normal</v>
      </c>
      <c r="K971" t="str">
        <f t="shared" si="62"/>
        <v/>
      </c>
    </row>
    <row r="972" spans="1:11" x14ac:dyDescent="0.25">
      <c r="A972">
        <v>9691</v>
      </c>
      <c r="B972">
        <v>146.00104198049101</v>
      </c>
      <c r="C972">
        <v>32.500049633261398</v>
      </c>
      <c r="D972">
        <v>970</v>
      </c>
      <c r="E972">
        <f>VLOOKUP(A972, Athletes_Map!A:B, 2, FALSE)</f>
        <v>920</v>
      </c>
      <c r="F972" t="str">
        <f>VLOOKUP(A972, Athletes_Map!A:C, 3, FALSE)</f>
        <v>Player 920</v>
      </c>
      <c r="G972">
        <v>90</v>
      </c>
      <c r="H972">
        <f t="shared" si="63"/>
        <v>3</v>
      </c>
      <c r="I972" t="str">
        <f t="shared" si="60"/>
        <v>Alert</v>
      </c>
      <c r="J972" t="str">
        <f t="shared" si="61"/>
        <v>Oxygen</v>
      </c>
      <c r="K972">
        <f t="shared" si="62"/>
        <v>90</v>
      </c>
    </row>
    <row r="973" spans="1:11" x14ac:dyDescent="0.25">
      <c r="A973">
        <v>9702</v>
      </c>
      <c r="B973">
        <v>115.633110902727</v>
      </c>
      <c r="C973">
        <v>32.924252384266502</v>
      </c>
      <c r="D973">
        <v>971</v>
      </c>
      <c r="E973">
        <f>VLOOKUP(A973, Athletes_Map!A:B, 2, FALSE)</f>
        <v>921</v>
      </c>
      <c r="F973" t="str">
        <f>VLOOKUP(A973, Athletes_Map!A:C, 3, FALSE)</f>
        <v>Player 921</v>
      </c>
      <c r="G973">
        <v>93</v>
      </c>
      <c r="H973">
        <f t="shared" si="63"/>
        <v>2</v>
      </c>
      <c r="I973" t="str">
        <f t="shared" si="60"/>
        <v>Normal</v>
      </c>
      <c r="J973" t="str">
        <f t="shared" si="61"/>
        <v>Normal</v>
      </c>
      <c r="K973" t="str">
        <f t="shared" si="62"/>
        <v/>
      </c>
    </row>
    <row r="974" spans="1:11" x14ac:dyDescent="0.25">
      <c r="A974">
        <v>9702</v>
      </c>
      <c r="B974">
        <v>98.275892537933998</v>
      </c>
      <c r="C974">
        <v>32.4508401007948</v>
      </c>
      <c r="D974">
        <v>972</v>
      </c>
      <c r="E974">
        <f>VLOOKUP(A974, Athletes_Map!A:B, 2, FALSE)</f>
        <v>921</v>
      </c>
      <c r="F974" t="str">
        <f>VLOOKUP(A974, Athletes_Map!A:C, 3, FALSE)</f>
        <v>Player 921</v>
      </c>
      <c r="G974">
        <v>97</v>
      </c>
      <c r="H974">
        <f t="shared" si="63"/>
        <v>1</v>
      </c>
      <c r="I974" t="str">
        <f t="shared" si="60"/>
        <v>Normal</v>
      </c>
      <c r="J974" t="str">
        <f t="shared" si="61"/>
        <v>Normal</v>
      </c>
      <c r="K974" t="str">
        <f t="shared" si="62"/>
        <v/>
      </c>
    </row>
    <row r="975" spans="1:11" x14ac:dyDescent="0.25">
      <c r="A975">
        <v>9716</v>
      </c>
      <c r="B975">
        <v>94.165302631514095</v>
      </c>
      <c r="C975">
        <v>32.434483511156898</v>
      </c>
      <c r="D975">
        <v>973</v>
      </c>
      <c r="E975">
        <f>VLOOKUP(A975, Athletes_Map!A:B, 2, FALSE)</f>
        <v>922</v>
      </c>
      <c r="F975" t="str">
        <f>VLOOKUP(A975, Athletes_Map!A:C, 3, FALSE)</f>
        <v>Player 922</v>
      </c>
      <c r="G975">
        <v>98</v>
      </c>
      <c r="H975">
        <f t="shared" si="63"/>
        <v>1</v>
      </c>
      <c r="I975" t="str">
        <f t="shared" si="60"/>
        <v>Normal</v>
      </c>
      <c r="J975" t="str">
        <f t="shared" si="61"/>
        <v>Normal</v>
      </c>
      <c r="K975" t="str">
        <f t="shared" si="62"/>
        <v/>
      </c>
    </row>
    <row r="976" spans="1:11" x14ac:dyDescent="0.25">
      <c r="A976">
        <v>9717</v>
      </c>
      <c r="B976">
        <v>121.862114420572</v>
      </c>
      <c r="C976">
        <v>34.131346216967998</v>
      </c>
      <c r="D976">
        <v>974</v>
      </c>
      <c r="E976">
        <f>VLOOKUP(A976, Athletes_Map!A:B, 2, FALSE)</f>
        <v>923</v>
      </c>
      <c r="F976" t="str">
        <f>VLOOKUP(A976, Athletes_Map!A:C, 3, FALSE)</f>
        <v>Player 923</v>
      </c>
      <c r="G976">
        <v>95</v>
      </c>
      <c r="H976">
        <f t="shared" si="63"/>
        <v>2</v>
      </c>
      <c r="I976" t="str">
        <f t="shared" si="60"/>
        <v>Normal</v>
      </c>
      <c r="J976" t="str">
        <f t="shared" si="61"/>
        <v>Normal</v>
      </c>
      <c r="K976" t="str">
        <f t="shared" si="62"/>
        <v/>
      </c>
    </row>
    <row r="977" spans="1:11" x14ac:dyDescent="0.25">
      <c r="A977">
        <v>9754</v>
      </c>
      <c r="B977">
        <v>91.023880867598294</v>
      </c>
      <c r="C977">
        <v>33.913015985173701</v>
      </c>
      <c r="D977">
        <v>975</v>
      </c>
      <c r="E977">
        <f>VLOOKUP(A977, Athletes_Map!A:B, 2, FALSE)</f>
        <v>924</v>
      </c>
      <c r="F977" t="str">
        <f>VLOOKUP(A977, Athletes_Map!A:C, 3, FALSE)</f>
        <v>Player 924</v>
      </c>
      <c r="G977">
        <v>97</v>
      </c>
      <c r="H977">
        <f t="shared" si="63"/>
        <v>1</v>
      </c>
      <c r="I977" t="str">
        <f t="shared" si="60"/>
        <v>Normal</v>
      </c>
      <c r="J977" t="str">
        <f t="shared" si="61"/>
        <v>Normal</v>
      </c>
      <c r="K977" t="str">
        <f t="shared" si="62"/>
        <v/>
      </c>
    </row>
    <row r="978" spans="1:11" x14ac:dyDescent="0.25">
      <c r="A978">
        <v>9755</v>
      </c>
      <c r="B978">
        <v>109.465028483593</v>
      </c>
      <c r="C978">
        <v>32.711201790563699</v>
      </c>
      <c r="D978">
        <v>976</v>
      </c>
      <c r="E978">
        <f>VLOOKUP(A978, Athletes_Map!A:B, 2, FALSE)</f>
        <v>925</v>
      </c>
      <c r="F978" t="str">
        <f>VLOOKUP(A978, Athletes_Map!A:C, 3, FALSE)</f>
        <v>Player 925</v>
      </c>
      <c r="G978">
        <v>97</v>
      </c>
      <c r="H978">
        <f t="shared" si="63"/>
        <v>1</v>
      </c>
      <c r="I978" t="str">
        <f t="shared" si="60"/>
        <v>Normal</v>
      </c>
      <c r="J978" t="str">
        <f t="shared" si="61"/>
        <v>Normal</v>
      </c>
      <c r="K978" t="str">
        <f t="shared" si="62"/>
        <v/>
      </c>
    </row>
    <row r="979" spans="1:11" x14ac:dyDescent="0.25">
      <c r="A979">
        <v>9766</v>
      </c>
      <c r="B979">
        <v>106.234440433652</v>
      </c>
      <c r="C979">
        <v>35.071471854762699</v>
      </c>
      <c r="D979">
        <v>977</v>
      </c>
      <c r="E979">
        <f>VLOOKUP(A979, Athletes_Map!A:B, 2, FALSE)</f>
        <v>926</v>
      </c>
      <c r="F979" t="str">
        <f>VLOOKUP(A979, Athletes_Map!A:C, 3, FALSE)</f>
        <v>Player 926</v>
      </c>
      <c r="G979">
        <v>98</v>
      </c>
      <c r="H979">
        <f t="shared" si="63"/>
        <v>1</v>
      </c>
      <c r="I979" t="str">
        <f t="shared" si="60"/>
        <v>Normal</v>
      </c>
      <c r="J979" t="str">
        <f t="shared" si="61"/>
        <v>Normal</v>
      </c>
      <c r="K979" t="str">
        <f t="shared" si="62"/>
        <v/>
      </c>
    </row>
    <row r="980" spans="1:11" x14ac:dyDescent="0.25">
      <c r="A980">
        <v>9787</v>
      </c>
      <c r="B980">
        <v>130.11686729418699</v>
      </c>
      <c r="C980">
        <v>32.867024927665</v>
      </c>
      <c r="D980">
        <v>978</v>
      </c>
      <c r="E980">
        <f>VLOOKUP(A980, Athletes_Map!A:B, 2, FALSE)</f>
        <v>927</v>
      </c>
      <c r="F980" t="str">
        <f>VLOOKUP(A980, Athletes_Map!A:C, 3, FALSE)</f>
        <v>Player 927</v>
      </c>
      <c r="G980">
        <v>93</v>
      </c>
      <c r="H980">
        <f t="shared" si="63"/>
        <v>2</v>
      </c>
      <c r="I980" t="str">
        <f t="shared" si="60"/>
        <v>Normal</v>
      </c>
      <c r="J980" t="str">
        <f t="shared" si="61"/>
        <v>Normal</v>
      </c>
      <c r="K980" t="str">
        <f t="shared" si="62"/>
        <v/>
      </c>
    </row>
    <row r="981" spans="1:11" x14ac:dyDescent="0.25">
      <c r="A981">
        <v>9792</v>
      </c>
      <c r="B981">
        <v>124.101618263821</v>
      </c>
      <c r="C981">
        <v>33.337211100338102</v>
      </c>
      <c r="D981">
        <v>979</v>
      </c>
      <c r="E981">
        <f>VLOOKUP(A981, Athletes_Map!A:B, 2, FALSE)</f>
        <v>928</v>
      </c>
      <c r="F981" t="str">
        <f>VLOOKUP(A981, Athletes_Map!A:C, 3, FALSE)</f>
        <v>Player 928</v>
      </c>
      <c r="G981">
        <v>94</v>
      </c>
      <c r="H981">
        <f t="shared" si="63"/>
        <v>2</v>
      </c>
      <c r="I981" t="str">
        <f t="shared" si="60"/>
        <v>Normal</v>
      </c>
      <c r="J981" t="str">
        <f t="shared" si="61"/>
        <v>Normal</v>
      </c>
      <c r="K981" t="str">
        <f t="shared" si="62"/>
        <v/>
      </c>
    </row>
    <row r="982" spans="1:11" x14ac:dyDescent="0.25">
      <c r="A982">
        <v>9795</v>
      </c>
      <c r="B982">
        <v>87.741351289163205</v>
      </c>
      <c r="C982">
        <v>32.990264158065898</v>
      </c>
      <c r="D982">
        <v>980</v>
      </c>
      <c r="E982">
        <f>VLOOKUP(A982, Athletes_Map!A:B, 2, FALSE)</f>
        <v>929</v>
      </c>
      <c r="F982" t="str">
        <f>VLOOKUP(A982, Athletes_Map!A:C, 3, FALSE)</f>
        <v>Player 929</v>
      </c>
      <c r="G982">
        <v>100</v>
      </c>
      <c r="H982">
        <f t="shared" si="63"/>
        <v>1</v>
      </c>
      <c r="I982" t="str">
        <f t="shared" si="60"/>
        <v>Normal</v>
      </c>
      <c r="J982" t="str">
        <f t="shared" si="61"/>
        <v>Normal</v>
      </c>
      <c r="K982" t="str">
        <f t="shared" si="62"/>
        <v/>
      </c>
    </row>
    <row r="983" spans="1:11" x14ac:dyDescent="0.25">
      <c r="A983">
        <v>9800</v>
      </c>
      <c r="B983">
        <v>170.91755346190999</v>
      </c>
      <c r="C983">
        <v>32.741268505718303</v>
      </c>
      <c r="D983">
        <v>981</v>
      </c>
      <c r="E983">
        <f>VLOOKUP(A983, Athletes_Map!A:B, 2, FALSE)</f>
        <v>930</v>
      </c>
      <c r="F983" t="str">
        <f>VLOOKUP(A983, Athletes_Map!A:C, 3, FALSE)</f>
        <v>Player 930</v>
      </c>
      <c r="G983">
        <v>94</v>
      </c>
      <c r="H983">
        <f t="shared" si="63"/>
        <v>3</v>
      </c>
      <c r="I983" t="str">
        <f t="shared" si="60"/>
        <v>Alert</v>
      </c>
      <c r="J983" t="str">
        <f t="shared" si="61"/>
        <v>Heart Rate</v>
      </c>
      <c r="K983">
        <f t="shared" si="62"/>
        <v>170.91755346190999</v>
      </c>
    </row>
    <row r="984" spans="1:11" x14ac:dyDescent="0.25">
      <c r="A984">
        <v>9808</v>
      </c>
      <c r="B984">
        <v>157.16365633474999</v>
      </c>
      <c r="C984">
        <v>32.924832507207299</v>
      </c>
      <c r="D984">
        <v>982</v>
      </c>
      <c r="E984">
        <f>VLOOKUP(A984, Athletes_Map!A:B, 2, FALSE)</f>
        <v>931</v>
      </c>
      <c r="F984" t="str">
        <f>VLOOKUP(A984, Athletes_Map!A:C, 3, FALSE)</f>
        <v>Player 931</v>
      </c>
      <c r="G984">
        <v>94</v>
      </c>
      <c r="H984">
        <f t="shared" si="63"/>
        <v>3</v>
      </c>
      <c r="I984" t="str">
        <f t="shared" si="60"/>
        <v>Alert</v>
      </c>
      <c r="J984" t="str">
        <f t="shared" si="61"/>
        <v>Heart Rate</v>
      </c>
      <c r="K984">
        <f t="shared" si="62"/>
        <v>157.16365633474999</v>
      </c>
    </row>
    <row r="985" spans="1:11" x14ac:dyDescent="0.25">
      <c r="A985">
        <v>9815</v>
      </c>
      <c r="B985">
        <v>151.40964362394701</v>
      </c>
      <c r="C985">
        <v>33.8314291010849</v>
      </c>
      <c r="D985">
        <v>983</v>
      </c>
      <c r="E985">
        <f>VLOOKUP(A985, Athletes_Map!A:B, 2, FALSE)</f>
        <v>932</v>
      </c>
      <c r="F985" t="str">
        <f>VLOOKUP(A985, Athletes_Map!A:C, 3, FALSE)</f>
        <v>Player 932</v>
      </c>
      <c r="G985">
        <v>91</v>
      </c>
      <c r="H985">
        <f t="shared" si="63"/>
        <v>3</v>
      </c>
      <c r="I985" t="str">
        <f t="shared" si="60"/>
        <v>Alert</v>
      </c>
      <c r="J985" t="str">
        <f t="shared" si="61"/>
        <v>Heart Rate</v>
      </c>
      <c r="K985">
        <f t="shared" si="62"/>
        <v>151.40964362394701</v>
      </c>
    </row>
    <row r="986" spans="1:11" x14ac:dyDescent="0.25">
      <c r="A986">
        <v>9837</v>
      </c>
      <c r="B986">
        <v>146.77156808841201</v>
      </c>
      <c r="C986">
        <v>31.612301019907299</v>
      </c>
      <c r="D986">
        <v>984</v>
      </c>
      <c r="E986">
        <f>VLOOKUP(A986, Athletes_Map!A:B, 2, FALSE)</f>
        <v>933</v>
      </c>
      <c r="F986" t="str">
        <f>VLOOKUP(A986, Athletes_Map!A:C, 3, FALSE)</f>
        <v>Player 933</v>
      </c>
      <c r="G986">
        <v>94</v>
      </c>
      <c r="H986">
        <f t="shared" si="63"/>
        <v>2</v>
      </c>
      <c r="I986" t="str">
        <f t="shared" si="60"/>
        <v>Normal</v>
      </c>
      <c r="J986" t="str">
        <f t="shared" si="61"/>
        <v>Normal</v>
      </c>
      <c r="K986" t="str">
        <f t="shared" si="62"/>
        <v/>
      </c>
    </row>
    <row r="987" spans="1:11" x14ac:dyDescent="0.25">
      <c r="A987">
        <v>9838</v>
      </c>
      <c r="B987">
        <v>139.22034934405201</v>
      </c>
      <c r="C987">
        <v>31.276908571357701</v>
      </c>
      <c r="D987">
        <v>985</v>
      </c>
      <c r="E987">
        <f>VLOOKUP(A987, Athletes_Map!A:B, 2, FALSE)</f>
        <v>934</v>
      </c>
      <c r="F987" t="str">
        <f>VLOOKUP(A987, Athletes_Map!A:C, 3, FALSE)</f>
        <v>Player 934</v>
      </c>
      <c r="G987">
        <v>94</v>
      </c>
      <c r="H987">
        <f t="shared" si="63"/>
        <v>2</v>
      </c>
      <c r="I987" t="str">
        <f t="shared" si="60"/>
        <v>Normal</v>
      </c>
      <c r="J987" t="str">
        <f t="shared" si="61"/>
        <v>Normal</v>
      </c>
      <c r="K987" t="str">
        <f t="shared" si="62"/>
        <v/>
      </c>
    </row>
    <row r="988" spans="1:11" x14ac:dyDescent="0.25">
      <c r="A988">
        <v>9865</v>
      </c>
      <c r="B988">
        <v>151.35532598400499</v>
      </c>
      <c r="C988">
        <v>30.905151080568402</v>
      </c>
      <c r="D988">
        <v>986</v>
      </c>
      <c r="E988">
        <f>VLOOKUP(A988, Athletes_Map!A:B, 2, FALSE)</f>
        <v>935</v>
      </c>
      <c r="F988" t="str">
        <f>VLOOKUP(A988, Athletes_Map!A:C, 3, FALSE)</f>
        <v>Player 935</v>
      </c>
      <c r="G988">
        <v>91</v>
      </c>
      <c r="H988">
        <f t="shared" si="63"/>
        <v>3</v>
      </c>
      <c r="I988" t="str">
        <f t="shared" si="60"/>
        <v>Alert</v>
      </c>
      <c r="J988" t="str">
        <f t="shared" si="61"/>
        <v>Heart Rate</v>
      </c>
      <c r="K988">
        <f t="shared" si="62"/>
        <v>151.35532598400499</v>
      </c>
    </row>
    <row r="989" spans="1:11" x14ac:dyDescent="0.25">
      <c r="A989">
        <v>9867</v>
      </c>
      <c r="B989">
        <v>142.29922004932399</v>
      </c>
      <c r="C989">
        <v>32.552789299257597</v>
      </c>
      <c r="D989">
        <v>987</v>
      </c>
      <c r="E989">
        <f>VLOOKUP(A989, Athletes_Map!A:B, 2, FALSE)</f>
        <v>936</v>
      </c>
      <c r="F989" t="str">
        <f>VLOOKUP(A989, Athletes_Map!A:C, 3, FALSE)</f>
        <v>Player 936</v>
      </c>
      <c r="G989">
        <v>93</v>
      </c>
      <c r="H989">
        <f t="shared" si="63"/>
        <v>2</v>
      </c>
      <c r="I989" t="str">
        <f t="shared" si="60"/>
        <v>Normal</v>
      </c>
      <c r="J989" t="str">
        <f t="shared" si="61"/>
        <v>Normal</v>
      </c>
      <c r="K989" t="str">
        <f t="shared" si="62"/>
        <v/>
      </c>
    </row>
    <row r="990" spans="1:11" x14ac:dyDescent="0.25">
      <c r="A990">
        <v>9901</v>
      </c>
      <c r="B990">
        <v>152.79261591246799</v>
      </c>
      <c r="C990">
        <v>32.851525264470197</v>
      </c>
      <c r="D990">
        <v>988</v>
      </c>
      <c r="E990">
        <f>VLOOKUP(A990, Athletes_Map!A:B, 2, FALSE)</f>
        <v>937</v>
      </c>
      <c r="F990" t="str">
        <f>VLOOKUP(A990, Athletes_Map!A:C, 3, FALSE)</f>
        <v>Player 937</v>
      </c>
      <c r="G990">
        <v>94</v>
      </c>
      <c r="H990">
        <f t="shared" si="63"/>
        <v>3</v>
      </c>
      <c r="I990" t="str">
        <f t="shared" si="60"/>
        <v>Alert</v>
      </c>
      <c r="J990" t="str">
        <f t="shared" si="61"/>
        <v>Heart Rate</v>
      </c>
      <c r="K990">
        <f t="shared" si="62"/>
        <v>152.79261591246799</v>
      </c>
    </row>
    <row r="991" spans="1:11" x14ac:dyDescent="0.25">
      <c r="A991">
        <v>9905</v>
      </c>
      <c r="B991">
        <v>126.411889177494</v>
      </c>
      <c r="C991">
        <v>31.691749911840599</v>
      </c>
      <c r="D991">
        <v>989</v>
      </c>
      <c r="E991">
        <f>VLOOKUP(A991, Athletes_Map!A:B, 2, FALSE)</f>
        <v>938</v>
      </c>
      <c r="F991" t="str">
        <f>VLOOKUP(A991, Athletes_Map!A:C, 3, FALSE)</f>
        <v>Player 938</v>
      </c>
      <c r="G991">
        <v>96</v>
      </c>
      <c r="H991">
        <f t="shared" si="63"/>
        <v>2</v>
      </c>
      <c r="I991" t="str">
        <f t="shared" si="60"/>
        <v>Normal</v>
      </c>
      <c r="J991" t="str">
        <f t="shared" si="61"/>
        <v>Normal</v>
      </c>
      <c r="K991" t="str">
        <f t="shared" si="62"/>
        <v/>
      </c>
    </row>
    <row r="992" spans="1:11" x14ac:dyDescent="0.25">
      <c r="A992">
        <v>9905</v>
      </c>
      <c r="B992">
        <v>127.70094540914199</v>
      </c>
      <c r="C992">
        <v>34.5064843313518</v>
      </c>
      <c r="D992">
        <v>990</v>
      </c>
      <c r="E992">
        <f>VLOOKUP(A992, Athletes_Map!A:B, 2, FALSE)</f>
        <v>938</v>
      </c>
      <c r="F992" t="str">
        <f>VLOOKUP(A992, Athletes_Map!A:C, 3, FALSE)</f>
        <v>Player 938</v>
      </c>
      <c r="G992">
        <v>93</v>
      </c>
      <c r="H992">
        <f t="shared" si="63"/>
        <v>2</v>
      </c>
      <c r="I992" t="str">
        <f t="shared" si="60"/>
        <v>Normal</v>
      </c>
      <c r="J992" t="str">
        <f t="shared" si="61"/>
        <v>Normal</v>
      </c>
      <c r="K992" t="str">
        <f t="shared" si="62"/>
        <v/>
      </c>
    </row>
    <row r="993" spans="1:11" x14ac:dyDescent="0.25">
      <c r="A993">
        <v>9914</v>
      </c>
      <c r="B993">
        <v>161.35195071215901</v>
      </c>
      <c r="C993">
        <v>31.8707727592003</v>
      </c>
      <c r="D993">
        <v>991</v>
      </c>
      <c r="E993">
        <f>VLOOKUP(A993, Athletes_Map!A:B, 2, FALSE)</f>
        <v>939</v>
      </c>
      <c r="F993" t="str">
        <f>VLOOKUP(A993, Athletes_Map!A:C, 3, FALSE)</f>
        <v>Player 939</v>
      </c>
      <c r="G993">
        <v>90</v>
      </c>
      <c r="H993">
        <f t="shared" si="63"/>
        <v>3</v>
      </c>
      <c r="I993" t="str">
        <f t="shared" si="60"/>
        <v>Alert</v>
      </c>
      <c r="J993" t="str">
        <f t="shared" si="61"/>
        <v>Heart Rate</v>
      </c>
      <c r="K993">
        <f t="shared" si="62"/>
        <v>161.35195071215901</v>
      </c>
    </row>
    <row r="994" spans="1:11" x14ac:dyDescent="0.25">
      <c r="A994">
        <v>9915</v>
      </c>
      <c r="B994">
        <v>135.29376389458301</v>
      </c>
      <c r="C994">
        <v>33.653064422808399</v>
      </c>
      <c r="D994">
        <v>992</v>
      </c>
      <c r="E994">
        <f>VLOOKUP(A994, Athletes_Map!A:B, 2, FALSE)</f>
        <v>940</v>
      </c>
      <c r="F994" t="str">
        <f>VLOOKUP(A994, Athletes_Map!A:C, 3, FALSE)</f>
        <v>Player 940</v>
      </c>
      <c r="G994">
        <v>94</v>
      </c>
      <c r="H994">
        <f t="shared" si="63"/>
        <v>2</v>
      </c>
      <c r="I994" t="str">
        <f t="shared" si="60"/>
        <v>Normal</v>
      </c>
      <c r="J994" t="str">
        <f t="shared" si="61"/>
        <v>Normal</v>
      </c>
      <c r="K994" t="str">
        <f t="shared" si="62"/>
        <v/>
      </c>
    </row>
    <row r="995" spans="1:11" x14ac:dyDescent="0.25">
      <c r="A995">
        <v>9924</v>
      </c>
      <c r="B995">
        <v>146.89508683330499</v>
      </c>
      <c r="C995">
        <v>34.183651807087102</v>
      </c>
      <c r="D995">
        <v>993</v>
      </c>
      <c r="E995">
        <f>VLOOKUP(A995, Athletes_Map!A:B, 2, FALSE)</f>
        <v>941</v>
      </c>
      <c r="F995" t="str">
        <f>VLOOKUP(A995, Athletes_Map!A:C, 3, FALSE)</f>
        <v>Player 941</v>
      </c>
      <c r="G995">
        <v>90</v>
      </c>
      <c r="H995">
        <f t="shared" si="63"/>
        <v>3</v>
      </c>
      <c r="I995" t="str">
        <f t="shared" si="60"/>
        <v>Alert</v>
      </c>
      <c r="J995" t="str">
        <f t="shared" si="61"/>
        <v>Oxygen</v>
      </c>
      <c r="K995">
        <f t="shared" si="62"/>
        <v>90</v>
      </c>
    </row>
    <row r="996" spans="1:11" x14ac:dyDescent="0.25">
      <c r="A996">
        <v>9932</v>
      </c>
      <c r="B996">
        <v>110.48468673995301</v>
      </c>
      <c r="C996">
        <v>33.620335818897999</v>
      </c>
      <c r="D996">
        <v>994</v>
      </c>
      <c r="E996">
        <f>VLOOKUP(A996, Athletes_Map!A:B, 2, FALSE)</f>
        <v>942</v>
      </c>
      <c r="F996" t="str">
        <f>VLOOKUP(A996, Athletes_Map!A:C, 3, FALSE)</f>
        <v>Player 942</v>
      </c>
      <c r="G996">
        <v>93</v>
      </c>
      <c r="H996">
        <f t="shared" si="63"/>
        <v>2</v>
      </c>
      <c r="I996" t="str">
        <f t="shared" si="60"/>
        <v>Normal</v>
      </c>
      <c r="J996" t="str">
        <f t="shared" si="61"/>
        <v>Normal</v>
      </c>
      <c r="K996" t="str">
        <f t="shared" si="62"/>
        <v/>
      </c>
    </row>
    <row r="997" spans="1:11" x14ac:dyDescent="0.25">
      <c r="A997">
        <v>9945</v>
      </c>
      <c r="B997">
        <v>153.32655349404899</v>
      </c>
      <c r="C997">
        <v>32.841396773226698</v>
      </c>
      <c r="D997">
        <v>995</v>
      </c>
      <c r="E997">
        <f>VLOOKUP(A997, Athletes_Map!A:B, 2, FALSE)</f>
        <v>943</v>
      </c>
      <c r="F997" t="str">
        <f>VLOOKUP(A997, Athletes_Map!A:C, 3, FALSE)</f>
        <v>Player 943</v>
      </c>
      <c r="G997">
        <v>91</v>
      </c>
      <c r="H997">
        <f t="shared" si="63"/>
        <v>3</v>
      </c>
      <c r="I997" t="str">
        <f t="shared" si="60"/>
        <v>Alert</v>
      </c>
      <c r="J997" t="str">
        <f t="shared" si="61"/>
        <v>Heart Rate</v>
      </c>
      <c r="K997">
        <f t="shared" si="62"/>
        <v>153.32655349404899</v>
      </c>
    </row>
    <row r="998" spans="1:11" x14ac:dyDescent="0.25">
      <c r="A998">
        <v>9958</v>
      </c>
      <c r="B998">
        <v>158.78033062215101</v>
      </c>
      <c r="C998">
        <v>31.671411819837001</v>
      </c>
      <c r="D998">
        <v>996</v>
      </c>
      <c r="E998">
        <f>VLOOKUP(A998, Athletes_Map!A:B, 2, FALSE)</f>
        <v>944</v>
      </c>
      <c r="F998" t="str">
        <f>VLOOKUP(A998, Athletes_Map!A:C, 3, FALSE)</f>
        <v>Player 944</v>
      </c>
      <c r="G998">
        <v>91</v>
      </c>
      <c r="H998">
        <f t="shared" si="63"/>
        <v>3</v>
      </c>
      <c r="I998" t="str">
        <f t="shared" si="60"/>
        <v>Alert</v>
      </c>
      <c r="J998" t="str">
        <f t="shared" si="61"/>
        <v>Heart Rate</v>
      </c>
      <c r="K998">
        <f t="shared" si="62"/>
        <v>158.78033062215101</v>
      </c>
    </row>
    <row r="999" spans="1:11" x14ac:dyDescent="0.25">
      <c r="A999">
        <v>9967</v>
      </c>
      <c r="B999">
        <v>154.96020219719301</v>
      </c>
      <c r="C999">
        <v>31.199733766263599</v>
      </c>
      <c r="D999">
        <v>997</v>
      </c>
      <c r="E999">
        <f>VLOOKUP(A999, Athletes_Map!A:B, 2, FALSE)</f>
        <v>945</v>
      </c>
      <c r="F999" t="str">
        <f>VLOOKUP(A999, Athletes_Map!A:C, 3, FALSE)</f>
        <v>Player 945</v>
      </c>
      <c r="G999">
        <v>90</v>
      </c>
      <c r="H999">
        <f t="shared" si="63"/>
        <v>3</v>
      </c>
      <c r="I999" t="str">
        <f t="shared" si="60"/>
        <v>Alert</v>
      </c>
      <c r="J999" t="str">
        <f t="shared" si="61"/>
        <v>Heart Rate</v>
      </c>
      <c r="K999">
        <f t="shared" si="62"/>
        <v>154.96020219719301</v>
      </c>
    </row>
    <row r="1000" spans="1:11" x14ac:dyDescent="0.25">
      <c r="A1000">
        <v>9989</v>
      </c>
      <c r="B1000">
        <v>156.82620241188499</v>
      </c>
      <c r="C1000">
        <v>32.841436093318102</v>
      </c>
      <c r="D1000">
        <v>998</v>
      </c>
      <c r="E1000">
        <f>VLOOKUP(A1000, Athletes_Map!A:B, 2, FALSE)</f>
        <v>946</v>
      </c>
      <c r="F1000" t="str">
        <f>VLOOKUP(A1000, Athletes_Map!A:C, 3, FALSE)</f>
        <v>Player 946</v>
      </c>
      <c r="G1000">
        <v>90</v>
      </c>
      <c r="H1000">
        <f t="shared" si="63"/>
        <v>3</v>
      </c>
      <c r="I1000" t="str">
        <f t="shared" si="60"/>
        <v>Alert</v>
      </c>
      <c r="J1000" t="str">
        <f t="shared" si="61"/>
        <v>Heart Rate</v>
      </c>
      <c r="K1000">
        <f t="shared" si="62"/>
        <v>156.82620241188499</v>
      </c>
    </row>
    <row r="1001" spans="1:11" x14ac:dyDescent="0.25">
      <c r="A1001">
        <v>9996</v>
      </c>
      <c r="B1001">
        <v>123.750664482114</v>
      </c>
      <c r="C1001">
        <v>32.402914993937699</v>
      </c>
      <c r="D1001">
        <v>999</v>
      </c>
      <c r="E1001">
        <f>VLOOKUP(A1001, Athletes_Map!A:B, 2, FALSE)</f>
        <v>947</v>
      </c>
      <c r="F1001" t="str">
        <f>VLOOKUP(A1001, Athletes_Map!A:C, 3, FALSE)</f>
        <v>Player 947</v>
      </c>
      <c r="G1001">
        <v>93</v>
      </c>
      <c r="H1001">
        <f t="shared" si="63"/>
        <v>2</v>
      </c>
      <c r="I1001" t="str">
        <f t="shared" si="60"/>
        <v>Normal</v>
      </c>
      <c r="J1001" t="str">
        <f t="shared" si="61"/>
        <v>Normal</v>
      </c>
      <c r="K1001" t="str">
        <f t="shared" si="62"/>
        <v/>
      </c>
    </row>
  </sheetData>
  <sortState xmlns:xlrd2="http://schemas.microsoft.com/office/spreadsheetml/2017/richdata2" ref="A2:C1003">
    <sortCondition ref="A2:A100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BB15B-8429-4210-BB08-85222DBDD12A}">
  <dimension ref="A1:C948"/>
  <sheetViews>
    <sheetView topLeftCell="A3" workbookViewId="0">
      <selection activeCell="B1" sqref="B1"/>
    </sheetView>
  </sheetViews>
  <sheetFormatPr defaultRowHeight="13.8" x14ac:dyDescent="0.25"/>
  <sheetData>
    <row r="1" spans="1:3" x14ac:dyDescent="0.25">
      <c r="A1" t="s">
        <v>42</v>
      </c>
      <c r="B1" t="s">
        <v>43</v>
      </c>
      <c r="C1" t="s">
        <v>44</v>
      </c>
    </row>
    <row r="2" spans="1:3" x14ac:dyDescent="0.25">
      <c r="A2">
        <v>1004</v>
      </c>
      <c r="B2">
        <v>1</v>
      </c>
      <c r="C2" t="str">
        <f>"Player "&amp;TEXT(B2,"000")</f>
        <v>Player 001</v>
      </c>
    </row>
    <row r="3" spans="1:3" x14ac:dyDescent="0.25">
      <c r="A3">
        <v>1005</v>
      </c>
      <c r="B3">
        <v>2</v>
      </c>
      <c r="C3" t="str">
        <f t="shared" ref="C3:C66" si="0">"Player "&amp;TEXT(B3,"000")</f>
        <v>Player 002</v>
      </c>
    </row>
    <row r="4" spans="1:3" x14ac:dyDescent="0.25">
      <c r="A4">
        <v>1009</v>
      </c>
      <c r="B4">
        <v>3</v>
      </c>
      <c r="C4" t="str">
        <f t="shared" si="0"/>
        <v>Player 003</v>
      </c>
    </row>
    <row r="5" spans="1:3" x14ac:dyDescent="0.25">
      <c r="A5">
        <v>1055</v>
      </c>
      <c r="B5">
        <v>4</v>
      </c>
      <c r="C5" t="str">
        <f t="shared" si="0"/>
        <v>Player 004</v>
      </c>
    </row>
    <row r="6" spans="1:3" x14ac:dyDescent="0.25">
      <c r="A6">
        <v>1064</v>
      </c>
      <c r="B6">
        <v>5</v>
      </c>
      <c r="C6" t="str">
        <f t="shared" si="0"/>
        <v>Player 005</v>
      </c>
    </row>
    <row r="7" spans="1:3" x14ac:dyDescent="0.25">
      <c r="A7">
        <v>1077</v>
      </c>
      <c r="B7">
        <v>6</v>
      </c>
      <c r="C7" t="str">
        <f t="shared" si="0"/>
        <v>Player 006</v>
      </c>
    </row>
    <row r="8" spans="1:3" x14ac:dyDescent="0.25">
      <c r="A8">
        <v>1094</v>
      </c>
      <c r="B8">
        <v>7</v>
      </c>
      <c r="C8" t="str">
        <f t="shared" si="0"/>
        <v>Player 007</v>
      </c>
    </row>
    <row r="9" spans="1:3" x14ac:dyDescent="0.25">
      <c r="A9">
        <v>1098</v>
      </c>
      <c r="B9">
        <v>8</v>
      </c>
      <c r="C9" t="str">
        <f t="shared" si="0"/>
        <v>Player 008</v>
      </c>
    </row>
    <row r="10" spans="1:3" x14ac:dyDescent="0.25">
      <c r="A10">
        <v>1117</v>
      </c>
      <c r="B10">
        <v>9</v>
      </c>
      <c r="C10" t="str">
        <f t="shared" si="0"/>
        <v>Player 009</v>
      </c>
    </row>
    <row r="11" spans="1:3" x14ac:dyDescent="0.25">
      <c r="A11">
        <v>1125</v>
      </c>
      <c r="B11">
        <v>10</v>
      </c>
      <c r="C11" t="str">
        <f t="shared" si="0"/>
        <v>Player 010</v>
      </c>
    </row>
    <row r="12" spans="1:3" x14ac:dyDescent="0.25">
      <c r="A12">
        <v>1126</v>
      </c>
      <c r="B12">
        <v>11</v>
      </c>
      <c r="C12" t="str">
        <f t="shared" si="0"/>
        <v>Player 011</v>
      </c>
    </row>
    <row r="13" spans="1:3" x14ac:dyDescent="0.25">
      <c r="A13">
        <v>1133</v>
      </c>
      <c r="B13">
        <v>12</v>
      </c>
      <c r="C13" t="str">
        <f t="shared" si="0"/>
        <v>Player 012</v>
      </c>
    </row>
    <row r="14" spans="1:3" x14ac:dyDescent="0.25">
      <c r="A14">
        <v>1137</v>
      </c>
      <c r="B14">
        <v>13</v>
      </c>
      <c r="C14" t="str">
        <f t="shared" si="0"/>
        <v>Player 013</v>
      </c>
    </row>
    <row r="15" spans="1:3" x14ac:dyDescent="0.25">
      <c r="A15">
        <v>1154</v>
      </c>
      <c r="B15">
        <v>14</v>
      </c>
      <c r="C15" t="str">
        <f t="shared" si="0"/>
        <v>Player 014</v>
      </c>
    </row>
    <row r="16" spans="1:3" x14ac:dyDescent="0.25">
      <c r="A16">
        <v>1161</v>
      </c>
      <c r="B16">
        <v>15</v>
      </c>
      <c r="C16" t="str">
        <f t="shared" si="0"/>
        <v>Player 015</v>
      </c>
    </row>
    <row r="17" spans="1:3" x14ac:dyDescent="0.25">
      <c r="A17">
        <v>1189</v>
      </c>
      <c r="B17">
        <v>16</v>
      </c>
      <c r="C17" t="str">
        <f t="shared" si="0"/>
        <v>Player 016</v>
      </c>
    </row>
    <row r="18" spans="1:3" x14ac:dyDescent="0.25">
      <c r="A18">
        <v>1190</v>
      </c>
      <c r="B18">
        <v>17</v>
      </c>
      <c r="C18" t="str">
        <f t="shared" si="0"/>
        <v>Player 017</v>
      </c>
    </row>
    <row r="19" spans="1:3" x14ac:dyDescent="0.25">
      <c r="A19">
        <v>1197</v>
      </c>
      <c r="B19">
        <v>18</v>
      </c>
      <c r="C19" t="str">
        <f t="shared" si="0"/>
        <v>Player 018</v>
      </c>
    </row>
    <row r="20" spans="1:3" x14ac:dyDescent="0.25">
      <c r="A20">
        <v>1202</v>
      </c>
      <c r="B20">
        <v>19</v>
      </c>
      <c r="C20" t="str">
        <f t="shared" si="0"/>
        <v>Player 019</v>
      </c>
    </row>
    <row r="21" spans="1:3" x14ac:dyDescent="0.25">
      <c r="A21">
        <v>1206</v>
      </c>
      <c r="B21">
        <v>20</v>
      </c>
      <c r="C21" t="str">
        <f t="shared" si="0"/>
        <v>Player 020</v>
      </c>
    </row>
    <row r="22" spans="1:3" x14ac:dyDescent="0.25">
      <c r="A22">
        <v>1224</v>
      </c>
      <c r="B22">
        <v>21</v>
      </c>
      <c r="C22" t="str">
        <f t="shared" si="0"/>
        <v>Player 021</v>
      </c>
    </row>
    <row r="23" spans="1:3" x14ac:dyDescent="0.25">
      <c r="A23">
        <v>1225</v>
      </c>
      <c r="B23">
        <v>22</v>
      </c>
      <c r="C23" t="str">
        <f t="shared" si="0"/>
        <v>Player 022</v>
      </c>
    </row>
    <row r="24" spans="1:3" x14ac:dyDescent="0.25">
      <c r="A24">
        <v>1232</v>
      </c>
      <c r="B24">
        <v>23</v>
      </c>
      <c r="C24" t="str">
        <f t="shared" si="0"/>
        <v>Player 023</v>
      </c>
    </row>
    <row r="25" spans="1:3" x14ac:dyDescent="0.25">
      <c r="A25">
        <v>1235</v>
      </c>
      <c r="B25">
        <v>24</v>
      </c>
      <c r="C25" t="str">
        <f t="shared" si="0"/>
        <v>Player 024</v>
      </c>
    </row>
    <row r="26" spans="1:3" x14ac:dyDescent="0.25">
      <c r="A26">
        <v>1249</v>
      </c>
      <c r="B26">
        <v>25</v>
      </c>
      <c r="C26" t="str">
        <f t="shared" si="0"/>
        <v>Player 025</v>
      </c>
    </row>
    <row r="27" spans="1:3" x14ac:dyDescent="0.25">
      <c r="A27">
        <v>1255</v>
      </c>
      <c r="B27">
        <v>26</v>
      </c>
      <c r="C27" t="str">
        <f t="shared" si="0"/>
        <v>Player 026</v>
      </c>
    </row>
    <row r="28" spans="1:3" x14ac:dyDescent="0.25">
      <c r="A28">
        <v>1260</v>
      </c>
      <c r="B28">
        <v>27</v>
      </c>
      <c r="C28" t="str">
        <f t="shared" si="0"/>
        <v>Player 027</v>
      </c>
    </row>
    <row r="29" spans="1:3" x14ac:dyDescent="0.25">
      <c r="A29">
        <v>1262</v>
      </c>
      <c r="B29">
        <v>28</v>
      </c>
      <c r="C29" t="str">
        <f t="shared" si="0"/>
        <v>Player 028</v>
      </c>
    </row>
    <row r="30" spans="1:3" x14ac:dyDescent="0.25">
      <c r="A30">
        <v>1301</v>
      </c>
      <c r="B30">
        <v>29</v>
      </c>
      <c r="C30" t="str">
        <f t="shared" si="0"/>
        <v>Player 029</v>
      </c>
    </row>
    <row r="31" spans="1:3" x14ac:dyDescent="0.25">
      <c r="A31">
        <v>1302</v>
      </c>
      <c r="B31">
        <v>30</v>
      </c>
      <c r="C31" t="str">
        <f t="shared" si="0"/>
        <v>Player 030</v>
      </c>
    </row>
    <row r="32" spans="1:3" x14ac:dyDescent="0.25">
      <c r="A32">
        <v>1345</v>
      </c>
      <c r="B32">
        <v>31</v>
      </c>
      <c r="C32" t="str">
        <f t="shared" si="0"/>
        <v>Player 031</v>
      </c>
    </row>
    <row r="33" spans="1:3" x14ac:dyDescent="0.25">
      <c r="A33">
        <v>1364</v>
      </c>
      <c r="B33">
        <v>32</v>
      </c>
      <c r="C33" t="str">
        <f t="shared" si="0"/>
        <v>Player 032</v>
      </c>
    </row>
    <row r="34" spans="1:3" x14ac:dyDescent="0.25">
      <c r="A34">
        <v>1384</v>
      </c>
      <c r="B34">
        <v>33</v>
      </c>
      <c r="C34" t="str">
        <f t="shared" si="0"/>
        <v>Player 033</v>
      </c>
    </row>
    <row r="35" spans="1:3" x14ac:dyDescent="0.25">
      <c r="A35">
        <v>1391</v>
      </c>
      <c r="B35">
        <v>34</v>
      </c>
      <c r="C35" t="str">
        <f t="shared" si="0"/>
        <v>Player 034</v>
      </c>
    </row>
    <row r="36" spans="1:3" x14ac:dyDescent="0.25">
      <c r="A36">
        <v>1395</v>
      </c>
      <c r="B36">
        <v>35</v>
      </c>
      <c r="C36" t="str">
        <f t="shared" si="0"/>
        <v>Player 035</v>
      </c>
    </row>
    <row r="37" spans="1:3" x14ac:dyDescent="0.25">
      <c r="A37">
        <v>1404</v>
      </c>
      <c r="B37">
        <v>36</v>
      </c>
      <c r="C37" t="str">
        <f t="shared" si="0"/>
        <v>Player 036</v>
      </c>
    </row>
    <row r="38" spans="1:3" x14ac:dyDescent="0.25">
      <c r="A38">
        <v>1412</v>
      </c>
      <c r="B38">
        <v>37</v>
      </c>
      <c r="C38" t="str">
        <f t="shared" si="0"/>
        <v>Player 037</v>
      </c>
    </row>
    <row r="39" spans="1:3" x14ac:dyDescent="0.25">
      <c r="A39">
        <v>1417</v>
      </c>
      <c r="B39">
        <v>38</v>
      </c>
      <c r="C39" t="str">
        <f t="shared" si="0"/>
        <v>Player 038</v>
      </c>
    </row>
    <row r="40" spans="1:3" x14ac:dyDescent="0.25">
      <c r="A40">
        <v>1419</v>
      </c>
      <c r="B40">
        <v>39</v>
      </c>
      <c r="C40" t="str">
        <f t="shared" si="0"/>
        <v>Player 039</v>
      </c>
    </row>
    <row r="41" spans="1:3" x14ac:dyDescent="0.25">
      <c r="A41">
        <v>1466</v>
      </c>
      <c r="B41">
        <v>40</v>
      </c>
      <c r="C41" t="str">
        <f t="shared" si="0"/>
        <v>Player 040</v>
      </c>
    </row>
    <row r="42" spans="1:3" x14ac:dyDescent="0.25">
      <c r="A42">
        <v>1502</v>
      </c>
      <c r="B42">
        <v>41</v>
      </c>
      <c r="C42" t="str">
        <f t="shared" si="0"/>
        <v>Player 041</v>
      </c>
    </row>
    <row r="43" spans="1:3" x14ac:dyDescent="0.25">
      <c r="A43">
        <v>1504</v>
      </c>
      <c r="B43">
        <v>42</v>
      </c>
      <c r="C43" t="str">
        <f t="shared" si="0"/>
        <v>Player 042</v>
      </c>
    </row>
    <row r="44" spans="1:3" x14ac:dyDescent="0.25">
      <c r="A44">
        <v>1512</v>
      </c>
      <c r="B44">
        <v>43</v>
      </c>
      <c r="C44" t="str">
        <f t="shared" si="0"/>
        <v>Player 043</v>
      </c>
    </row>
    <row r="45" spans="1:3" x14ac:dyDescent="0.25">
      <c r="A45">
        <v>1523</v>
      </c>
      <c r="B45">
        <v>44</v>
      </c>
      <c r="C45" t="str">
        <f t="shared" si="0"/>
        <v>Player 044</v>
      </c>
    </row>
    <row r="46" spans="1:3" x14ac:dyDescent="0.25">
      <c r="A46">
        <v>1536</v>
      </c>
      <c r="B46">
        <v>45</v>
      </c>
      <c r="C46" t="str">
        <f t="shared" si="0"/>
        <v>Player 045</v>
      </c>
    </row>
    <row r="47" spans="1:3" x14ac:dyDescent="0.25">
      <c r="A47">
        <v>1537</v>
      </c>
      <c r="B47">
        <v>46</v>
      </c>
      <c r="C47" t="str">
        <f t="shared" si="0"/>
        <v>Player 046</v>
      </c>
    </row>
    <row r="48" spans="1:3" x14ac:dyDescent="0.25">
      <c r="A48">
        <v>1539</v>
      </c>
      <c r="B48">
        <v>47</v>
      </c>
      <c r="C48" t="str">
        <f t="shared" si="0"/>
        <v>Player 047</v>
      </c>
    </row>
    <row r="49" spans="1:3" x14ac:dyDescent="0.25">
      <c r="A49">
        <v>1559</v>
      </c>
      <c r="B49">
        <v>48</v>
      </c>
      <c r="C49" t="str">
        <f t="shared" si="0"/>
        <v>Player 048</v>
      </c>
    </row>
    <row r="50" spans="1:3" x14ac:dyDescent="0.25">
      <c r="A50">
        <v>1569</v>
      </c>
      <c r="B50">
        <v>49</v>
      </c>
      <c r="C50" t="str">
        <f t="shared" si="0"/>
        <v>Player 049</v>
      </c>
    </row>
    <row r="51" spans="1:3" x14ac:dyDescent="0.25">
      <c r="A51">
        <v>1574</v>
      </c>
      <c r="B51">
        <v>50</v>
      </c>
      <c r="C51" t="str">
        <f t="shared" si="0"/>
        <v>Player 050</v>
      </c>
    </row>
    <row r="52" spans="1:3" x14ac:dyDescent="0.25">
      <c r="A52">
        <v>1580</v>
      </c>
      <c r="B52">
        <v>51</v>
      </c>
      <c r="C52" t="str">
        <f t="shared" si="0"/>
        <v>Player 051</v>
      </c>
    </row>
    <row r="53" spans="1:3" x14ac:dyDescent="0.25">
      <c r="A53">
        <v>1600</v>
      </c>
      <c r="B53">
        <v>52</v>
      </c>
      <c r="C53" t="str">
        <f t="shared" si="0"/>
        <v>Player 052</v>
      </c>
    </row>
    <row r="54" spans="1:3" x14ac:dyDescent="0.25">
      <c r="A54">
        <v>1606</v>
      </c>
      <c r="B54">
        <v>53</v>
      </c>
      <c r="C54" t="str">
        <f t="shared" si="0"/>
        <v>Player 053</v>
      </c>
    </row>
    <row r="55" spans="1:3" x14ac:dyDescent="0.25">
      <c r="A55">
        <v>1635</v>
      </c>
      <c r="B55">
        <v>54</v>
      </c>
      <c r="C55" t="str">
        <f t="shared" si="0"/>
        <v>Player 054</v>
      </c>
    </row>
    <row r="56" spans="1:3" x14ac:dyDescent="0.25">
      <c r="A56">
        <v>1638</v>
      </c>
      <c r="B56">
        <v>55</v>
      </c>
      <c r="C56" t="str">
        <f t="shared" si="0"/>
        <v>Player 055</v>
      </c>
    </row>
    <row r="57" spans="1:3" x14ac:dyDescent="0.25">
      <c r="A57">
        <v>1659</v>
      </c>
      <c r="B57">
        <v>56</v>
      </c>
      <c r="C57" t="str">
        <f t="shared" si="0"/>
        <v>Player 056</v>
      </c>
    </row>
    <row r="58" spans="1:3" x14ac:dyDescent="0.25">
      <c r="A58">
        <v>1663</v>
      </c>
      <c r="B58">
        <v>57</v>
      </c>
      <c r="C58" t="str">
        <f t="shared" si="0"/>
        <v>Player 057</v>
      </c>
    </row>
    <row r="59" spans="1:3" x14ac:dyDescent="0.25">
      <c r="A59">
        <v>1666</v>
      </c>
      <c r="B59">
        <v>58</v>
      </c>
      <c r="C59" t="str">
        <f t="shared" si="0"/>
        <v>Player 058</v>
      </c>
    </row>
    <row r="60" spans="1:3" x14ac:dyDescent="0.25">
      <c r="A60">
        <v>1667</v>
      </c>
      <c r="B60">
        <v>59</v>
      </c>
      <c r="C60" t="str">
        <f t="shared" si="0"/>
        <v>Player 059</v>
      </c>
    </row>
    <row r="61" spans="1:3" x14ac:dyDescent="0.25">
      <c r="A61">
        <v>1671</v>
      </c>
      <c r="B61">
        <v>60</v>
      </c>
      <c r="C61" t="str">
        <f t="shared" si="0"/>
        <v>Player 060</v>
      </c>
    </row>
    <row r="62" spans="1:3" x14ac:dyDescent="0.25">
      <c r="A62">
        <v>1688</v>
      </c>
      <c r="B62">
        <v>61</v>
      </c>
      <c r="C62" t="str">
        <f t="shared" si="0"/>
        <v>Player 061</v>
      </c>
    </row>
    <row r="63" spans="1:3" x14ac:dyDescent="0.25">
      <c r="A63">
        <v>1698</v>
      </c>
      <c r="B63">
        <v>62</v>
      </c>
      <c r="C63" t="str">
        <f t="shared" si="0"/>
        <v>Player 062</v>
      </c>
    </row>
    <row r="64" spans="1:3" x14ac:dyDescent="0.25">
      <c r="A64">
        <v>1699</v>
      </c>
      <c r="B64">
        <v>63</v>
      </c>
      <c r="C64" t="str">
        <f t="shared" si="0"/>
        <v>Player 063</v>
      </c>
    </row>
    <row r="65" spans="1:3" x14ac:dyDescent="0.25">
      <c r="A65">
        <v>1716</v>
      </c>
      <c r="B65">
        <v>64</v>
      </c>
      <c r="C65" t="str">
        <f t="shared" si="0"/>
        <v>Player 064</v>
      </c>
    </row>
    <row r="66" spans="1:3" x14ac:dyDescent="0.25">
      <c r="A66">
        <v>1717</v>
      </c>
      <c r="B66">
        <v>65</v>
      </c>
      <c r="C66" t="str">
        <f t="shared" si="0"/>
        <v>Player 065</v>
      </c>
    </row>
    <row r="67" spans="1:3" x14ac:dyDescent="0.25">
      <c r="A67">
        <v>1728</v>
      </c>
      <c r="B67">
        <v>66</v>
      </c>
      <c r="C67" t="str">
        <f t="shared" ref="C67:C130" si="1">"Player "&amp;TEXT(B67,"000")</f>
        <v>Player 066</v>
      </c>
    </row>
    <row r="68" spans="1:3" x14ac:dyDescent="0.25">
      <c r="A68">
        <v>1760</v>
      </c>
      <c r="B68">
        <v>67</v>
      </c>
      <c r="C68" t="str">
        <f t="shared" si="1"/>
        <v>Player 067</v>
      </c>
    </row>
    <row r="69" spans="1:3" x14ac:dyDescent="0.25">
      <c r="A69">
        <v>1768</v>
      </c>
      <c r="B69">
        <v>68</v>
      </c>
      <c r="C69" t="str">
        <f t="shared" si="1"/>
        <v>Player 068</v>
      </c>
    </row>
    <row r="70" spans="1:3" x14ac:dyDescent="0.25">
      <c r="A70">
        <v>1769</v>
      </c>
      <c r="B70">
        <v>69</v>
      </c>
      <c r="C70" t="str">
        <f t="shared" si="1"/>
        <v>Player 069</v>
      </c>
    </row>
    <row r="71" spans="1:3" x14ac:dyDescent="0.25">
      <c r="A71">
        <v>1770</v>
      </c>
      <c r="B71">
        <v>70</v>
      </c>
      <c r="C71" t="str">
        <f t="shared" si="1"/>
        <v>Player 070</v>
      </c>
    </row>
    <row r="72" spans="1:3" x14ac:dyDescent="0.25">
      <c r="A72">
        <v>1775</v>
      </c>
      <c r="B72">
        <v>71</v>
      </c>
      <c r="C72" t="str">
        <f t="shared" si="1"/>
        <v>Player 071</v>
      </c>
    </row>
    <row r="73" spans="1:3" x14ac:dyDescent="0.25">
      <c r="A73">
        <v>1784</v>
      </c>
      <c r="B73">
        <v>72</v>
      </c>
      <c r="C73" t="str">
        <f t="shared" si="1"/>
        <v>Player 072</v>
      </c>
    </row>
    <row r="74" spans="1:3" x14ac:dyDescent="0.25">
      <c r="A74">
        <v>1793</v>
      </c>
      <c r="B74">
        <v>73</v>
      </c>
      <c r="C74" t="str">
        <f t="shared" si="1"/>
        <v>Player 073</v>
      </c>
    </row>
    <row r="75" spans="1:3" x14ac:dyDescent="0.25">
      <c r="A75">
        <v>1814</v>
      </c>
      <c r="B75">
        <v>74</v>
      </c>
      <c r="C75" t="str">
        <f t="shared" si="1"/>
        <v>Player 074</v>
      </c>
    </row>
    <row r="76" spans="1:3" x14ac:dyDescent="0.25">
      <c r="A76">
        <v>1823</v>
      </c>
      <c r="B76">
        <v>75</v>
      </c>
      <c r="C76" t="str">
        <f t="shared" si="1"/>
        <v>Player 075</v>
      </c>
    </row>
    <row r="77" spans="1:3" x14ac:dyDescent="0.25">
      <c r="A77">
        <v>1825</v>
      </c>
      <c r="B77">
        <v>76</v>
      </c>
      <c r="C77" t="str">
        <f t="shared" si="1"/>
        <v>Player 076</v>
      </c>
    </row>
    <row r="78" spans="1:3" x14ac:dyDescent="0.25">
      <c r="A78">
        <v>1827</v>
      </c>
      <c r="B78">
        <v>77</v>
      </c>
      <c r="C78" t="str">
        <f t="shared" si="1"/>
        <v>Player 077</v>
      </c>
    </row>
    <row r="79" spans="1:3" x14ac:dyDescent="0.25">
      <c r="A79">
        <v>1830</v>
      </c>
      <c r="B79">
        <v>78</v>
      </c>
      <c r="C79" t="str">
        <f t="shared" si="1"/>
        <v>Player 078</v>
      </c>
    </row>
    <row r="80" spans="1:3" x14ac:dyDescent="0.25">
      <c r="A80">
        <v>1846</v>
      </c>
      <c r="B80">
        <v>79</v>
      </c>
      <c r="C80" t="str">
        <f t="shared" si="1"/>
        <v>Player 079</v>
      </c>
    </row>
    <row r="81" spans="1:3" x14ac:dyDescent="0.25">
      <c r="A81">
        <v>1851</v>
      </c>
      <c r="B81">
        <v>80</v>
      </c>
      <c r="C81" t="str">
        <f t="shared" si="1"/>
        <v>Player 080</v>
      </c>
    </row>
    <row r="82" spans="1:3" x14ac:dyDescent="0.25">
      <c r="A82">
        <v>1853</v>
      </c>
      <c r="B82">
        <v>81</v>
      </c>
      <c r="C82" t="str">
        <f t="shared" si="1"/>
        <v>Player 081</v>
      </c>
    </row>
    <row r="83" spans="1:3" x14ac:dyDescent="0.25">
      <c r="A83">
        <v>1854</v>
      </c>
      <c r="B83">
        <v>82</v>
      </c>
      <c r="C83" t="str">
        <f t="shared" si="1"/>
        <v>Player 082</v>
      </c>
    </row>
    <row r="84" spans="1:3" x14ac:dyDescent="0.25">
      <c r="A84">
        <v>1860</v>
      </c>
      <c r="B84">
        <v>83</v>
      </c>
      <c r="C84" t="str">
        <f t="shared" si="1"/>
        <v>Player 083</v>
      </c>
    </row>
    <row r="85" spans="1:3" x14ac:dyDescent="0.25">
      <c r="A85">
        <v>1863</v>
      </c>
      <c r="B85">
        <v>84</v>
      </c>
      <c r="C85" t="str">
        <f t="shared" si="1"/>
        <v>Player 084</v>
      </c>
    </row>
    <row r="86" spans="1:3" x14ac:dyDescent="0.25">
      <c r="A86">
        <v>1876</v>
      </c>
      <c r="B86">
        <v>85</v>
      </c>
      <c r="C86" t="str">
        <f t="shared" si="1"/>
        <v>Player 085</v>
      </c>
    </row>
    <row r="87" spans="1:3" x14ac:dyDescent="0.25">
      <c r="A87">
        <v>1878</v>
      </c>
      <c r="B87">
        <v>86</v>
      </c>
      <c r="C87" t="str">
        <f t="shared" si="1"/>
        <v>Player 086</v>
      </c>
    </row>
    <row r="88" spans="1:3" x14ac:dyDescent="0.25">
      <c r="A88">
        <v>1918</v>
      </c>
      <c r="B88">
        <v>87</v>
      </c>
      <c r="C88" t="str">
        <f t="shared" si="1"/>
        <v>Player 087</v>
      </c>
    </row>
    <row r="89" spans="1:3" x14ac:dyDescent="0.25">
      <c r="A89">
        <v>1922</v>
      </c>
      <c r="B89">
        <v>88</v>
      </c>
      <c r="C89" t="str">
        <f t="shared" si="1"/>
        <v>Player 088</v>
      </c>
    </row>
    <row r="90" spans="1:3" x14ac:dyDescent="0.25">
      <c r="A90">
        <v>1924</v>
      </c>
      <c r="B90">
        <v>89</v>
      </c>
      <c r="C90" t="str">
        <f t="shared" si="1"/>
        <v>Player 089</v>
      </c>
    </row>
    <row r="91" spans="1:3" x14ac:dyDescent="0.25">
      <c r="A91">
        <v>1928</v>
      </c>
      <c r="B91">
        <v>90</v>
      </c>
      <c r="C91" t="str">
        <f t="shared" si="1"/>
        <v>Player 090</v>
      </c>
    </row>
    <row r="92" spans="1:3" x14ac:dyDescent="0.25">
      <c r="A92">
        <v>1950</v>
      </c>
      <c r="B92">
        <v>91</v>
      </c>
      <c r="C92" t="str">
        <f t="shared" si="1"/>
        <v>Player 091</v>
      </c>
    </row>
    <row r="93" spans="1:3" x14ac:dyDescent="0.25">
      <c r="A93">
        <v>1951</v>
      </c>
      <c r="B93">
        <v>92</v>
      </c>
      <c r="C93" t="str">
        <f t="shared" si="1"/>
        <v>Player 092</v>
      </c>
    </row>
    <row r="94" spans="1:3" x14ac:dyDescent="0.25">
      <c r="A94">
        <v>1953</v>
      </c>
      <c r="B94">
        <v>93</v>
      </c>
      <c r="C94" t="str">
        <f t="shared" si="1"/>
        <v>Player 093</v>
      </c>
    </row>
    <row r="95" spans="1:3" x14ac:dyDescent="0.25">
      <c r="A95">
        <v>1956</v>
      </c>
      <c r="B95">
        <v>94</v>
      </c>
      <c r="C95" t="str">
        <f t="shared" si="1"/>
        <v>Player 094</v>
      </c>
    </row>
    <row r="96" spans="1:3" x14ac:dyDescent="0.25">
      <c r="A96">
        <v>1966</v>
      </c>
      <c r="B96">
        <v>95</v>
      </c>
      <c r="C96" t="str">
        <f t="shared" si="1"/>
        <v>Player 095</v>
      </c>
    </row>
    <row r="97" spans="1:3" x14ac:dyDescent="0.25">
      <c r="A97">
        <v>1980</v>
      </c>
      <c r="B97">
        <v>96</v>
      </c>
      <c r="C97" t="str">
        <f t="shared" si="1"/>
        <v>Player 096</v>
      </c>
    </row>
    <row r="98" spans="1:3" x14ac:dyDescent="0.25">
      <c r="A98">
        <v>1984</v>
      </c>
      <c r="B98">
        <v>97</v>
      </c>
      <c r="C98" t="str">
        <f t="shared" si="1"/>
        <v>Player 097</v>
      </c>
    </row>
    <row r="99" spans="1:3" x14ac:dyDescent="0.25">
      <c r="A99">
        <v>1995</v>
      </c>
      <c r="B99">
        <v>98</v>
      </c>
      <c r="C99" t="str">
        <f t="shared" si="1"/>
        <v>Player 098</v>
      </c>
    </row>
    <row r="100" spans="1:3" x14ac:dyDescent="0.25">
      <c r="A100">
        <v>2015</v>
      </c>
      <c r="B100">
        <v>99</v>
      </c>
      <c r="C100" t="str">
        <f t="shared" si="1"/>
        <v>Player 099</v>
      </c>
    </row>
    <row r="101" spans="1:3" x14ac:dyDescent="0.25">
      <c r="A101">
        <v>2016</v>
      </c>
      <c r="B101">
        <v>100</v>
      </c>
      <c r="C101" t="str">
        <f t="shared" si="1"/>
        <v>Player 100</v>
      </c>
    </row>
    <row r="102" spans="1:3" x14ac:dyDescent="0.25">
      <c r="A102">
        <v>2021</v>
      </c>
      <c r="B102">
        <v>101</v>
      </c>
      <c r="C102" t="str">
        <f t="shared" si="1"/>
        <v>Player 101</v>
      </c>
    </row>
    <row r="103" spans="1:3" x14ac:dyDescent="0.25">
      <c r="A103">
        <v>2028</v>
      </c>
      <c r="B103">
        <v>102</v>
      </c>
      <c r="C103" t="str">
        <f t="shared" si="1"/>
        <v>Player 102</v>
      </c>
    </row>
    <row r="104" spans="1:3" x14ac:dyDescent="0.25">
      <c r="A104">
        <v>2045</v>
      </c>
      <c r="B104">
        <v>103</v>
      </c>
      <c r="C104" t="str">
        <f t="shared" si="1"/>
        <v>Player 103</v>
      </c>
    </row>
    <row r="105" spans="1:3" x14ac:dyDescent="0.25">
      <c r="A105">
        <v>2059</v>
      </c>
      <c r="B105">
        <v>104</v>
      </c>
      <c r="C105" t="str">
        <f t="shared" si="1"/>
        <v>Player 104</v>
      </c>
    </row>
    <row r="106" spans="1:3" x14ac:dyDescent="0.25">
      <c r="A106">
        <v>2060</v>
      </c>
      <c r="B106">
        <v>105</v>
      </c>
      <c r="C106" t="str">
        <f t="shared" si="1"/>
        <v>Player 105</v>
      </c>
    </row>
    <row r="107" spans="1:3" x14ac:dyDescent="0.25">
      <c r="A107">
        <v>2062</v>
      </c>
      <c r="B107">
        <v>106</v>
      </c>
      <c r="C107" t="str">
        <f t="shared" si="1"/>
        <v>Player 106</v>
      </c>
    </row>
    <row r="108" spans="1:3" x14ac:dyDescent="0.25">
      <c r="A108">
        <v>2063</v>
      </c>
      <c r="B108">
        <v>107</v>
      </c>
      <c r="C108" t="str">
        <f t="shared" si="1"/>
        <v>Player 107</v>
      </c>
    </row>
    <row r="109" spans="1:3" x14ac:dyDescent="0.25">
      <c r="A109">
        <v>2065</v>
      </c>
      <c r="B109">
        <v>108</v>
      </c>
      <c r="C109" t="str">
        <f t="shared" si="1"/>
        <v>Player 108</v>
      </c>
    </row>
    <row r="110" spans="1:3" x14ac:dyDescent="0.25">
      <c r="A110">
        <v>2066</v>
      </c>
      <c r="B110">
        <v>109</v>
      </c>
      <c r="C110" t="str">
        <f t="shared" si="1"/>
        <v>Player 109</v>
      </c>
    </row>
    <row r="111" spans="1:3" x14ac:dyDescent="0.25">
      <c r="A111">
        <v>2069</v>
      </c>
      <c r="B111">
        <v>110</v>
      </c>
      <c r="C111" t="str">
        <f t="shared" si="1"/>
        <v>Player 110</v>
      </c>
    </row>
    <row r="112" spans="1:3" x14ac:dyDescent="0.25">
      <c r="A112">
        <v>2077</v>
      </c>
      <c r="B112">
        <v>111</v>
      </c>
      <c r="C112" t="str">
        <f t="shared" si="1"/>
        <v>Player 111</v>
      </c>
    </row>
    <row r="113" spans="1:3" x14ac:dyDescent="0.25">
      <c r="A113">
        <v>2081</v>
      </c>
      <c r="B113">
        <v>112</v>
      </c>
      <c r="C113" t="str">
        <f t="shared" si="1"/>
        <v>Player 112</v>
      </c>
    </row>
    <row r="114" spans="1:3" x14ac:dyDescent="0.25">
      <c r="A114">
        <v>2120</v>
      </c>
      <c r="B114">
        <v>113</v>
      </c>
      <c r="C114" t="str">
        <f t="shared" si="1"/>
        <v>Player 113</v>
      </c>
    </row>
    <row r="115" spans="1:3" x14ac:dyDescent="0.25">
      <c r="A115">
        <v>2122</v>
      </c>
      <c r="B115">
        <v>114</v>
      </c>
      <c r="C115" t="str">
        <f t="shared" si="1"/>
        <v>Player 114</v>
      </c>
    </row>
    <row r="116" spans="1:3" x14ac:dyDescent="0.25">
      <c r="A116">
        <v>2148</v>
      </c>
      <c r="B116">
        <v>115</v>
      </c>
      <c r="C116" t="str">
        <f t="shared" si="1"/>
        <v>Player 115</v>
      </c>
    </row>
    <row r="117" spans="1:3" x14ac:dyDescent="0.25">
      <c r="A117">
        <v>2150</v>
      </c>
      <c r="B117">
        <v>116</v>
      </c>
      <c r="C117" t="str">
        <f t="shared" si="1"/>
        <v>Player 116</v>
      </c>
    </row>
    <row r="118" spans="1:3" x14ac:dyDescent="0.25">
      <c r="A118">
        <v>2154</v>
      </c>
      <c r="B118">
        <v>117</v>
      </c>
      <c r="C118" t="str">
        <f t="shared" si="1"/>
        <v>Player 117</v>
      </c>
    </row>
    <row r="119" spans="1:3" x14ac:dyDescent="0.25">
      <c r="A119">
        <v>2167</v>
      </c>
      <c r="B119">
        <v>118</v>
      </c>
      <c r="C119" t="str">
        <f t="shared" si="1"/>
        <v>Player 118</v>
      </c>
    </row>
    <row r="120" spans="1:3" x14ac:dyDescent="0.25">
      <c r="A120">
        <v>2184</v>
      </c>
      <c r="B120">
        <v>119</v>
      </c>
      <c r="C120" t="str">
        <f t="shared" si="1"/>
        <v>Player 119</v>
      </c>
    </row>
    <row r="121" spans="1:3" x14ac:dyDescent="0.25">
      <c r="A121">
        <v>2191</v>
      </c>
      <c r="B121">
        <v>120</v>
      </c>
      <c r="C121" t="str">
        <f t="shared" si="1"/>
        <v>Player 120</v>
      </c>
    </row>
    <row r="122" spans="1:3" x14ac:dyDescent="0.25">
      <c r="A122">
        <v>2202</v>
      </c>
      <c r="B122">
        <v>121</v>
      </c>
      <c r="C122" t="str">
        <f t="shared" si="1"/>
        <v>Player 121</v>
      </c>
    </row>
    <row r="123" spans="1:3" x14ac:dyDescent="0.25">
      <c r="A123">
        <v>2205</v>
      </c>
      <c r="B123">
        <v>122</v>
      </c>
      <c r="C123" t="str">
        <f t="shared" si="1"/>
        <v>Player 122</v>
      </c>
    </row>
    <row r="124" spans="1:3" x14ac:dyDescent="0.25">
      <c r="A124">
        <v>2214</v>
      </c>
      <c r="B124">
        <v>123</v>
      </c>
      <c r="C124" t="str">
        <f t="shared" si="1"/>
        <v>Player 123</v>
      </c>
    </row>
    <row r="125" spans="1:3" x14ac:dyDescent="0.25">
      <c r="A125">
        <v>2218</v>
      </c>
      <c r="B125">
        <v>124</v>
      </c>
      <c r="C125" t="str">
        <f t="shared" si="1"/>
        <v>Player 124</v>
      </c>
    </row>
    <row r="126" spans="1:3" x14ac:dyDescent="0.25">
      <c r="A126">
        <v>2248</v>
      </c>
      <c r="B126">
        <v>125</v>
      </c>
      <c r="C126" t="str">
        <f t="shared" si="1"/>
        <v>Player 125</v>
      </c>
    </row>
    <row r="127" spans="1:3" x14ac:dyDescent="0.25">
      <c r="A127">
        <v>2252</v>
      </c>
      <c r="B127">
        <v>126</v>
      </c>
      <c r="C127" t="str">
        <f t="shared" si="1"/>
        <v>Player 126</v>
      </c>
    </row>
    <row r="128" spans="1:3" x14ac:dyDescent="0.25">
      <c r="A128">
        <v>2256</v>
      </c>
      <c r="B128">
        <v>127</v>
      </c>
      <c r="C128" t="str">
        <f t="shared" si="1"/>
        <v>Player 127</v>
      </c>
    </row>
    <row r="129" spans="1:3" x14ac:dyDescent="0.25">
      <c r="A129">
        <v>2267</v>
      </c>
      <c r="B129">
        <v>128</v>
      </c>
      <c r="C129" t="str">
        <f t="shared" si="1"/>
        <v>Player 128</v>
      </c>
    </row>
    <row r="130" spans="1:3" x14ac:dyDescent="0.25">
      <c r="A130">
        <v>2276</v>
      </c>
      <c r="B130">
        <v>129</v>
      </c>
      <c r="C130" t="str">
        <f t="shared" si="1"/>
        <v>Player 129</v>
      </c>
    </row>
    <row r="131" spans="1:3" x14ac:dyDescent="0.25">
      <c r="A131">
        <v>2291</v>
      </c>
      <c r="B131">
        <v>130</v>
      </c>
      <c r="C131" t="str">
        <f t="shared" ref="C131:C194" si="2">"Player "&amp;TEXT(B131,"000")</f>
        <v>Player 130</v>
      </c>
    </row>
    <row r="132" spans="1:3" x14ac:dyDescent="0.25">
      <c r="A132">
        <v>2296</v>
      </c>
      <c r="B132">
        <v>131</v>
      </c>
      <c r="C132" t="str">
        <f t="shared" si="2"/>
        <v>Player 131</v>
      </c>
    </row>
    <row r="133" spans="1:3" x14ac:dyDescent="0.25">
      <c r="A133">
        <v>2306</v>
      </c>
      <c r="B133">
        <v>132</v>
      </c>
      <c r="C133" t="str">
        <f t="shared" si="2"/>
        <v>Player 132</v>
      </c>
    </row>
    <row r="134" spans="1:3" x14ac:dyDescent="0.25">
      <c r="A134">
        <v>2324</v>
      </c>
      <c r="B134">
        <v>133</v>
      </c>
      <c r="C134" t="str">
        <f t="shared" si="2"/>
        <v>Player 133</v>
      </c>
    </row>
    <row r="135" spans="1:3" x14ac:dyDescent="0.25">
      <c r="A135">
        <v>2331</v>
      </c>
      <c r="B135">
        <v>134</v>
      </c>
      <c r="C135" t="str">
        <f t="shared" si="2"/>
        <v>Player 134</v>
      </c>
    </row>
    <row r="136" spans="1:3" x14ac:dyDescent="0.25">
      <c r="A136">
        <v>2342</v>
      </c>
      <c r="B136">
        <v>135</v>
      </c>
      <c r="C136" t="str">
        <f t="shared" si="2"/>
        <v>Player 135</v>
      </c>
    </row>
    <row r="137" spans="1:3" x14ac:dyDescent="0.25">
      <c r="A137">
        <v>2353</v>
      </c>
      <c r="B137">
        <v>136</v>
      </c>
      <c r="C137" t="str">
        <f t="shared" si="2"/>
        <v>Player 136</v>
      </c>
    </row>
    <row r="138" spans="1:3" x14ac:dyDescent="0.25">
      <c r="A138">
        <v>2365</v>
      </c>
      <c r="B138">
        <v>137</v>
      </c>
      <c r="C138" t="str">
        <f t="shared" si="2"/>
        <v>Player 137</v>
      </c>
    </row>
    <row r="139" spans="1:3" x14ac:dyDescent="0.25">
      <c r="A139">
        <v>2409</v>
      </c>
      <c r="B139">
        <v>138</v>
      </c>
      <c r="C139" t="str">
        <f t="shared" si="2"/>
        <v>Player 138</v>
      </c>
    </row>
    <row r="140" spans="1:3" x14ac:dyDescent="0.25">
      <c r="A140">
        <v>2460</v>
      </c>
      <c r="B140">
        <v>139</v>
      </c>
      <c r="C140" t="str">
        <f t="shared" si="2"/>
        <v>Player 139</v>
      </c>
    </row>
    <row r="141" spans="1:3" x14ac:dyDescent="0.25">
      <c r="A141">
        <v>2484</v>
      </c>
      <c r="B141">
        <v>140</v>
      </c>
      <c r="C141" t="str">
        <f t="shared" si="2"/>
        <v>Player 140</v>
      </c>
    </row>
    <row r="142" spans="1:3" x14ac:dyDescent="0.25">
      <c r="A142">
        <v>2495</v>
      </c>
      <c r="B142">
        <v>141</v>
      </c>
      <c r="C142" t="str">
        <f t="shared" si="2"/>
        <v>Player 141</v>
      </c>
    </row>
    <row r="143" spans="1:3" x14ac:dyDescent="0.25">
      <c r="A143">
        <v>2528</v>
      </c>
      <c r="B143">
        <v>142</v>
      </c>
      <c r="C143" t="str">
        <f t="shared" si="2"/>
        <v>Player 142</v>
      </c>
    </row>
    <row r="144" spans="1:3" x14ac:dyDescent="0.25">
      <c r="A144">
        <v>2531</v>
      </c>
      <c r="B144">
        <v>143</v>
      </c>
      <c r="C144" t="str">
        <f t="shared" si="2"/>
        <v>Player 143</v>
      </c>
    </row>
    <row r="145" spans="1:3" x14ac:dyDescent="0.25">
      <c r="A145">
        <v>2540</v>
      </c>
      <c r="B145">
        <v>144</v>
      </c>
      <c r="C145" t="str">
        <f t="shared" si="2"/>
        <v>Player 144</v>
      </c>
    </row>
    <row r="146" spans="1:3" x14ac:dyDescent="0.25">
      <c r="A146">
        <v>2542</v>
      </c>
      <c r="B146">
        <v>145</v>
      </c>
      <c r="C146" t="str">
        <f t="shared" si="2"/>
        <v>Player 145</v>
      </c>
    </row>
    <row r="147" spans="1:3" x14ac:dyDescent="0.25">
      <c r="A147">
        <v>2571</v>
      </c>
      <c r="B147">
        <v>146</v>
      </c>
      <c r="C147" t="str">
        <f t="shared" si="2"/>
        <v>Player 146</v>
      </c>
    </row>
    <row r="148" spans="1:3" x14ac:dyDescent="0.25">
      <c r="A148">
        <v>2581</v>
      </c>
      <c r="B148">
        <v>147</v>
      </c>
      <c r="C148" t="str">
        <f t="shared" si="2"/>
        <v>Player 147</v>
      </c>
    </row>
    <row r="149" spans="1:3" x14ac:dyDescent="0.25">
      <c r="A149">
        <v>2585</v>
      </c>
      <c r="B149">
        <v>148</v>
      </c>
      <c r="C149" t="str">
        <f t="shared" si="2"/>
        <v>Player 148</v>
      </c>
    </row>
    <row r="150" spans="1:3" x14ac:dyDescent="0.25">
      <c r="A150">
        <v>2604</v>
      </c>
      <c r="B150">
        <v>149</v>
      </c>
      <c r="C150" t="str">
        <f t="shared" si="2"/>
        <v>Player 149</v>
      </c>
    </row>
    <row r="151" spans="1:3" x14ac:dyDescent="0.25">
      <c r="A151">
        <v>2605</v>
      </c>
      <c r="B151">
        <v>150</v>
      </c>
      <c r="C151" t="str">
        <f t="shared" si="2"/>
        <v>Player 150</v>
      </c>
    </row>
    <row r="152" spans="1:3" x14ac:dyDescent="0.25">
      <c r="A152">
        <v>2619</v>
      </c>
      <c r="B152">
        <v>151</v>
      </c>
      <c r="C152" t="str">
        <f t="shared" si="2"/>
        <v>Player 151</v>
      </c>
    </row>
    <row r="153" spans="1:3" x14ac:dyDescent="0.25">
      <c r="A153">
        <v>2625</v>
      </c>
      <c r="B153">
        <v>152</v>
      </c>
      <c r="C153" t="str">
        <f t="shared" si="2"/>
        <v>Player 152</v>
      </c>
    </row>
    <row r="154" spans="1:3" x14ac:dyDescent="0.25">
      <c r="A154">
        <v>2633</v>
      </c>
      <c r="B154">
        <v>153</v>
      </c>
      <c r="C154" t="str">
        <f t="shared" si="2"/>
        <v>Player 153</v>
      </c>
    </row>
    <row r="155" spans="1:3" x14ac:dyDescent="0.25">
      <c r="A155">
        <v>2636</v>
      </c>
      <c r="B155">
        <v>154</v>
      </c>
      <c r="C155" t="str">
        <f t="shared" si="2"/>
        <v>Player 154</v>
      </c>
    </row>
    <row r="156" spans="1:3" x14ac:dyDescent="0.25">
      <c r="A156">
        <v>2645</v>
      </c>
      <c r="B156">
        <v>155</v>
      </c>
      <c r="C156" t="str">
        <f t="shared" si="2"/>
        <v>Player 155</v>
      </c>
    </row>
    <row r="157" spans="1:3" x14ac:dyDescent="0.25">
      <c r="A157">
        <v>2646</v>
      </c>
      <c r="B157">
        <v>156</v>
      </c>
      <c r="C157" t="str">
        <f t="shared" si="2"/>
        <v>Player 156</v>
      </c>
    </row>
    <row r="158" spans="1:3" x14ac:dyDescent="0.25">
      <c r="A158">
        <v>2648</v>
      </c>
      <c r="B158">
        <v>157</v>
      </c>
      <c r="C158" t="str">
        <f t="shared" si="2"/>
        <v>Player 157</v>
      </c>
    </row>
    <row r="159" spans="1:3" x14ac:dyDescent="0.25">
      <c r="A159">
        <v>2663</v>
      </c>
      <c r="B159">
        <v>158</v>
      </c>
      <c r="C159" t="str">
        <f t="shared" si="2"/>
        <v>Player 158</v>
      </c>
    </row>
    <row r="160" spans="1:3" x14ac:dyDescent="0.25">
      <c r="A160">
        <v>2664</v>
      </c>
      <c r="B160">
        <v>159</v>
      </c>
      <c r="C160" t="str">
        <f t="shared" si="2"/>
        <v>Player 159</v>
      </c>
    </row>
    <row r="161" spans="1:3" x14ac:dyDescent="0.25">
      <c r="A161">
        <v>2678</v>
      </c>
      <c r="B161">
        <v>160</v>
      </c>
      <c r="C161" t="str">
        <f t="shared" si="2"/>
        <v>Player 160</v>
      </c>
    </row>
    <row r="162" spans="1:3" x14ac:dyDescent="0.25">
      <c r="A162">
        <v>2679</v>
      </c>
      <c r="B162">
        <v>161</v>
      </c>
      <c r="C162" t="str">
        <f t="shared" si="2"/>
        <v>Player 161</v>
      </c>
    </row>
    <row r="163" spans="1:3" x14ac:dyDescent="0.25">
      <c r="A163">
        <v>2685</v>
      </c>
      <c r="B163">
        <v>162</v>
      </c>
      <c r="C163" t="str">
        <f t="shared" si="2"/>
        <v>Player 162</v>
      </c>
    </row>
    <row r="164" spans="1:3" x14ac:dyDescent="0.25">
      <c r="A164">
        <v>2686</v>
      </c>
      <c r="B164">
        <v>163</v>
      </c>
      <c r="C164" t="str">
        <f t="shared" si="2"/>
        <v>Player 163</v>
      </c>
    </row>
    <row r="165" spans="1:3" x14ac:dyDescent="0.25">
      <c r="A165">
        <v>2687</v>
      </c>
      <c r="B165">
        <v>164</v>
      </c>
      <c r="C165" t="str">
        <f t="shared" si="2"/>
        <v>Player 164</v>
      </c>
    </row>
    <row r="166" spans="1:3" x14ac:dyDescent="0.25">
      <c r="A166">
        <v>2693</v>
      </c>
      <c r="B166">
        <v>165</v>
      </c>
      <c r="C166" t="str">
        <f t="shared" si="2"/>
        <v>Player 165</v>
      </c>
    </row>
    <row r="167" spans="1:3" x14ac:dyDescent="0.25">
      <c r="A167">
        <v>2707</v>
      </c>
      <c r="B167">
        <v>166</v>
      </c>
      <c r="C167" t="str">
        <f t="shared" si="2"/>
        <v>Player 166</v>
      </c>
    </row>
    <row r="168" spans="1:3" x14ac:dyDescent="0.25">
      <c r="A168">
        <v>2733</v>
      </c>
      <c r="B168">
        <v>167</v>
      </c>
      <c r="C168" t="str">
        <f t="shared" si="2"/>
        <v>Player 167</v>
      </c>
    </row>
    <row r="169" spans="1:3" x14ac:dyDescent="0.25">
      <c r="A169">
        <v>2734</v>
      </c>
      <c r="B169">
        <v>168</v>
      </c>
      <c r="C169" t="str">
        <f t="shared" si="2"/>
        <v>Player 168</v>
      </c>
    </row>
    <row r="170" spans="1:3" x14ac:dyDescent="0.25">
      <c r="A170">
        <v>2757</v>
      </c>
      <c r="B170">
        <v>169</v>
      </c>
      <c r="C170" t="str">
        <f t="shared" si="2"/>
        <v>Player 169</v>
      </c>
    </row>
    <row r="171" spans="1:3" x14ac:dyDescent="0.25">
      <c r="A171">
        <v>2759</v>
      </c>
      <c r="B171">
        <v>170</v>
      </c>
      <c r="C171" t="str">
        <f t="shared" si="2"/>
        <v>Player 170</v>
      </c>
    </row>
    <row r="172" spans="1:3" x14ac:dyDescent="0.25">
      <c r="A172">
        <v>2761</v>
      </c>
      <c r="B172">
        <v>171</v>
      </c>
      <c r="C172" t="str">
        <f t="shared" si="2"/>
        <v>Player 171</v>
      </c>
    </row>
    <row r="173" spans="1:3" x14ac:dyDescent="0.25">
      <c r="A173">
        <v>2792</v>
      </c>
      <c r="B173">
        <v>172</v>
      </c>
      <c r="C173" t="str">
        <f t="shared" si="2"/>
        <v>Player 172</v>
      </c>
    </row>
    <row r="174" spans="1:3" x14ac:dyDescent="0.25">
      <c r="A174">
        <v>2802</v>
      </c>
      <c r="B174">
        <v>173</v>
      </c>
      <c r="C174" t="str">
        <f t="shared" si="2"/>
        <v>Player 173</v>
      </c>
    </row>
    <row r="175" spans="1:3" x14ac:dyDescent="0.25">
      <c r="A175">
        <v>2810</v>
      </c>
      <c r="B175">
        <v>174</v>
      </c>
      <c r="C175" t="str">
        <f t="shared" si="2"/>
        <v>Player 174</v>
      </c>
    </row>
    <row r="176" spans="1:3" x14ac:dyDescent="0.25">
      <c r="A176">
        <v>2816</v>
      </c>
      <c r="B176">
        <v>175</v>
      </c>
      <c r="C176" t="str">
        <f t="shared" si="2"/>
        <v>Player 175</v>
      </c>
    </row>
    <row r="177" spans="1:3" x14ac:dyDescent="0.25">
      <c r="A177">
        <v>2828</v>
      </c>
      <c r="B177">
        <v>176</v>
      </c>
      <c r="C177" t="str">
        <f t="shared" si="2"/>
        <v>Player 176</v>
      </c>
    </row>
    <row r="178" spans="1:3" x14ac:dyDescent="0.25">
      <c r="A178">
        <v>2838</v>
      </c>
      <c r="B178">
        <v>177</v>
      </c>
      <c r="C178" t="str">
        <f t="shared" si="2"/>
        <v>Player 177</v>
      </c>
    </row>
    <row r="179" spans="1:3" x14ac:dyDescent="0.25">
      <c r="A179">
        <v>2841</v>
      </c>
      <c r="B179">
        <v>178</v>
      </c>
      <c r="C179" t="str">
        <f t="shared" si="2"/>
        <v>Player 178</v>
      </c>
    </row>
    <row r="180" spans="1:3" x14ac:dyDescent="0.25">
      <c r="A180">
        <v>2843</v>
      </c>
      <c r="B180">
        <v>179</v>
      </c>
      <c r="C180" t="str">
        <f t="shared" si="2"/>
        <v>Player 179</v>
      </c>
    </row>
    <row r="181" spans="1:3" x14ac:dyDescent="0.25">
      <c r="A181">
        <v>2852</v>
      </c>
      <c r="B181">
        <v>180</v>
      </c>
      <c r="C181" t="str">
        <f t="shared" si="2"/>
        <v>Player 180</v>
      </c>
    </row>
    <row r="182" spans="1:3" x14ac:dyDescent="0.25">
      <c r="A182">
        <v>2853</v>
      </c>
      <c r="B182">
        <v>181</v>
      </c>
      <c r="C182" t="str">
        <f t="shared" si="2"/>
        <v>Player 181</v>
      </c>
    </row>
    <row r="183" spans="1:3" x14ac:dyDescent="0.25">
      <c r="A183">
        <v>2854</v>
      </c>
      <c r="B183">
        <v>182</v>
      </c>
      <c r="C183" t="str">
        <f t="shared" si="2"/>
        <v>Player 182</v>
      </c>
    </row>
    <row r="184" spans="1:3" x14ac:dyDescent="0.25">
      <c r="A184">
        <v>2865</v>
      </c>
      <c r="B184">
        <v>183</v>
      </c>
      <c r="C184" t="str">
        <f t="shared" si="2"/>
        <v>Player 183</v>
      </c>
    </row>
    <row r="185" spans="1:3" x14ac:dyDescent="0.25">
      <c r="A185">
        <v>2887</v>
      </c>
      <c r="B185">
        <v>184</v>
      </c>
      <c r="C185" t="str">
        <f t="shared" si="2"/>
        <v>Player 184</v>
      </c>
    </row>
    <row r="186" spans="1:3" x14ac:dyDescent="0.25">
      <c r="A186">
        <v>2895</v>
      </c>
      <c r="B186">
        <v>185</v>
      </c>
      <c r="C186" t="str">
        <f t="shared" si="2"/>
        <v>Player 185</v>
      </c>
    </row>
    <row r="187" spans="1:3" x14ac:dyDescent="0.25">
      <c r="A187">
        <v>2899</v>
      </c>
      <c r="B187">
        <v>186</v>
      </c>
      <c r="C187" t="str">
        <f t="shared" si="2"/>
        <v>Player 186</v>
      </c>
    </row>
    <row r="188" spans="1:3" x14ac:dyDescent="0.25">
      <c r="A188">
        <v>2906</v>
      </c>
      <c r="B188">
        <v>187</v>
      </c>
      <c r="C188" t="str">
        <f t="shared" si="2"/>
        <v>Player 187</v>
      </c>
    </row>
    <row r="189" spans="1:3" x14ac:dyDescent="0.25">
      <c r="A189">
        <v>2908</v>
      </c>
      <c r="B189">
        <v>188</v>
      </c>
      <c r="C189" t="str">
        <f t="shared" si="2"/>
        <v>Player 188</v>
      </c>
    </row>
    <row r="190" spans="1:3" x14ac:dyDescent="0.25">
      <c r="A190">
        <v>2917</v>
      </c>
      <c r="B190">
        <v>189</v>
      </c>
      <c r="C190" t="str">
        <f t="shared" si="2"/>
        <v>Player 189</v>
      </c>
    </row>
    <row r="191" spans="1:3" x14ac:dyDescent="0.25">
      <c r="A191">
        <v>2930</v>
      </c>
      <c r="B191">
        <v>190</v>
      </c>
      <c r="C191" t="str">
        <f t="shared" si="2"/>
        <v>Player 190</v>
      </c>
    </row>
    <row r="192" spans="1:3" x14ac:dyDescent="0.25">
      <c r="A192">
        <v>2931</v>
      </c>
      <c r="B192">
        <v>191</v>
      </c>
      <c r="C192" t="str">
        <f t="shared" si="2"/>
        <v>Player 191</v>
      </c>
    </row>
    <row r="193" spans="1:3" x14ac:dyDescent="0.25">
      <c r="A193">
        <v>2959</v>
      </c>
      <c r="B193">
        <v>192</v>
      </c>
      <c r="C193" t="str">
        <f t="shared" si="2"/>
        <v>Player 192</v>
      </c>
    </row>
    <row r="194" spans="1:3" x14ac:dyDescent="0.25">
      <c r="A194">
        <v>2970</v>
      </c>
      <c r="B194">
        <v>193</v>
      </c>
      <c r="C194" t="str">
        <f t="shared" si="2"/>
        <v>Player 193</v>
      </c>
    </row>
    <row r="195" spans="1:3" x14ac:dyDescent="0.25">
      <c r="A195">
        <v>2976</v>
      </c>
      <c r="B195">
        <v>194</v>
      </c>
      <c r="C195" t="str">
        <f t="shared" ref="C195:C258" si="3">"Player "&amp;TEXT(B195,"000")</f>
        <v>Player 194</v>
      </c>
    </row>
    <row r="196" spans="1:3" x14ac:dyDescent="0.25">
      <c r="A196">
        <v>2986</v>
      </c>
      <c r="B196">
        <v>195</v>
      </c>
      <c r="C196" t="str">
        <f t="shared" si="3"/>
        <v>Player 195</v>
      </c>
    </row>
    <row r="197" spans="1:3" x14ac:dyDescent="0.25">
      <c r="A197">
        <v>2990</v>
      </c>
      <c r="B197">
        <v>196</v>
      </c>
      <c r="C197" t="str">
        <f t="shared" si="3"/>
        <v>Player 196</v>
      </c>
    </row>
    <row r="198" spans="1:3" x14ac:dyDescent="0.25">
      <c r="A198">
        <v>2994</v>
      </c>
      <c r="B198">
        <v>197</v>
      </c>
      <c r="C198" t="str">
        <f t="shared" si="3"/>
        <v>Player 197</v>
      </c>
    </row>
    <row r="199" spans="1:3" x14ac:dyDescent="0.25">
      <c r="A199">
        <v>2997</v>
      </c>
      <c r="B199">
        <v>198</v>
      </c>
      <c r="C199" t="str">
        <f t="shared" si="3"/>
        <v>Player 198</v>
      </c>
    </row>
    <row r="200" spans="1:3" x14ac:dyDescent="0.25">
      <c r="A200">
        <v>2998</v>
      </c>
      <c r="B200">
        <v>199</v>
      </c>
      <c r="C200" t="str">
        <f t="shared" si="3"/>
        <v>Player 199</v>
      </c>
    </row>
    <row r="201" spans="1:3" x14ac:dyDescent="0.25">
      <c r="A201">
        <v>3000</v>
      </c>
      <c r="B201">
        <v>200</v>
      </c>
      <c r="C201" t="str">
        <f t="shared" si="3"/>
        <v>Player 200</v>
      </c>
    </row>
    <row r="202" spans="1:3" x14ac:dyDescent="0.25">
      <c r="A202">
        <v>3026</v>
      </c>
      <c r="B202">
        <v>201</v>
      </c>
      <c r="C202" t="str">
        <f t="shared" si="3"/>
        <v>Player 201</v>
      </c>
    </row>
    <row r="203" spans="1:3" x14ac:dyDescent="0.25">
      <c r="A203">
        <v>3027</v>
      </c>
      <c r="B203">
        <v>202</v>
      </c>
      <c r="C203" t="str">
        <f t="shared" si="3"/>
        <v>Player 202</v>
      </c>
    </row>
    <row r="204" spans="1:3" x14ac:dyDescent="0.25">
      <c r="A204">
        <v>3047</v>
      </c>
      <c r="B204">
        <v>203</v>
      </c>
      <c r="C204" t="str">
        <f t="shared" si="3"/>
        <v>Player 203</v>
      </c>
    </row>
    <row r="205" spans="1:3" x14ac:dyDescent="0.25">
      <c r="A205">
        <v>3048</v>
      </c>
      <c r="B205">
        <v>204</v>
      </c>
      <c r="C205" t="str">
        <f t="shared" si="3"/>
        <v>Player 204</v>
      </c>
    </row>
    <row r="206" spans="1:3" x14ac:dyDescent="0.25">
      <c r="A206">
        <v>3049</v>
      </c>
      <c r="B206">
        <v>205</v>
      </c>
      <c r="C206" t="str">
        <f t="shared" si="3"/>
        <v>Player 205</v>
      </c>
    </row>
    <row r="207" spans="1:3" x14ac:dyDescent="0.25">
      <c r="A207">
        <v>3060</v>
      </c>
      <c r="B207">
        <v>206</v>
      </c>
      <c r="C207" t="str">
        <f t="shared" si="3"/>
        <v>Player 206</v>
      </c>
    </row>
    <row r="208" spans="1:3" x14ac:dyDescent="0.25">
      <c r="A208">
        <v>3062</v>
      </c>
      <c r="B208">
        <v>207</v>
      </c>
      <c r="C208" t="str">
        <f t="shared" si="3"/>
        <v>Player 207</v>
      </c>
    </row>
    <row r="209" spans="1:3" x14ac:dyDescent="0.25">
      <c r="A209">
        <v>3065</v>
      </c>
      <c r="B209">
        <v>208</v>
      </c>
      <c r="C209" t="str">
        <f t="shared" si="3"/>
        <v>Player 208</v>
      </c>
    </row>
    <row r="210" spans="1:3" x14ac:dyDescent="0.25">
      <c r="A210">
        <v>3079</v>
      </c>
      <c r="B210">
        <v>209</v>
      </c>
      <c r="C210" t="str">
        <f t="shared" si="3"/>
        <v>Player 209</v>
      </c>
    </row>
    <row r="211" spans="1:3" x14ac:dyDescent="0.25">
      <c r="A211">
        <v>3082</v>
      </c>
      <c r="B211">
        <v>210</v>
      </c>
      <c r="C211" t="str">
        <f t="shared" si="3"/>
        <v>Player 210</v>
      </c>
    </row>
    <row r="212" spans="1:3" x14ac:dyDescent="0.25">
      <c r="A212">
        <v>3105</v>
      </c>
      <c r="B212">
        <v>211</v>
      </c>
      <c r="C212" t="str">
        <f t="shared" si="3"/>
        <v>Player 211</v>
      </c>
    </row>
    <row r="213" spans="1:3" x14ac:dyDescent="0.25">
      <c r="A213">
        <v>3116</v>
      </c>
      <c r="B213">
        <v>212</v>
      </c>
      <c r="C213" t="str">
        <f t="shared" si="3"/>
        <v>Player 212</v>
      </c>
    </row>
    <row r="214" spans="1:3" x14ac:dyDescent="0.25">
      <c r="A214">
        <v>3125</v>
      </c>
      <c r="B214">
        <v>213</v>
      </c>
      <c r="C214" t="str">
        <f t="shared" si="3"/>
        <v>Player 213</v>
      </c>
    </row>
    <row r="215" spans="1:3" x14ac:dyDescent="0.25">
      <c r="A215">
        <v>3136</v>
      </c>
      <c r="B215">
        <v>214</v>
      </c>
      <c r="C215" t="str">
        <f t="shared" si="3"/>
        <v>Player 214</v>
      </c>
    </row>
    <row r="216" spans="1:3" x14ac:dyDescent="0.25">
      <c r="A216">
        <v>3141</v>
      </c>
      <c r="B216">
        <v>215</v>
      </c>
      <c r="C216" t="str">
        <f t="shared" si="3"/>
        <v>Player 215</v>
      </c>
    </row>
    <row r="217" spans="1:3" x14ac:dyDescent="0.25">
      <c r="A217">
        <v>3143</v>
      </c>
      <c r="B217">
        <v>216</v>
      </c>
      <c r="C217" t="str">
        <f t="shared" si="3"/>
        <v>Player 216</v>
      </c>
    </row>
    <row r="218" spans="1:3" x14ac:dyDescent="0.25">
      <c r="A218">
        <v>3156</v>
      </c>
      <c r="B218">
        <v>217</v>
      </c>
      <c r="C218" t="str">
        <f t="shared" si="3"/>
        <v>Player 217</v>
      </c>
    </row>
    <row r="219" spans="1:3" x14ac:dyDescent="0.25">
      <c r="A219">
        <v>3180</v>
      </c>
      <c r="B219">
        <v>218</v>
      </c>
      <c r="C219" t="str">
        <f t="shared" si="3"/>
        <v>Player 218</v>
      </c>
    </row>
    <row r="220" spans="1:3" x14ac:dyDescent="0.25">
      <c r="A220">
        <v>3190</v>
      </c>
      <c r="B220">
        <v>219</v>
      </c>
      <c r="C220" t="str">
        <f t="shared" si="3"/>
        <v>Player 219</v>
      </c>
    </row>
    <row r="221" spans="1:3" x14ac:dyDescent="0.25">
      <c r="A221">
        <v>3192</v>
      </c>
      <c r="B221">
        <v>220</v>
      </c>
      <c r="C221" t="str">
        <f t="shared" si="3"/>
        <v>Player 220</v>
      </c>
    </row>
    <row r="222" spans="1:3" x14ac:dyDescent="0.25">
      <c r="A222">
        <v>3193</v>
      </c>
      <c r="B222">
        <v>221</v>
      </c>
      <c r="C222" t="str">
        <f t="shared" si="3"/>
        <v>Player 221</v>
      </c>
    </row>
    <row r="223" spans="1:3" x14ac:dyDescent="0.25">
      <c r="A223">
        <v>3200</v>
      </c>
      <c r="B223">
        <v>222</v>
      </c>
      <c r="C223" t="str">
        <f t="shared" si="3"/>
        <v>Player 222</v>
      </c>
    </row>
    <row r="224" spans="1:3" x14ac:dyDescent="0.25">
      <c r="A224">
        <v>3204</v>
      </c>
      <c r="B224">
        <v>223</v>
      </c>
      <c r="C224" t="str">
        <f t="shared" si="3"/>
        <v>Player 223</v>
      </c>
    </row>
    <row r="225" spans="1:3" x14ac:dyDescent="0.25">
      <c r="A225">
        <v>3205</v>
      </c>
      <c r="B225">
        <v>224</v>
      </c>
      <c r="C225" t="str">
        <f t="shared" si="3"/>
        <v>Player 224</v>
      </c>
    </row>
    <row r="226" spans="1:3" x14ac:dyDescent="0.25">
      <c r="A226">
        <v>3219</v>
      </c>
      <c r="B226">
        <v>225</v>
      </c>
      <c r="C226" t="str">
        <f t="shared" si="3"/>
        <v>Player 225</v>
      </c>
    </row>
    <row r="227" spans="1:3" x14ac:dyDescent="0.25">
      <c r="A227">
        <v>3243</v>
      </c>
      <c r="B227">
        <v>226</v>
      </c>
      <c r="C227" t="str">
        <f t="shared" si="3"/>
        <v>Player 226</v>
      </c>
    </row>
    <row r="228" spans="1:3" x14ac:dyDescent="0.25">
      <c r="A228">
        <v>3255</v>
      </c>
      <c r="B228">
        <v>227</v>
      </c>
      <c r="C228" t="str">
        <f t="shared" si="3"/>
        <v>Player 227</v>
      </c>
    </row>
    <row r="229" spans="1:3" x14ac:dyDescent="0.25">
      <c r="A229">
        <v>3327</v>
      </c>
      <c r="B229">
        <v>228</v>
      </c>
      <c r="C229" t="str">
        <f t="shared" si="3"/>
        <v>Player 228</v>
      </c>
    </row>
    <row r="230" spans="1:3" x14ac:dyDescent="0.25">
      <c r="A230">
        <v>3336</v>
      </c>
      <c r="B230">
        <v>229</v>
      </c>
      <c r="C230" t="str">
        <f t="shared" si="3"/>
        <v>Player 229</v>
      </c>
    </row>
    <row r="231" spans="1:3" x14ac:dyDescent="0.25">
      <c r="A231">
        <v>3368</v>
      </c>
      <c r="B231">
        <v>230</v>
      </c>
      <c r="C231" t="str">
        <f t="shared" si="3"/>
        <v>Player 230</v>
      </c>
    </row>
    <row r="232" spans="1:3" x14ac:dyDescent="0.25">
      <c r="A232">
        <v>3371</v>
      </c>
      <c r="B232">
        <v>231</v>
      </c>
      <c r="C232" t="str">
        <f t="shared" si="3"/>
        <v>Player 231</v>
      </c>
    </row>
    <row r="233" spans="1:3" x14ac:dyDescent="0.25">
      <c r="A233">
        <v>3385</v>
      </c>
      <c r="B233">
        <v>232</v>
      </c>
      <c r="C233" t="str">
        <f t="shared" si="3"/>
        <v>Player 232</v>
      </c>
    </row>
    <row r="234" spans="1:3" x14ac:dyDescent="0.25">
      <c r="A234">
        <v>3393</v>
      </c>
      <c r="B234">
        <v>233</v>
      </c>
      <c r="C234" t="str">
        <f t="shared" si="3"/>
        <v>Player 233</v>
      </c>
    </row>
    <row r="235" spans="1:3" x14ac:dyDescent="0.25">
      <c r="A235">
        <v>3427</v>
      </c>
      <c r="B235">
        <v>234</v>
      </c>
      <c r="C235" t="str">
        <f t="shared" si="3"/>
        <v>Player 234</v>
      </c>
    </row>
    <row r="236" spans="1:3" x14ac:dyDescent="0.25">
      <c r="A236">
        <v>3433</v>
      </c>
      <c r="B236">
        <v>235</v>
      </c>
      <c r="C236" t="str">
        <f t="shared" si="3"/>
        <v>Player 235</v>
      </c>
    </row>
    <row r="237" spans="1:3" x14ac:dyDescent="0.25">
      <c r="A237">
        <v>3443</v>
      </c>
      <c r="B237">
        <v>236</v>
      </c>
      <c r="C237" t="str">
        <f t="shared" si="3"/>
        <v>Player 236</v>
      </c>
    </row>
    <row r="238" spans="1:3" x14ac:dyDescent="0.25">
      <c r="A238">
        <v>3454</v>
      </c>
      <c r="B238">
        <v>237</v>
      </c>
      <c r="C238" t="str">
        <f t="shared" si="3"/>
        <v>Player 237</v>
      </c>
    </row>
    <row r="239" spans="1:3" x14ac:dyDescent="0.25">
      <c r="A239">
        <v>3472</v>
      </c>
      <c r="B239">
        <v>238</v>
      </c>
      <c r="C239" t="str">
        <f t="shared" si="3"/>
        <v>Player 238</v>
      </c>
    </row>
    <row r="240" spans="1:3" x14ac:dyDescent="0.25">
      <c r="A240">
        <v>3479</v>
      </c>
      <c r="B240">
        <v>239</v>
      </c>
      <c r="C240" t="str">
        <f t="shared" si="3"/>
        <v>Player 239</v>
      </c>
    </row>
    <row r="241" spans="1:3" x14ac:dyDescent="0.25">
      <c r="A241">
        <v>3482</v>
      </c>
      <c r="B241">
        <v>240</v>
      </c>
      <c r="C241" t="str">
        <f t="shared" si="3"/>
        <v>Player 240</v>
      </c>
    </row>
    <row r="242" spans="1:3" x14ac:dyDescent="0.25">
      <c r="A242">
        <v>3489</v>
      </c>
      <c r="B242">
        <v>241</v>
      </c>
      <c r="C242" t="str">
        <f t="shared" si="3"/>
        <v>Player 241</v>
      </c>
    </row>
    <row r="243" spans="1:3" x14ac:dyDescent="0.25">
      <c r="A243">
        <v>3491</v>
      </c>
      <c r="B243">
        <v>242</v>
      </c>
      <c r="C243" t="str">
        <f t="shared" si="3"/>
        <v>Player 242</v>
      </c>
    </row>
    <row r="244" spans="1:3" x14ac:dyDescent="0.25">
      <c r="A244">
        <v>3502</v>
      </c>
      <c r="B244">
        <v>243</v>
      </c>
      <c r="C244" t="str">
        <f t="shared" si="3"/>
        <v>Player 243</v>
      </c>
    </row>
    <row r="245" spans="1:3" x14ac:dyDescent="0.25">
      <c r="A245">
        <v>3504</v>
      </c>
      <c r="B245">
        <v>244</v>
      </c>
      <c r="C245" t="str">
        <f t="shared" si="3"/>
        <v>Player 244</v>
      </c>
    </row>
    <row r="246" spans="1:3" x14ac:dyDescent="0.25">
      <c r="A246">
        <v>3511</v>
      </c>
      <c r="B246">
        <v>245</v>
      </c>
      <c r="C246" t="str">
        <f t="shared" si="3"/>
        <v>Player 245</v>
      </c>
    </row>
    <row r="247" spans="1:3" x14ac:dyDescent="0.25">
      <c r="A247">
        <v>3539</v>
      </c>
      <c r="B247">
        <v>246</v>
      </c>
      <c r="C247" t="str">
        <f t="shared" si="3"/>
        <v>Player 246</v>
      </c>
    </row>
    <row r="248" spans="1:3" x14ac:dyDescent="0.25">
      <c r="A248">
        <v>3551</v>
      </c>
      <c r="B248">
        <v>247</v>
      </c>
      <c r="C248" t="str">
        <f t="shared" si="3"/>
        <v>Player 247</v>
      </c>
    </row>
    <row r="249" spans="1:3" x14ac:dyDescent="0.25">
      <c r="A249">
        <v>3557</v>
      </c>
      <c r="B249">
        <v>248</v>
      </c>
      <c r="C249" t="str">
        <f t="shared" si="3"/>
        <v>Player 248</v>
      </c>
    </row>
    <row r="250" spans="1:3" x14ac:dyDescent="0.25">
      <c r="A250">
        <v>3558</v>
      </c>
      <c r="B250">
        <v>249</v>
      </c>
      <c r="C250" t="str">
        <f t="shared" si="3"/>
        <v>Player 249</v>
      </c>
    </row>
    <row r="251" spans="1:3" x14ac:dyDescent="0.25">
      <c r="A251">
        <v>3560</v>
      </c>
      <c r="B251">
        <v>250</v>
      </c>
      <c r="C251" t="str">
        <f t="shared" si="3"/>
        <v>Player 250</v>
      </c>
    </row>
    <row r="252" spans="1:3" x14ac:dyDescent="0.25">
      <c r="A252">
        <v>3568</v>
      </c>
      <c r="B252">
        <v>251</v>
      </c>
      <c r="C252" t="str">
        <f t="shared" si="3"/>
        <v>Player 251</v>
      </c>
    </row>
    <row r="253" spans="1:3" x14ac:dyDescent="0.25">
      <c r="A253">
        <v>3590</v>
      </c>
      <c r="B253">
        <v>252</v>
      </c>
      <c r="C253" t="str">
        <f t="shared" si="3"/>
        <v>Player 252</v>
      </c>
    </row>
    <row r="254" spans="1:3" x14ac:dyDescent="0.25">
      <c r="A254">
        <v>3593</v>
      </c>
      <c r="B254">
        <v>253</v>
      </c>
      <c r="C254" t="str">
        <f t="shared" si="3"/>
        <v>Player 253</v>
      </c>
    </row>
    <row r="255" spans="1:3" x14ac:dyDescent="0.25">
      <c r="A255">
        <v>3612</v>
      </c>
      <c r="B255">
        <v>254</v>
      </c>
      <c r="C255" t="str">
        <f t="shared" si="3"/>
        <v>Player 254</v>
      </c>
    </row>
    <row r="256" spans="1:3" x14ac:dyDescent="0.25">
      <c r="A256">
        <v>3635</v>
      </c>
      <c r="B256">
        <v>255</v>
      </c>
      <c r="C256" t="str">
        <f t="shared" si="3"/>
        <v>Player 255</v>
      </c>
    </row>
    <row r="257" spans="1:3" x14ac:dyDescent="0.25">
      <c r="A257">
        <v>3645</v>
      </c>
      <c r="B257">
        <v>256</v>
      </c>
      <c r="C257" t="str">
        <f t="shared" si="3"/>
        <v>Player 256</v>
      </c>
    </row>
    <row r="258" spans="1:3" x14ac:dyDescent="0.25">
      <c r="A258">
        <v>3674</v>
      </c>
      <c r="B258">
        <v>257</v>
      </c>
      <c r="C258" t="str">
        <f t="shared" si="3"/>
        <v>Player 257</v>
      </c>
    </row>
    <row r="259" spans="1:3" x14ac:dyDescent="0.25">
      <c r="A259">
        <v>3681</v>
      </c>
      <c r="B259">
        <v>258</v>
      </c>
      <c r="C259" t="str">
        <f t="shared" ref="C259:C322" si="4">"Player "&amp;TEXT(B259,"000")</f>
        <v>Player 258</v>
      </c>
    </row>
    <row r="260" spans="1:3" x14ac:dyDescent="0.25">
      <c r="A260">
        <v>3693</v>
      </c>
      <c r="B260">
        <v>259</v>
      </c>
      <c r="C260" t="str">
        <f t="shared" si="4"/>
        <v>Player 259</v>
      </c>
    </row>
    <row r="261" spans="1:3" x14ac:dyDescent="0.25">
      <c r="A261">
        <v>3695</v>
      </c>
      <c r="B261">
        <v>260</v>
      </c>
      <c r="C261" t="str">
        <f t="shared" si="4"/>
        <v>Player 260</v>
      </c>
    </row>
    <row r="262" spans="1:3" x14ac:dyDescent="0.25">
      <c r="A262">
        <v>3703</v>
      </c>
      <c r="B262">
        <v>261</v>
      </c>
      <c r="C262" t="str">
        <f t="shared" si="4"/>
        <v>Player 261</v>
      </c>
    </row>
    <row r="263" spans="1:3" x14ac:dyDescent="0.25">
      <c r="A263">
        <v>3708</v>
      </c>
      <c r="B263">
        <v>262</v>
      </c>
      <c r="C263" t="str">
        <f t="shared" si="4"/>
        <v>Player 262</v>
      </c>
    </row>
    <row r="264" spans="1:3" x14ac:dyDescent="0.25">
      <c r="A264">
        <v>3712</v>
      </c>
      <c r="B264">
        <v>263</v>
      </c>
      <c r="C264" t="str">
        <f t="shared" si="4"/>
        <v>Player 263</v>
      </c>
    </row>
    <row r="265" spans="1:3" x14ac:dyDescent="0.25">
      <c r="A265">
        <v>3713</v>
      </c>
      <c r="B265">
        <v>264</v>
      </c>
      <c r="C265" t="str">
        <f t="shared" si="4"/>
        <v>Player 264</v>
      </c>
    </row>
    <row r="266" spans="1:3" x14ac:dyDescent="0.25">
      <c r="A266">
        <v>3717</v>
      </c>
      <c r="B266">
        <v>265</v>
      </c>
      <c r="C266" t="str">
        <f t="shared" si="4"/>
        <v>Player 265</v>
      </c>
    </row>
    <row r="267" spans="1:3" x14ac:dyDescent="0.25">
      <c r="A267">
        <v>3731</v>
      </c>
      <c r="B267">
        <v>266</v>
      </c>
      <c r="C267" t="str">
        <f t="shared" si="4"/>
        <v>Player 266</v>
      </c>
    </row>
    <row r="268" spans="1:3" x14ac:dyDescent="0.25">
      <c r="A268">
        <v>3733</v>
      </c>
      <c r="B268">
        <v>267</v>
      </c>
      <c r="C268" t="str">
        <f t="shared" si="4"/>
        <v>Player 267</v>
      </c>
    </row>
    <row r="269" spans="1:3" x14ac:dyDescent="0.25">
      <c r="A269">
        <v>3734</v>
      </c>
      <c r="B269">
        <v>268</v>
      </c>
      <c r="C269" t="str">
        <f t="shared" si="4"/>
        <v>Player 268</v>
      </c>
    </row>
    <row r="270" spans="1:3" x14ac:dyDescent="0.25">
      <c r="A270">
        <v>3738</v>
      </c>
      <c r="B270">
        <v>269</v>
      </c>
      <c r="C270" t="str">
        <f t="shared" si="4"/>
        <v>Player 269</v>
      </c>
    </row>
    <row r="271" spans="1:3" x14ac:dyDescent="0.25">
      <c r="A271">
        <v>3739</v>
      </c>
      <c r="B271">
        <v>270</v>
      </c>
      <c r="C271" t="str">
        <f t="shared" si="4"/>
        <v>Player 270</v>
      </c>
    </row>
    <row r="272" spans="1:3" x14ac:dyDescent="0.25">
      <c r="A272">
        <v>3744</v>
      </c>
      <c r="B272">
        <v>271</v>
      </c>
      <c r="C272" t="str">
        <f t="shared" si="4"/>
        <v>Player 271</v>
      </c>
    </row>
    <row r="273" spans="1:3" x14ac:dyDescent="0.25">
      <c r="A273">
        <v>3745</v>
      </c>
      <c r="B273">
        <v>272</v>
      </c>
      <c r="C273" t="str">
        <f t="shared" si="4"/>
        <v>Player 272</v>
      </c>
    </row>
    <row r="274" spans="1:3" x14ac:dyDescent="0.25">
      <c r="A274">
        <v>3747</v>
      </c>
      <c r="B274">
        <v>273</v>
      </c>
      <c r="C274" t="str">
        <f t="shared" si="4"/>
        <v>Player 273</v>
      </c>
    </row>
    <row r="275" spans="1:3" x14ac:dyDescent="0.25">
      <c r="A275">
        <v>3779</v>
      </c>
      <c r="B275">
        <v>274</v>
      </c>
      <c r="C275" t="str">
        <f t="shared" si="4"/>
        <v>Player 274</v>
      </c>
    </row>
    <row r="276" spans="1:3" x14ac:dyDescent="0.25">
      <c r="A276">
        <v>3782</v>
      </c>
      <c r="B276">
        <v>275</v>
      </c>
      <c r="C276" t="str">
        <f t="shared" si="4"/>
        <v>Player 275</v>
      </c>
    </row>
    <row r="277" spans="1:3" x14ac:dyDescent="0.25">
      <c r="A277">
        <v>3786</v>
      </c>
      <c r="B277">
        <v>276</v>
      </c>
      <c r="C277" t="str">
        <f t="shared" si="4"/>
        <v>Player 276</v>
      </c>
    </row>
    <row r="278" spans="1:3" x14ac:dyDescent="0.25">
      <c r="A278">
        <v>3790</v>
      </c>
      <c r="B278">
        <v>277</v>
      </c>
      <c r="C278" t="str">
        <f t="shared" si="4"/>
        <v>Player 277</v>
      </c>
    </row>
    <row r="279" spans="1:3" x14ac:dyDescent="0.25">
      <c r="A279">
        <v>3797</v>
      </c>
      <c r="B279">
        <v>278</v>
      </c>
      <c r="C279" t="str">
        <f t="shared" si="4"/>
        <v>Player 278</v>
      </c>
    </row>
    <row r="280" spans="1:3" x14ac:dyDescent="0.25">
      <c r="A280">
        <v>3806</v>
      </c>
      <c r="B280">
        <v>279</v>
      </c>
      <c r="C280" t="str">
        <f t="shared" si="4"/>
        <v>Player 279</v>
      </c>
    </row>
    <row r="281" spans="1:3" x14ac:dyDescent="0.25">
      <c r="A281">
        <v>3811</v>
      </c>
      <c r="B281">
        <v>280</v>
      </c>
      <c r="C281" t="str">
        <f t="shared" si="4"/>
        <v>Player 280</v>
      </c>
    </row>
    <row r="282" spans="1:3" x14ac:dyDescent="0.25">
      <c r="A282">
        <v>3814</v>
      </c>
      <c r="B282">
        <v>281</v>
      </c>
      <c r="C282" t="str">
        <f t="shared" si="4"/>
        <v>Player 281</v>
      </c>
    </row>
    <row r="283" spans="1:3" x14ac:dyDescent="0.25">
      <c r="A283">
        <v>3824</v>
      </c>
      <c r="B283">
        <v>282</v>
      </c>
      <c r="C283" t="str">
        <f t="shared" si="4"/>
        <v>Player 282</v>
      </c>
    </row>
    <row r="284" spans="1:3" x14ac:dyDescent="0.25">
      <c r="A284">
        <v>3832</v>
      </c>
      <c r="B284">
        <v>283</v>
      </c>
      <c r="C284" t="str">
        <f t="shared" si="4"/>
        <v>Player 283</v>
      </c>
    </row>
    <row r="285" spans="1:3" x14ac:dyDescent="0.25">
      <c r="A285">
        <v>3838</v>
      </c>
      <c r="B285">
        <v>284</v>
      </c>
      <c r="C285" t="str">
        <f t="shared" si="4"/>
        <v>Player 284</v>
      </c>
    </row>
    <row r="286" spans="1:3" x14ac:dyDescent="0.25">
      <c r="A286">
        <v>3839</v>
      </c>
      <c r="B286">
        <v>285</v>
      </c>
      <c r="C286" t="str">
        <f t="shared" si="4"/>
        <v>Player 285</v>
      </c>
    </row>
    <row r="287" spans="1:3" x14ac:dyDescent="0.25">
      <c r="A287">
        <v>3849</v>
      </c>
      <c r="B287">
        <v>286</v>
      </c>
      <c r="C287" t="str">
        <f t="shared" si="4"/>
        <v>Player 286</v>
      </c>
    </row>
    <row r="288" spans="1:3" x14ac:dyDescent="0.25">
      <c r="A288">
        <v>3869</v>
      </c>
      <c r="B288">
        <v>287</v>
      </c>
      <c r="C288" t="str">
        <f t="shared" si="4"/>
        <v>Player 287</v>
      </c>
    </row>
    <row r="289" spans="1:3" x14ac:dyDescent="0.25">
      <c r="A289">
        <v>3871</v>
      </c>
      <c r="B289">
        <v>288</v>
      </c>
      <c r="C289" t="str">
        <f t="shared" si="4"/>
        <v>Player 288</v>
      </c>
    </row>
    <row r="290" spans="1:3" x14ac:dyDescent="0.25">
      <c r="A290">
        <v>3872</v>
      </c>
      <c r="B290">
        <v>289</v>
      </c>
      <c r="C290" t="str">
        <f t="shared" si="4"/>
        <v>Player 289</v>
      </c>
    </row>
    <row r="291" spans="1:3" x14ac:dyDescent="0.25">
      <c r="A291">
        <v>3878</v>
      </c>
      <c r="B291">
        <v>290</v>
      </c>
      <c r="C291" t="str">
        <f t="shared" si="4"/>
        <v>Player 290</v>
      </c>
    </row>
    <row r="292" spans="1:3" x14ac:dyDescent="0.25">
      <c r="A292">
        <v>3891</v>
      </c>
      <c r="B292">
        <v>291</v>
      </c>
      <c r="C292" t="str">
        <f t="shared" si="4"/>
        <v>Player 291</v>
      </c>
    </row>
    <row r="293" spans="1:3" x14ac:dyDescent="0.25">
      <c r="A293">
        <v>3898</v>
      </c>
      <c r="B293">
        <v>292</v>
      </c>
      <c r="C293" t="str">
        <f t="shared" si="4"/>
        <v>Player 292</v>
      </c>
    </row>
    <row r="294" spans="1:3" x14ac:dyDescent="0.25">
      <c r="A294">
        <v>3911</v>
      </c>
      <c r="B294">
        <v>293</v>
      </c>
      <c r="C294" t="str">
        <f t="shared" si="4"/>
        <v>Player 293</v>
      </c>
    </row>
    <row r="295" spans="1:3" x14ac:dyDescent="0.25">
      <c r="A295">
        <v>3914</v>
      </c>
      <c r="B295">
        <v>294</v>
      </c>
      <c r="C295" t="str">
        <f t="shared" si="4"/>
        <v>Player 294</v>
      </c>
    </row>
    <row r="296" spans="1:3" x14ac:dyDescent="0.25">
      <c r="A296">
        <v>3923</v>
      </c>
      <c r="B296">
        <v>295</v>
      </c>
      <c r="C296" t="str">
        <f t="shared" si="4"/>
        <v>Player 295</v>
      </c>
    </row>
    <row r="297" spans="1:3" x14ac:dyDescent="0.25">
      <c r="A297">
        <v>3931</v>
      </c>
      <c r="B297">
        <v>296</v>
      </c>
      <c r="C297" t="str">
        <f t="shared" si="4"/>
        <v>Player 296</v>
      </c>
    </row>
    <row r="298" spans="1:3" x14ac:dyDescent="0.25">
      <c r="A298">
        <v>3950</v>
      </c>
      <c r="B298">
        <v>297</v>
      </c>
      <c r="C298" t="str">
        <f t="shared" si="4"/>
        <v>Player 297</v>
      </c>
    </row>
    <row r="299" spans="1:3" x14ac:dyDescent="0.25">
      <c r="A299">
        <v>3961</v>
      </c>
      <c r="B299">
        <v>298</v>
      </c>
      <c r="C299" t="str">
        <f t="shared" si="4"/>
        <v>Player 298</v>
      </c>
    </row>
    <row r="300" spans="1:3" x14ac:dyDescent="0.25">
      <c r="A300">
        <v>3967</v>
      </c>
      <c r="B300">
        <v>299</v>
      </c>
      <c r="C300" t="str">
        <f t="shared" si="4"/>
        <v>Player 299</v>
      </c>
    </row>
    <row r="301" spans="1:3" x14ac:dyDescent="0.25">
      <c r="A301">
        <v>3975</v>
      </c>
      <c r="B301">
        <v>300</v>
      </c>
      <c r="C301" t="str">
        <f t="shared" si="4"/>
        <v>Player 300</v>
      </c>
    </row>
    <row r="302" spans="1:3" x14ac:dyDescent="0.25">
      <c r="A302">
        <v>3976</v>
      </c>
      <c r="B302">
        <v>301</v>
      </c>
      <c r="C302" t="str">
        <f t="shared" si="4"/>
        <v>Player 301</v>
      </c>
    </row>
    <row r="303" spans="1:3" x14ac:dyDescent="0.25">
      <c r="A303">
        <v>4005</v>
      </c>
      <c r="B303">
        <v>302</v>
      </c>
      <c r="C303" t="str">
        <f t="shared" si="4"/>
        <v>Player 302</v>
      </c>
    </row>
    <row r="304" spans="1:3" x14ac:dyDescent="0.25">
      <c r="A304">
        <v>4009</v>
      </c>
      <c r="B304">
        <v>303</v>
      </c>
      <c r="C304" t="str">
        <f t="shared" si="4"/>
        <v>Player 303</v>
      </c>
    </row>
    <row r="305" spans="1:3" x14ac:dyDescent="0.25">
      <c r="A305">
        <v>4030</v>
      </c>
      <c r="B305">
        <v>304</v>
      </c>
      <c r="C305" t="str">
        <f t="shared" si="4"/>
        <v>Player 304</v>
      </c>
    </row>
    <row r="306" spans="1:3" x14ac:dyDescent="0.25">
      <c r="A306">
        <v>4051</v>
      </c>
      <c r="B306">
        <v>305</v>
      </c>
      <c r="C306" t="str">
        <f t="shared" si="4"/>
        <v>Player 305</v>
      </c>
    </row>
    <row r="307" spans="1:3" x14ac:dyDescent="0.25">
      <c r="A307">
        <v>4072</v>
      </c>
      <c r="B307">
        <v>306</v>
      </c>
      <c r="C307" t="str">
        <f t="shared" si="4"/>
        <v>Player 306</v>
      </c>
    </row>
    <row r="308" spans="1:3" x14ac:dyDescent="0.25">
      <c r="A308">
        <v>4073</v>
      </c>
      <c r="B308">
        <v>307</v>
      </c>
      <c r="C308" t="str">
        <f t="shared" si="4"/>
        <v>Player 307</v>
      </c>
    </row>
    <row r="309" spans="1:3" x14ac:dyDescent="0.25">
      <c r="A309">
        <v>4086</v>
      </c>
      <c r="B309">
        <v>308</v>
      </c>
      <c r="C309" t="str">
        <f t="shared" si="4"/>
        <v>Player 308</v>
      </c>
    </row>
    <row r="310" spans="1:3" x14ac:dyDescent="0.25">
      <c r="A310">
        <v>4099</v>
      </c>
      <c r="B310">
        <v>309</v>
      </c>
      <c r="C310" t="str">
        <f t="shared" si="4"/>
        <v>Player 309</v>
      </c>
    </row>
    <row r="311" spans="1:3" x14ac:dyDescent="0.25">
      <c r="A311">
        <v>4104</v>
      </c>
      <c r="B311">
        <v>310</v>
      </c>
      <c r="C311" t="str">
        <f t="shared" si="4"/>
        <v>Player 310</v>
      </c>
    </row>
    <row r="312" spans="1:3" x14ac:dyDescent="0.25">
      <c r="A312">
        <v>4108</v>
      </c>
      <c r="B312">
        <v>311</v>
      </c>
      <c r="C312" t="str">
        <f t="shared" si="4"/>
        <v>Player 311</v>
      </c>
    </row>
    <row r="313" spans="1:3" x14ac:dyDescent="0.25">
      <c r="A313">
        <v>4124</v>
      </c>
      <c r="B313">
        <v>312</v>
      </c>
      <c r="C313" t="str">
        <f t="shared" si="4"/>
        <v>Player 312</v>
      </c>
    </row>
    <row r="314" spans="1:3" x14ac:dyDescent="0.25">
      <c r="A314">
        <v>4141</v>
      </c>
      <c r="B314">
        <v>313</v>
      </c>
      <c r="C314" t="str">
        <f t="shared" si="4"/>
        <v>Player 313</v>
      </c>
    </row>
    <row r="315" spans="1:3" x14ac:dyDescent="0.25">
      <c r="A315">
        <v>4147</v>
      </c>
      <c r="B315">
        <v>314</v>
      </c>
      <c r="C315" t="str">
        <f t="shared" si="4"/>
        <v>Player 314</v>
      </c>
    </row>
    <row r="316" spans="1:3" x14ac:dyDescent="0.25">
      <c r="A316">
        <v>4152</v>
      </c>
      <c r="B316">
        <v>315</v>
      </c>
      <c r="C316" t="str">
        <f t="shared" si="4"/>
        <v>Player 315</v>
      </c>
    </row>
    <row r="317" spans="1:3" x14ac:dyDescent="0.25">
      <c r="A317">
        <v>4157</v>
      </c>
      <c r="B317">
        <v>316</v>
      </c>
      <c r="C317" t="str">
        <f t="shared" si="4"/>
        <v>Player 316</v>
      </c>
    </row>
    <row r="318" spans="1:3" x14ac:dyDescent="0.25">
      <c r="A318">
        <v>4170</v>
      </c>
      <c r="B318">
        <v>317</v>
      </c>
      <c r="C318" t="str">
        <f t="shared" si="4"/>
        <v>Player 317</v>
      </c>
    </row>
    <row r="319" spans="1:3" x14ac:dyDescent="0.25">
      <c r="A319">
        <v>4177</v>
      </c>
      <c r="B319">
        <v>318</v>
      </c>
      <c r="C319" t="str">
        <f t="shared" si="4"/>
        <v>Player 318</v>
      </c>
    </row>
    <row r="320" spans="1:3" x14ac:dyDescent="0.25">
      <c r="A320">
        <v>4228</v>
      </c>
      <c r="B320">
        <v>319</v>
      </c>
      <c r="C320" t="str">
        <f t="shared" si="4"/>
        <v>Player 319</v>
      </c>
    </row>
    <row r="321" spans="1:3" x14ac:dyDescent="0.25">
      <c r="A321">
        <v>4242</v>
      </c>
      <c r="B321">
        <v>320</v>
      </c>
      <c r="C321" t="str">
        <f t="shared" si="4"/>
        <v>Player 320</v>
      </c>
    </row>
    <row r="322" spans="1:3" x14ac:dyDescent="0.25">
      <c r="A322">
        <v>4266</v>
      </c>
      <c r="B322">
        <v>321</v>
      </c>
      <c r="C322" t="str">
        <f t="shared" si="4"/>
        <v>Player 321</v>
      </c>
    </row>
    <row r="323" spans="1:3" x14ac:dyDescent="0.25">
      <c r="A323">
        <v>4267</v>
      </c>
      <c r="B323">
        <v>322</v>
      </c>
      <c r="C323" t="str">
        <f t="shared" ref="C323:C386" si="5">"Player "&amp;TEXT(B323,"000")</f>
        <v>Player 322</v>
      </c>
    </row>
    <row r="324" spans="1:3" x14ac:dyDescent="0.25">
      <c r="A324">
        <v>4304</v>
      </c>
      <c r="B324">
        <v>323</v>
      </c>
      <c r="C324" t="str">
        <f t="shared" si="5"/>
        <v>Player 323</v>
      </c>
    </row>
    <row r="325" spans="1:3" x14ac:dyDescent="0.25">
      <c r="A325">
        <v>4324</v>
      </c>
      <c r="B325">
        <v>324</v>
      </c>
      <c r="C325" t="str">
        <f t="shared" si="5"/>
        <v>Player 324</v>
      </c>
    </row>
    <row r="326" spans="1:3" x14ac:dyDescent="0.25">
      <c r="A326">
        <v>4327</v>
      </c>
      <c r="B326">
        <v>325</v>
      </c>
      <c r="C326" t="str">
        <f t="shared" si="5"/>
        <v>Player 325</v>
      </c>
    </row>
    <row r="327" spans="1:3" x14ac:dyDescent="0.25">
      <c r="A327">
        <v>4330</v>
      </c>
      <c r="B327">
        <v>326</v>
      </c>
      <c r="C327" t="str">
        <f t="shared" si="5"/>
        <v>Player 326</v>
      </c>
    </row>
    <row r="328" spans="1:3" x14ac:dyDescent="0.25">
      <c r="A328">
        <v>4335</v>
      </c>
      <c r="B328">
        <v>327</v>
      </c>
      <c r="C328" t="str">
        <f t="shared" si="5"/>
        <v>Player 327</v>
      </c>
    </row>
    <row r="329" spans="1:3" x14ac:dyDescent="0.25">
      <c r="A329">
        <v>4343</v>
      </c>
      <c r="B329">
        <v>328</v>
      </c>
      <c r="C329" t="str">
        <f t="shared" si="5"/>
        <v>Player 328</v>
      </c>
    </row>
    <row r="330" spans="1:3" x14ac:dyDescent="0.25">
      <c r="A330">
        <v>4345</v>
      </c>
      <c r="B330">
        <v>329</v>
      </c>
      <c r="C330" t="str">
        <f t="shared" si="5"/>
        <v>Player 329</v>
      </c>
    </row>
    <row r="331" spans="1:3" x14ac:dyDescent="0.25">
      <c r="A331">
        <v>4354</v>
      </c>
      <c r="B331">
        <v>330</v>
      </c>
      <c r="C331" t="str">
        <f t="shared" si="5"/>
        <v>Player 330</v>
      </c>
    </row>
    <row r="332" spans="1:3" x14ac:dyDescent="0.25">
      <c r="A332">
        <v>4368</v>
      </c>
      <c r="B332">
        <v>331</v>
      </c>
      <c r="C332" t="str">
        <f t="shared" si="5"/>
        <v>Player 331</v>
      </c>
    </row>
    <row r="333" spans="1:3" x14ac:dyDescent="0.25">
      <c r="A333">
        <v>4373</v>
      </c>
      <c r="B333">
        <v>332</v>
      </c>
      <c r="C333" t="str">
        <f t="shared" si="5"/>
        <v>Player 332</v>
      </c>
    </row>
    <row r="334" spans="1:3" x14ac:dyDescent="0.25">
      <c r="A334">
        <v>4374</v>
      </c>
      <c r="B334">
        <v>333</v>
      </c>
      <c r="C334" t="str">
        <f t="shared" si="5"/>
        <v>Player 333</v>
      </c>
    </row>
    <row r="335" spans="1:3" x14ac:dyDescent="0.25">
      <c r="A335">
        <v>4376</v>
      </c>
      <c r="B335">
        <v>334</v>
      </c>
      <c r="C335" t="str">
        <f t="shared" si="5"/>
        <v>Player 334</v>
      </c>
    </row>
    <row r="336" spans="1:3" x14ac:dyDescent="0.25">
      <c r="A336">
        <v>4385</v>
      </c>
      <c r="B336">
        <v>335</v>
      </c>
      <c r="C336" t="str">
        <f t="shared" si="5"/>
        <v>Player 335</v>
      </c>
    </row>
    <row r="337" spans="1:3" x14ac:dyDescent="0.25">
      <c r="A337">
        <v>4391</v>
      </c>
      <c r="B337">
        <v>336</v>
      </c>
      <c r="C337" t="str">
        <f t="shared" si="5"/>
        <v>Player 336</v>
      </c>
    </row>
    <row r="338" spans="1:3" x14ac:dyDescent="0.25">
      <c r="A338">
        <v>4394</v>
      </c>
      <c r="B338">
        <v>337</v>
      </c>
      <c r="C338" t="str">
        <f t="shared" si="5"/>
        <v>Player 337</v>
      </c>
    </row>
    <row r="339" spans="1:3" x14ac:dyDescent="0.25">
      <c r="A339">
        <v>4417</v>
      </c>
      <c r="B339">
        <v>338</v>
      </c>
      <c r="C339" t="str">
        <f t="shared" si="5"/>
        <v>Player 338</v>
      </c>
    </row>
    <row r="340" spans="1:3" x14ac:dyDescent="0.25">
      <c r="A340">
        <v>4419</v>
      </c>
      <c r="B340">
        <v>339</v>
      </c>
      <c r="C340" t="str">
        <f t="shared" si="5"/>
        <v>Player 339</v>
      </c>
    </row>
    <row r="341" spans="1:3" x14ac:dyDescent="0.25">
      <c r="A341">
        <v>4420</v>
      </c>
      <c r="B341">
        <v>340</v>
      </c>
      <c r="C341" t="str">
        <f t="shared" si="5"/>
        <v>Player 340</v>
      </c>
    </row>
    <row r="342" spans="1:3" x14ac:dyDescent="0.25">
      <c r="A342">
        <v>4432</v>
      </c>
      <c r="B342">
        <v>341</v>
      </c>
      <c r="C342" t="str">
        <f t="shared" si="5"/>
        <v>Player 341</v>
      </c>
    </row>
    <row r="343" spans="1:3" x14ac:dyDescent="0.25">
      <c r="A343">
        <v>4436</v>
      </c>
      <c r="B343">
        <v>342</v>
      </c>
      <c r="C343" t="str">
        <f t="shared" si="5"/>
        <v>Player 342</v>
      </c>
    </row>
    <row r="344" spans="1:3" x14ac:dyDescent="0.25">
      <c r="A344">
        <v>4440</v>
      </c>
      <c r="B344">
        <v>343</v>
      </c>
      <c r="C344" t="str">
        <f t="shared" si="5"/>
        <v>Player 343</v>
      </c>
    </row>
    <row r="345" spans="1:3" x14ac:dyDescent="0.25">
      <c r="A345">
        <v>4444</v>
      </c>
      <c r="B345">
        <v>344</v>
      </c>
      <c r="C345" t="str">
        <f t="shared" si="5"/>
        <v>Player 344</v>
      </c>
    </row>
    <row r="346" spans="1:3" x14ac:dyDescent="0.25">
      <c r="A346">
        <v>4446</v>
      </c>
      <c r="B346">
        <v>345</v>
      </c>
      <c r="C346" t="str">
        <f t="shared" si="5"/>
        <v>Player 345</v>
      </c>
    </row>
    <row r="347" spans="1:3" x14ac:dyDescent="0.25">
      <c r="A347">
        <v>4472</v>
      </c>
      <c r="B347">
        <v>346</v>
      </c>
      <c r="C347" t="str">
        <f t="shared" si="5"/>
        <v>Player 346</v>
      </c>
    </row>
    <row r="348" spans="1:3" x14ac:dyDescent="0.25">
      <c r="A348">
        <v>4476</v>
      </c>
      <c r="B348">
        <v>347</v>
      </c>
      <c r="C348" t="str">
        <f t="shared" si="5"/>
        <v>Player 347</v>
      </c>
    </row>
    <row r="349" spans="1:3" x14ac:dyDescent="0.25">
      <c r="A349">
        <v>4486</v>
      </c>
      <c r="B349">
        <v>348</v>
      </c>
      <c r="C349" t="str">
        <f t="shared" si="5"/>
        <v>Player 348</v>
      </c>
    </row>
    <row r="350" spans="1:3" x14ac:dyDescent="0.25">
      <c r="A350">
        <v>4490</v>
      </c>
      <c r="B350">
        <v>349</v>
      </c>
      <c r="C350" t="str">
        <f t="shared" si="5"/>
        <v>Player 349</v>
      </c>
    </row>
    <row r="351" spans="1:3" x14ac:dyDescent="0.25">
      <c r="A351">
        <v>4506</v>
      </c>
      <c r="B351">
        <v>350</v>
      </c>
      <c r="C351" t="str">
        <f t="shared" si="5"/>
        <v>Player 350</v>
      </c>
    </row>
    <row r="352" spans="1:3" x14ac:dyDescent="0.25">
      <c r="A352">
        <v>4507</v>
      </c>
      <c r="B352">
        <v>351</v>
      </c>
      <c r="C352" t="str">
        <f t="shared" si="5"/>
        <v>Player 351</v>
      </c>
    </row>
    <row r="353" spans="1:3" x14ac:dyDescent="0.25">
      <c r="A353">
        <v>4510</v>
      </c>
      <c r="B353">
        <v>352</v>
      </c>
      <c r="C353" t="str">
        <f t="shared" si="5"/>
        <v>Player 352</v>
      </c>
    </row>
    <row r="354" spans="1:3" x14ac:dyDescent="0.25">
      <c r="A354">
        <v>4517</v>
      </c>
      <c r="B354">
        <v>353</v>
      </c>
      <c r="C354" t="str">
        <f t="shared" si="5"/>
        <v>Player 353</v>
      </c>
    </row>
    <row r="355" spans="1:3" x14ac:dyDescent="0.25">
      <c r="A355">
        <v>4530</v>
      </c>
      <c r="B355">
        <v>354</v>
      </c>
      <c r="C355" t="str">
        <f t="shared" si="5"/>
        <v>Player 354</v>
      </c>
    </row>
    <row r="356" spans="1:3" x14ac:dyDescent="0.25">
      <c r="A356">
        <v>4531</v>
      </c>
      <c r="B356">
        <v>355</v>
      </c>
      <c r="C356" t="str">
        <f t="shared" si="5"/>
        <v>Player 355</v>
      </c>
    </row>
    <row r="357" spans="1:3" x14ac:dyDescent="0.25">
      <c r="A357">
        <v>4556</v>
      </c>
      <c r="B357">
        <v>356</v>
      </c>
      <c r="C357" t="str">
        <f t="shared" si="5"/>
        <v>Player 356</v>
      </c>
    </row>
    <row r="358" spans="1:3" x14ac:dyDescent="0.25">
      <c r="A358">
        <v>4561</v>
      </c>
      <c r="B358">
        <v>357</v>
      </c>
      <c r="C358" t="str">
        <f t="shared" si="5"/>
        <v>Player 357</v>
      </c>
    </row>
    <row r="359" spans="1:3" x14ac:dyDescent="0.25">
      <c r="A359">
        <v>4572</v>
      </c>
      <c r="B359">
        <v>358</v>
      </c>
      <c r="C359" t="str">
        <f t="shared" si="5"/>
        <v>Player 358</v>
      </c>
    </row>
    <row r="360" spans="1:3" x14ac:dyDescent="0.25">
      <c r="A360">
        <v>4579</v>
      </c>
      <c r="B360">
        <v>359</v>
      </c>
      <c r="C360" t="str">
        <f t="shared" si="5"/>
        <v>Player 359</v>
      </c>
    </row>
    <row r="361" spans="1:3" x14ac:dyDescent="0.25">
      <c r="A361">
        <v>4581</v>
      </c>
      <c r="B361">
        <v>360</v>
      </c>
      <c r="C361" t="str">
        <f t="shared" si="5"/>
        <v>Player 360</v>
      </c>
    </row>
    <row r="362" spans="1:3" x14ac:dyDescent="0.25">
      <c r="A362">
        <v>4584</v>
      </c>
      <c r="B362">
        <v>361</v>
      </c>
      <c r="C362" t="str">
        <f t="shared" si="5"/>
        <v>Player 361</v>
      </c>
    </row>
    <row r="363" spans="1:3" x14ac:dyDescent="0.25">
      <c r="A363">
        <v>4596</v>
      </c>
      <c r="B363">
        <v>362</v>
      </c>
      <c r="C363" t="str">
        <f t="shared" si="5"/>
        <v>Player 362</v>
      </c>
    </row>
    <row r="364" spans="1:3" x14ac:dyDescent="0.25">
      <c r="A364">
        <v>4600</v>
      </c>
      <c r="B364">
        <v>363</v>
      </c>
      <c r="C364" t="str">
        <f t="shared" si="5"/>
        <v>Player 363</v>
      </c>
    </row>
    <row r="365" spans="1:3" x14ac:dyDescent="0.25">
      <c r="A365">
        <v>4627</v>
      </c>
      <c r="B365">
        <v>364</v>
      </c>
      <c r="C365" t="str">
        <f t="shared" si="5"/>
        <v>Player 364</v>
      </c>
    </row>
    <row r="366" spans="1:3" x14ac:dyDescent="0.25">
      <c r="A366">
        <v>4636</v>
      </c>
      <c r="B366">
        <v>365</v>
      </c>
      <c r="C366" t="str">
        <f t="shared" si="5"/>
        <v>Player 365</v>
      </c>
    </row>
    <row r="367" spans="1:3" x14ac:dyDescent="0.25">
      <c r="A367">
        <v>4644</v>
      </c>
      <c r="B367">
        <v>366</v>
      </c>
      <c r="C367" t="str">
        <f t="shared" si="5"/>
        <v>Player 366</v>
      </c>
    </row>
    <row r="368" spans="1:3" x14ac:dyDescent="0.25">
      <c r="A368">
        <v>4672</v>
      </c>
      <c r="B368">
        <v>367</v>
      </c>
      <c r="C368" t="str">
        <f t="shared" si="5"/>
        <v>Player 367</v>
      </c>
    </row>
    <row r="369" spans="1:3" x14ac:dyDescent="0.25">
      <c r="A369">
        <v>4687</v>
      </c>
      <c r="B369">
        <v>368</v>
      </c>
      <c r="C369" t="str">
        <f t="shared" si="5"/>
        <v>Player 368</v>
      </c>
    </row>
    <row r="370" spans="1:3" x14ac:dyDescent="0.25">
      <c r="A370">
        <v>4696</v>
      </c>
      <c r="B370">
        <v>369</v>
      </c>
      <c r="C370" t="str">
        <f t="shared" si="5"/>
        <v>Player 369</v>
      </c>
    </row>
    <row r="371" spans="1:3" x14ac:dyDescent="0.25">
      <c r="A371">
        <v>4701</v>
      </c>
      <c r="B371">
        <v>370</v>
      </c>
      <c r="C371" t="str">
        <f t="shared" si="5"/>
        <v>Player 370</v>
      </c>
    </row>
    <row r="372" spans="1:3" x14ac:dyDescent="0.25">
      <c r="A372">
        <v>4709</v>
      </c>
      <c r="B372">
        <v>371</v>
      </c>
      <c r="C372" t="str">
        <f t="shared" si="5"/>
        <v>Player 371</v>
      </c>
    </row>
    <row r="373" spans="1:3" x14ac:dyDescent="0.25">
      <c r="A373">
        <v>4719</v>
      </c>
      <c r="B373">
        <v>372</v>
      </c>
      <c r="C373" t="str">
        <f t="shared" si="5"/>
        <v>Player 372</v>
      </c>
    </row>
    <row r="374" spans="1:3" x14ac:dyDescent="0.25">
      <c r="A374">
        <v>4735</v>
      </c>
      <c r="B374">
        <v>373</v>
      </c>
      <c r="C374" t="str">
        <f t="shared" si="5"/>
        <v>Player 373</v>
      </c>
    </row>
    <row r="375" spans="1:3" x14ac:dyDescent="0.25">
      <c r="A375">
        <v>4744</v>
      </c>
      <c r="B375">
        <v>374</v>
      </c>
      <c r="C375" t="str">
        <f t="shared" si="5"/>
        <v>Player 374</v>
      </c>
    </row>
    <row r="376" spans="1:3" x14ac:dyDescent="0.25">
      <c r="A376">
        <v>4748</v>
      </c>
      <c r="B376">
        <v>375</v>
      </c>
      <c r="C376" t="str">
        <f t="shared" si="5"/>
        <v>Player 375</v>
      </c>
    </row>
    <row r="377" spans="1:3" x14ac:dyDescent="0.25">
      <c r="A377">
        <v>4756</v>
      </c>
      <c r="B377">
        <v>376</v>
      </c>
      <c r="C377" t="str">
        <f t="shared" si="5"/>
        <v>Player 376</v>
      </c>
    </row>
    <row r="378" spans="1:3" x14ac:dyDescent="0.25">
      <c r="A378">
        <v>4763</v>
      </c>
      <c r="B378">
        <v>377</v>
      </c>
      <c r="C378" t="str">
        <f t="shared" si="5"/>
        <v>Player 377</v>
      </c>
    </row>
    <row r="379" spans="1:3" x14ac:dyDescent="0.25">
      <c r="A379">
        <v>4766</v>
      </c>
      <c r="B379">
        <v>378</v>
      </c>
      <c r="C379" t="str">
        <f t="shared" si="5"/>
        <v>Player 378</v>
      </c>
    </row>
    <row r="380" spans="1:3" x14ac:dyDescent="0.25">
      <c r="A380">
        <v>4769</v>
      </c>
      <c r="B380">
        <v>379</v>
      </c>
      <c r="C380" t="str">
        <f t="shared" si="5"/>
        <v>Player 379</v>
      </c>
    </row>
    <row r="381" spans="1:3" x14ac:dyDescent="0.25">
      <c r="A381">
        <v>4775</v>
      </c>
      <c r="B381">
        <v>380</v>
      </c>
      <c r="C381" t="str">
        <f t="shared" si="5"/>
        <v>Player 380</v>
      </c>
    </row>
    <row r="382" spans="1:3" x14ac:dyDescent="0.25">
      <c r="A382">
        <v>4797</v>
      </c>
      <c r="B382">
        <v>381</v>
      </c>
      <c r="C382" t="str">
        <f t="shared" si="5"/>
        <v>Player 381</v>
      </c>
    </row>
    <row r="383" spans="1:3" x14ac:dyDescent="0.25">
      <c r="A383">
        <v>4812</v>
      </c>
      <c r="B383">
        <v>382</v>
      </c>
      <c r="C383" t="str">
        <f t="shared" si="5"/>
        <v>Player 382</v>
      </c>
    </row>
    <row r="384" spans="1:3" x14ac:dyDescent="0.25">
      <c r="A384">
        <v>4818</v>
      </c>
      <c r="B384">
        <v>383</v>
      </c>
      <c r="C384" t="str">
        <f t="shared" si="5"/>
        <v>Player 383</v>
      </c>
    </row>
    <row r="385" spans="1:3" x14ac:dyDescent="0.25">
      <c r="A385">
        <v>4840</v>
      </c>
      <c r="B385">
        <v>384</v>
      </c>
      <c r="C385" t="str">
        <f t="shared" si="5"/>
        <v>Player 384</v>
      </c>
    </row>
    <row r="386" spans="1:3" x14ac:dyDescent="0.25">
      <c r="A386">
        <v>4843</v>
      </c>
      <c r="B386">
        <v>385</v>
      </c>
      <c r="C386" t="str">
        <f t="shared" si="5"/>
        <v>Player 385</v>
      </c>
    </row>
    <row r="387" spans="1:3" x14ac:dyDescent="0.25">
      <c r="A387">
        <v>4854</v>
      </c>
      <c r="B387">
        <v>386</v>
      </c>
      <c r="C387" t="str">
        <f t="shared" ref="C387:C450" si="6">"Player "&amp;TEXT(B387,"000")</f>
        <v>Player 386</v>
      </c>
    </row>
    <row r="388" spans="1:3" x14ac:dyDescent="0.25">
      <c r="A388">
        <v>4863</v>
      </c>
      <c r="B388">
        <v>387</v>
      </c>
      <c r="C388" t="str">
        <f t="shared" si="6"/>
        <v>Player 387</v>
      </c>
    </row>
    <row r="389" spans="1:3" x14ac:dyDescent="0.25">
      <c r="A389">
        <v>4876</v>
      </c>
      <c r="B389">
        <v>388</v>
      </c>
      <c r="C389" t="str">
        <f t="shared" si="6"/>
        <v>Player 388</v>
      </c>
    </row>
    <row r="390" spans="1:3" x14ac:dyDescent="0.25">
      <c r="A390">
        <v>4890</v>
      </c>
      <c r="B390">
        <v>389</v>
      </c>
      <c r="C390" t="str">
        <f t="shared" si="6"/>
        <v>Player 389</v>
      </c>
    </row>
    <row r="391" spans="1:3" x14ac:dyDescent="0.25">
      <c r="A391">
        <v>4900</v>
      </c>
      <c r="B391">
        <v>390</v>
      </c>
      <c r="C391" t="str">
        <f t="shared" si="6"/>
        <v>Player 390</v>
      </c>
    </row>
    <row r="392" spans="1:3" x14ac:dyDescent="0.25">
      <c r="A392">
        <v>4913</v>
      </c>
      <c r="B392">
        <v>391</v>
      </c>
      <c r="C392" t="str">
        <f t="shared" si="6"/>
        <v>Player 391</v>
      </c>
    </row>
    <row r="393" spans="1:3" x14ac:dyDescent="0.25">
      <c r="A393">
        <v>4925</v>
      </c>
      <c r="B393">
        <v>392</v>
      </c>
      <c r="C393" t="str">
        <f t="shared" si="6"/>
        <v>Player 392</v>
      </c>
    </row>
    <row r="394" spans="1:3" x14ac:dyDescent="0.25">
      <c r="A394">
        <v>4943</v>
      </c>
      <c r="B394">
        <v>393</v>
      </c>
      <c r="C394" t="str">
        <f t="shared" si="6"/>
        <v>Player 393</v>
      </c>
    </row>
    <row r="395" spans="1:3" x14ac:dyDescent="0.25">
      <c r="A395">
        <v>4974</v>
      </c>
      <c r="B395">
        <v>394</v>
      </c>
      <c r="C395" t="str">
        <f t="shared" si="6"/>
        <v>Player 394</v>
      </c>
    </row>
    <row r="396" spans="1:3" x14ac:dyDescent="0.25">
      <c r="A396">
        <v>4987</v>
      </c>
      <c r="B396">
        <v>395</v>
      </c>
      <c r="C396" t="str">
        <f t="shared" si="6"/>
        <v>Player 395</v>
      </c>
    </row>
    <row r="397" spans="1:3" x14ac:dyDescent="0.25">
      <c r="A397">
        <v>5000</v>
      </c>
      <c r="B397">
        <v>396</v>
      </c>
      <c r="C397" t="str">
        <f t="shared" si="6"/>
        <v>Player 396</v>
      </c>
    </row>
    <row r="398" spans="1:3" x14ac:dyDescent="0.25">
      <c r="A398">
        <v>5014</v>
      </c>
      <c r="B398">
        <v>397</v>
      </c>
      <c r="C398" t="str">
        <f t="shared" si="6"/>
        <v>Player 397</v>
      </c>
    </row>
    <row r="399" spans="1:3" x14ac:dyDescent="0.25">
      <c r="A399">
        <v>5018</v>
      </c>
      <c r="B399">
        <v>398</v>
      </c>
      <c r="C399" t="str">
        <f t="shared" si="6"/>
        <v>Player 398</v>
      </c>
    </row>
    <row r="400" spans="1:3" x14ac:dyDescent="0.25">
      <c r="A400">
        <v>5021</v>
      </c>
      <c r="B400">
        <v>399</v>
      </c>
      <c r="C400" t="str">
        <f t="shared" si="6"/>
        <v>Player 399</v>
      </c>
    </row>
    <row r="401" spans="1:3" x14ac:dyDescent="0.25">
      <c r="A401">
        <v>5033</v>
      </c>
      <c r="B401">
        <v>400</v>
      </c>
      <c r="C401" t="str">
        <f t="shared" si="6"/>
        <v>Player 400</v>
      </c>
    </row>
    <row r="402" spans="1:3" x14ac:dyDescent="0.25">
      <c r="A402">
        <v>5061</v>
      </c>
      <c r="B402">
        <v>401</v>
      </c>
      <c r="C402" t="str">
        <f t="shared" si="6"/>
        <v>Player 401</v>
      </c>
    </row>
    <row r="403" spans="1:3" x14ac:dyDescent="0.25">
      <c r="A403">
        <v>5070</v>
      </c>
      <c r="B403">
        <v>402</v>
      </c>
      <c r="C403" t="str">
        <f t="shared" si="6"/>
        <v>Player 402</v>
      </c>
    </row>
    <row r="404" spans="1:3" x14ac:dyDescent="0.25">
      <c r="A404">
        <v>5079</v>
      </c>
      <c r="B404">
        <v>403</v>
      </c>
      <c r="C404" t="str">
        <f t="shared" si="6"/>
        <v>Player 403</v>
      </c>
    </row>
    <row r="405" spans="1:3" x14ac:dyDescent="0.25">
      <c r="A405">
        <v>5107</v>
      </c>
      <c r="B405">
        <v>404</v>
      </c>
      <c r="C405" t="str">
        <f t="shared" si="6"/>
        <v>Player 404</v>
      </c>
    </row>
    <row r="406" spans="1:3" x14ac:dyDescent="0.25">
      <c r="A406">
        <v>5142</v>
      </c>
      <c r="B406">
        <v>405</v>
      </c>
      <c r="C406" t="str">
        <f t="shared" si="6"/>
        <v>Player 405</v>
      </c>
    </row>
    <row r="407" spans="1:3" x14ac:dyDescent="0.25">
      <c r="A407">
        <v>5143</v>
      </c>
      <c r="B407">
        <v>406</v>
      </c>
      <c r="C407" t="str">
        <f t="shared" si="6"/>
        <v>Player 406</v>
      </c>
    </row>
    <row r="408" spans="1:3" x14ac:dyDescent="0.25">
      <c r="A408">
        <v>5146</v>
      </c>
      <c r="B408">
        <v>407</v>
      </c>
      <c r="C408" t="str">
        <f t="shared" si="6"/>
        <v>Player 407</v>
      </c>
    </row>
    <row r="409" spans="1:3" x14ac:dyDescent="0.25">
      <c r="A409">
        <v>5158</v>
      </c>
      <c r="B409">
        <v>408</v>
      </c>
      <c r="C409" t="str">
        <f t="shared" si="6"/>
        <v>Player 408</v>
      </c>
    </row>
    <row r="410" spans="1:3" x14ac:dyDescent="0.25">
      <c r="A410">
        <v>5164</v>
      </c>
      <c r="B410">
        <v>409</v>
      </c>
      <c r="C410" t="str">
        <f t="shared" si="6"/>
        <v>Player 409</v>
      </c>
    </row>
    <row r="411" spans="1:3" x14ac:dyDescent="0.25">
      <c r="A411">
        <v>5171</v>
      </c>
      <c r="B411">
        <v>410</v>
      </c>
      <c r="C411" t="str">
        <f t="shared" si="6"/>
        <v>Player 410</v>
      </c>
    </row>
    <row r="412" spans="1:3" x14ac:dyDescent="0.25">
      <c r="A412">
        <v>5175</v>
      </c>
      <c r="B412">
        <v>411</v>
      </c>
      <c r="C412" t="str">
        <f t="shared" si="6"/>
        <v>Player 411</v>
      </c>
    </row>
    <row r="413" spans="1:3" x14ac:dyDescent="0.25">
      <c r="A413">
        <v>5178</v>
      </c>
      <c r="B413">
        <v>412</v>
      </c>
      <c r="C413" t="str">
        <f t="shared" si="6"/>
        <v>Player 412</v>
      </c>
    </row>
    <row r="414" spans="1:3" x14ac:dyDescent="0.25">
      <c r="A414">
        <v>5186</v>
      </c>
      <c r="B414">
        <v>413</v>
      </c>
      <c r="C414" t="str">
        <f t="shared" si="6"/>
        <v>Player 413</v>
      </c>
    </row>
    <row r="415" spans="1:3" x14ac:dyDescent="0.25">
      <c r="A415">
        <v>5188</v>
      </c>
      <c r="B415">
        <v>414</v>
      </c>
      <c r="C415" t="str">
        <f t="shared" si="6"/>
        <v>Player 414</v>
      </c>
    </row>
    <row r="416" spans="1:3" x14ac:dyDescent="0.25">
      <c r="A416">
        <v>5199</v>
      </c>
      <c r="B416">
        <v>415</v>
      </c>
      <c r="C416" t="str">
        <f t="shared" si="6"/>
        <v>Player 415</v>
      </c>
    </row>
    <row r="417" spans="1:3" x14ac:dyDescent="0.25">
      <c r="A417">
        <v>5206</v>
      </c>
      <c r="B417">
        <v>416</v>
      </c>
      <c r="C417" t="str">
        <f t="shared" si="6"/>
        <v>Player 416</v>
      </c>
    </row>
    <row r="418" spans="1:3" x14ac:dyDescent="0.25">
      <c r="A418">
        <v>5208</v>
      </c>
      <c r="B418">
        <v>417</v>
      </c>
      <c r="C418" t="str">
        <f t="shared" si="6"/>
        <v>Player 417</v>
      </c>
    </row>
    <row r="419" spans="1:3" x14ac:dyDescent="0.25">
      <c r="A419">
        <v>5212</v>
      </c>
      <c r="B419">
        <v>418</v>
      </c>
      <c r="C419" t="str">
        <f t="shared" si="6"/>
        <v>Player 418</v>
      </c>
    </row>
    <row r="420" spans="1:3" x14ac:dyDescent="0.25">
      <c r="A420">
        <v>5218</v>
      </c>
      <c r="B420">
        <v>419</v>
      </c>
      <c r="C420" t="str">
        <f t="shared" si="6"/>
        <v>Player 419</v>
      </c>
    </row>
    <row r="421" spans="1:3" x14ac:dyDescent="0.25">
      <c r="A421">
        <v>5225</v>
      </c>
      <c r="B421">
        <v>420</v>
      </c>
      <c r="C421" t="str">
        <f t="shared" si="6"/>
        <v>Player 420</v>
      </c>
    </row>
    <row r="422" spans="1:3" x14ac:dyDescent="0.25">
      <c r="A422">
        <v>5227</v>
      </c>
      <c r="B422">
        <v>421</v>
      </c>
      <c r="C422" t="str">
        <f t="shared" si="6"/>
        <v>Player 421</v>
      </c>
    </row>
    <row r="423" spans="1:3" x14ac:dyDescent="0.25">
      <c r="A423">
        <v>5234</v>
      </c>
      <c r="B423">
        <v>422</v>
      </c>
      <c r="C423" t="str">
        <f t="shared" si="6"/>
        <v>Player 422</v>
      </c>
    </row>
    <row r="424" spans="1:3" x14ac:dyDescent="0.25">
      <c r="A424">
        <v>5243</v>
      </c>
      <c r="B424">
        <v>423</v>
      </c>
      <c r="C424" t="str">
        <f t="shared" si="6"/>
        <v>Player 423</v>
      </c>
    </row>
    <row r="425" spans="1:3" x14ac:dyDescent="0.25">
      <c r="A425">
        <v>5249</v>
      </c>
      <c r="B425">
        <v>424</v>
      </c>
      <c r="C425" t="str">
        <f t="shared" si="6"/>
        <v>Player 424</v>
      </c>
    </row>
    <row r="426" spans="1:3" x14ac:dyDescent="0.25">
      <c r="A426">
        <v>5261</v>
      </c>
      <c r="B426">
        <v>425</v>
      </c>
      <c r="C426" t="str">
        <f t="shared" si="6"/>
        <v>Player 425</v>
      </c>
    </row>
    <row r="427" spans="1:3" x14ac:dyDescent="0.25">
      <c r="A427">
        <v>5268</v>
      </c>
      <c r="B427">
        <v>426</v>
      </c>
      <c r="C427" t="str">
        <f t="shared" si="6"/>
        <v>Player 426</v>
      </c>
    </row>
    <row r="428" spans="1:3" x14ac:dyDescent="0.25">
      <c r="A428">
        <v>5282</v>
      </c>
      <c r="B428">
        <v>427</v>
      </c>
      <c r="C428" t="str">
        <f t="shared" si="6"/>
        <v>Player 427</v>
      </c>
    </row>
    <row r="429" spans="1:3" x14ac:dyDescent="0.25">
      <c r="A429">
        <v>5289</v>
      </c>
      <c r="B429">
        <v>428</v>
      </c>
      <c r="C429" t="str">
        <f t="shared" si="6"/>
        <v>Player 428</v>
      </c>
    </row>
    <row r="430" spans="1:3" x14ac:dyDescent="0.25">
      <c r="A430">
        <v>5297</v>
      </c>
      <c r="B430">
        <v>429</v>
      </c>
      <c r="C430" t="str">
        <f t="shared" si="6"/>
        <v>Player 429</v>
      </c>
    </row>
    <row r="431" spans="1:3" x14ac:dyDescent="0.25">
      <c r="A431">
        <v>5300</v>
      </c>
      <c r="B431">
        <v>430</v>
      </c>
      <c r="C431" t="str">
        <f t="shared" si="6"/>
        <v>Player 430</v>
      </c>
    </row>
    <row r="432" spans="1:3" x14ac:dyDescent="0.25">
      <c r="A432">
        <v>5312</v>
      </c>
      <c r="B432">
        <v>431</v>
      </c>
      <c r="C432" t="str">
        <f t="shared" si="6"/>
        <v>Player 431</v>
      </c>
    </row>
    <row r="433" spans="1:3" x14ac:dyDescent="0.25">
      <c r="A433">
        <v>5324</v>
      </c>
      <c r="B433">
        <v>432</v>
      </c>
      <c r="C433" t="str">
        <f t="shared" si="6"/>
        <v>Player 432</v>
      </c>
    </row>
    <row r="434" spans="1:3" x14ac:dyDescent="0.25">
      <c r="A434">
        <v>5330</v>
      </c>
      <c r="B434">
        <v>433</v>
      </c>
      <c r="C434" t="str">
        <f t="shared" si="6"/>
        <v>Player 433</v>
      </c>
    </row>
    <row r="435" spans="1:3" x14ac:dyDescent="0.25">
      <c r="A435">
        <v>5360</v>
      </c>
      <c r="B435">
        <v>434</v>
      </c>
      <c r="C435" t="str">
        <f t="shared" si="6"/>
        <v>Player 434</v>
      </c>
    </row>
    <row r="436" spans="1:3" x14ac:dyDescent="0.25">
      <c r="A436">
        <v>5363</v>
      </c>
      <c r="B436">
        <v>435</v>
      </c>
      <c r="C436" t="str">
        <f t="shared" si="6"/>
        <v>Player 435</v>
      </c>
    </row>
    <row r="437" spans="1:3" x14ac:dyDescent="0.25">
      <c r="A437">
        <v>5380</v>
      </c>
      <c r="B437">
        <v>436</v>
      </c>
      <c r="C437" t="str">
        <f t="shared" si="6"/>
        <v>Player 436</v>
      </c>
    </row>
    <row r="438" spans="1:3" x14ac:dyDescent="0.25">
      <c r="A438">
        <v>5389</v>
      </c>
      <c r="B438">
        <v>437</v>
      </c>
      <c r="C438" t="str">
        <f t="shared" si="6"/>
        <v>Player 437</v>
      </c>
    </row>
    <row r="439" spans="1:3" x14ac:dyDescent="0.25">
      <c r="A439">
        <v>5413</v>
      </c>
      <c r="B439">
        <v>438</v>
      </c>
      <c r="C439" t="str">
        <f t="shared" si="6"/>
        <v>Player 438</v>
      </c>
    </row>
    <row r="440" spans="1:3" x14ac:dyDescent="0.25">
      <c r="A440">
        <v>5422</v>
      </c>
      <c r="B440">
        <v>439</v>
      </c>
      <c r="C440" t="str">
        <f t="shared" si="6"/>
        <v>Player 439</v>
      </c>
    </row>
    <row r="441" spans="1:3" x14ac:dyDescent="0.25">
      <c r="A441">
        <v>5426</v>
      </c>
      <c r="B441">
        <v>440</v>
      </c>
      <c r="C441" t="str">
        <f t="shared" si="6"/>
        <v>Player 440</v>
      </c>
    </row>
    <row r="442" spans="1:3" x14ac:dyDescent="0.25">
      <c r="A442">
        <v>5432</v>
      </c>
      <c r="B442">
        <v>441</v>
      </c>
      <c r="C442" t="str">
        <f t="shared" si="6"/>
        <v>Player 441</v>
      </c>
    </row>
    <row r="443" spans="1:3" x14ac:dyDescent="0.25">
      <c r="A443">
        <v>5433</v>
      </c>
      <c r="B443">
        <v>442</v>
      </c>
      <c r="C443" t="str">
        <f t="shared" si="6"/>
        <v>Player 442</v>
      </c>
    </row>
    <row r="444" spans="1:3" x14ac:dyDescent="0.25">
      <c r="A444">
        <v>5451</v>
      </c>
      <c r="B444">
        <v>443</v>
      </c>
      <c r="C444" t="str">
        <f t="shared" si="6"/>
        <v>Player 443</v>
      </c>
    </row>
    <row r="445" spans="1:3" x14ac:dyDescent="0.25">
      <c r="A445">
        <v>5452</v>
      </c>
      <c r="B445">
        <v>444</v>
      </c>
      <c r="C445" t="str">
        <f t="shared" si="6"/>
        <v>Player 444</v>
      </c>
    </row>
    <row r="446" spans="1:3" x14ac:dyDescent="0.25">
      <c r="A446">
        <v>5465</v>
      </c>
      <c r="B446">
        <v>445</v>
      </c>
      <c r="C446" t="str">
        <f t="shared" si="6"/>
        <v>Player 445</v>
      </c>
    </row>
    <row r="447" spans="1:3" x14ac:dyDescent="0.25">
      <c r="A447">
        <v>5468</v>
      </c>
      <c r="B447">
        <v>446</v>
      </c>
      <c r="C447" t="str">
        <f t="shared" si="6"/>
        <v>Player 446</v>
      </c>
    </row>
    <row r="448" spans="1:3" x14ac:dyDescent="0.25">
      <c r="A448">
        <v>5488</v>
      </c>
      <c r="B448">
        <v>447</v>
      </c>
      <c r="C448" t="str">
        <f t="shared" si="6"/>
        <v>Player 447</v>
      </c>
    </row>
    <row r="449" spans="1:3" x14ac:dyDescent="0.25">
      <c r="A449">
        <v>5491</v>
      </c>
      <c r="B449">
        <v>448</v>
      </c>
      <c r="C449" t="str">
        <f t="shared" si="6"/>
        <v>Player 448</v>
      </c>
    </row>
    <row r="450" spans="1:3" x14ac:dyDescent="0.25">
      <c r="A450">
        <v>5492</v>
      </c>
      <c r="B450">
        <v>449</v>
      </c>
      <c r="C450" t="str">
        <f t="shared" si="6"/>
        <v>Player 449</v>
      </c>
    </row>
    <row r="451" spans="1:3" x14ac:dyDescent="0.25">
      <c r="A451">
        <v>5493</v>
      </c>
      <c r="B451">
        <v>450</v>
      </c>
      <c r="C451" t="str">
        <f t="shared" ref="C451:C514" si="7">"Player "&amp;TEXT(B451,"000")</f>
        <v>Player 450</v>
      </c>
    </row>
    <row r="452" spans="1:3" x14ac:dyDescent="0.25">
      <c r="A452">
        <v>5495</v>
      </c>
      <c r="B452">
        <v>451</v>
      </c>
      <c r="C452" t="str">
        <f t="shared" si="7"/>
        <v>Player 451</v>
      </c>
    </row>
    <row r="453" spans="1:3" x14ac:dyDescent="0.25">
      <c r="A453">
        <v>5496</v>
      </c>
      <c r="B453">
        <v>452</v>
      </c>
      <c r="C453" t="str">
        <f t="shared" si="7"/>
        <v>Player 452</v>
      </c>
    </row>
    <row r="454" spans="1:3" x14ac:dyDescent="0.25">
      <c r="A454">
        <v>5499</v>
      </c>
      <c r="B454">
        <v>453</v>
      </c>
      <c r="C454" t="str">
        <f t="shared" si="7"/>
        <v>Player 453</v>
      </c>
    </row>
    <row r="455" spans="1:3" x14ac:dyDescent="0.25">
      <c r="A455">
        <v>5524</v>
      </c>
      <c r="B455">
        <v>454</v>
      </c>
      <c r="C455" t="str">
        <f t="shared" si="7"/>
        <v>Player 454</v>
      </c>
    </row>
    <row r="456" spans="1:3" x14ac:dyDescent="0.25">
      <c r="A456">
        <v>5530</v>
      </c>
      <c r="B456">
        <v>455</v>
      </c>
      <c r="C456" t="str">
        <f t="shared" si="7"/>
        <v>Player 455</v>
      </c>
    </row>
    <row r="457" spans="1:3" x14ac:dyDescent="0.25">
      <c r="A457">
        <v>5544</v>
      </c>
      <c r="B457">
        <v>456</v>
      </c>
      <c r="C457" t="str">
        <f t="shared" si="7"/>
        <v>Player 456</v>
      </c>
    </row>
    <row r="458" spans="1:3" x14ac:dyDescent="0.25">
      <c r="A458">
        <v>5548</v>
      </c>
      <c r="B458">
        <v>457</v>
      </c>
      <c r="C458" t="str">
        <f t="shared" si="7"/>
        <v>Player 457</v>
      </c>
    </row>
    <row r="459" spans="1:3" x14ac:dyDescent="0.25">
      <c r="A459">
        <v>5555</v>
      </c>
      <c r="B459">
        <v>458</v>
      </c>
      <c r="C459" t="str">
        <f t="shared" si="7"/>
        <v>Player 458</v>
      </c>
    </row>
    <row r="460" spans="1:3" x14ac:dyDescent="0.25">
      <c r="A460">
        <v>5611</v>
      </c>
      <c r="B460">
        <v>459</v>
      </c>
      <c r="C460" t="str">
        <f t="shared" si="7"/>
        <v>Player 459</v>
      </c>
    </row>
    <row r="461" spans="1:3" x14ac:dyDescent="0.25">
      <c r="A461">
        <v>5612</v>
      </c>
      <c r="B461">
        <v>460</v>
      </c>
      <c r="C461" t="str">
        <f t="shared" si="7"/>
        <v>Player 460</v>
      </c>
    </row>
    <row r="462" spans="1:3" x14ac:dyDescent="0.25">
      <c r="A462">
        <v>5621</v>
      </c>
      <c r="B462">
        <v>461</v>
      </c>
      <c r="C462" t="str">
        <f t="shared" si="7"/>
        <v>Player 461</v>
      </c>
    </row>
    <row r="463" spans="1:3" x14ac:dyDescent="0.25">
      <c r="A463">
        <v>5632</v>
      </c>
      <c r="B463">
        <v>462</v>
      </c>
      <c r="C463" t="str">
        <f t="shared" si="7"/>
        <v>Player 462</v>
      </c>
    </row>
    <row r="464" spans="1:3" x14ac:dyDescent="0.25">
      <c r="A464">
        <v>5636</v>
      </c>
      <c r="B464">
        <v>463</v>
      </c>
      <c r="C464" t="str">
        <f t="shared" si="7"/>
        <v>Player 463</v>
      </c>
    </row>
    <row r="465" spans="1:3" x14ac:dyDescent="0.25">
      <c r="A465">
        <v>5637</v>
      </c>
      <c r="B465">
        <v>464</v>
      </c>
      <c r="C465" t="str">
        <f t="shared" si="7"/>
        <v>Player 464</v>
      </c>
    </row>
    <row r="466" spans="1:3" x14ac:dyDescent="0.25">
      <c r="A466">
        <v>5642</v>
      </c>
      <c r="B466">
        <v>465</v>
      </c>
      <c r="C466" t="str">
        <f t="shared" si="7"/>
        <v>Player 465</v>
      </c>
    </row>
    <row r="467" spans="1:3" x14ac:dyDescent="0.25">
      <c r="A467">
        <v>5658</v>
      </c>
      <c r="B467">
        <v>466</v>
      </c>
      <c r="C467" t="str">
        <f t="shared" si="7"/>
        <v>Player 466</v>
      </c>
    </row>
    <row r="468" spans="1:3" x14ac:dyDescent="0.25">
      <c r="A468">
        <v>5662</v>
      </c>
      <c r="B468">
        <v>467</v>
      </c>
      <c r="C468" t="str">
        <f t="shared" si="7"/>
        <v>Player 467</v>
      </c>
    </row>
    <row r="469" spans="1:3" x14ac:dyDescent="0.25">
      <c r="A469">
        <v>5670</v>
      </c>
      <c r="B469">
        <v>468</v>
      </c>
      <c r="C469" t="str">
        <f t="shared" si="7"/>
        <v>Player 468</v>
      </c>
    </row>
    <row r="470" spans="1:3" x14ac:dyDescent="0.25">
      <c r="A470">
        <v>5673</v>
      </c>
      <c r="B470">
        <v>469</v>
      </c>
      <c r="C470" t="str">
        <f t="shared" si="7"/>
        <v>Player 469</v>
      </c>
    </row>
    <row r="471" spans="1:3" x14ac:dyDescent="0.25">
      <c r="A471">
        <v>5719</v>
      </c>
      <c r="B471">
        <v>470</v>
      </c>
      <c r="C471" t="str">
        <f t="shared" si="7"/>
        <v>Player 470</v>
      </c>
    </row>
    <row r="472" spans="1:3" x14ac:dyDescent="0.25">
      <c r="A472">
        <v>5729</v>
      </c>
      <c r="B472">
        <v>471</v>
      </c>
      <c r="C472" t="str">
        <f t="shared" si="7"/>
        <v>Player 471</v>
      </c>
    </row>
    <row r="473" spans="1:3" x14ac:dyDescent="0.25">
      <c r="A473">
        <v>5735</v>
      </c>
      <c r="B473">
        <v>472</v>
      </c>
      <c r="C473" t="str">
        <f t="shared" si="7"/>
        <v>Player 472</v>
      </c>
    </row>
    <row r="474" spans="1:3" x14ac:dyDescent="0.25">
      <c r="A474">
        <v>5736</v>
      </c>
      <c r="B474">
        <v>473</v>
      </c>
      <c r="C474" t="str">
        <f t="shared" si="7"/>
        <v>Player 473</v>
      </c>
    </row>
    <row r="475" spans="1:3" x14ac:dyDescent="0.25">
      <c r="A475">
        <v>5737</v>
      </c>
      <c r="B475">
        <v>474</v>
      </c>
      <c r="C475" t="str">
        <f t="shared" si="7"/>
        <v>Player 474</v>
      </c>
    </row>
    <row r="476" spans="1:3" x14ac:dyDescent="0.25">
      <c r="A476">
        <v>5748</v>
      </c>
      <c r="B476">
        <v>475</v>
      </c>
      <c r="C476" t="str">
        <f t="shared" si="7"/>
        <v>Player 475</v>
      </c>
    </row>
    <row r="477" spans="1:3" x14ac:dyDescent="0.25">
      <c r="A477">
        <v>5752</v>
      </c>
      <c r="B477">
        <v>476</v>
      </c>
      <c r="C477" t="str">
        <f t="shared" si="7"/>
        <v>Player 476</v>
      </c>
    </row>
    <row r="478" spans="1:3" x14ac:dyDescent="0.25">
      <c r="A478">
        <v>5757</v>
      </c>
      <c r="B478">
        <v>477</v>
      </c>
      <c r="C478" t="str">
        <f t="shared" si="7"/>
        <v>Player 477</v>
      </c>
    </row>
    <row r="479" spans="1:3" x14ac:dyDescent="0.25">
      <c r="A479">
        <v>5777</v>
      </c>
      <c r="B479">
        <v>478</v>
      </c>
      <c r="C479" t="str">
        <f t="shared" si="7"/>
        <v>Player 478</v>
      </c>
    </row>
    <row r="480" spans="1:3" x14ac:dyDescent="0.25">
      <c r="A480">
        <v>5780</v>
      </c>
      <c r="B480">
        <v>479</v>
      </c>
      <c r="C480" t="str">
        <f t="shared" si="7"/>
        <v>Player 479</v>
      </c>
    </row>
    <row r="481" spans="1:3" x14ac:dyDescent="0.25">
      <c r="A481">
        <v>5784</v>
      </c>
      <c r="B481">
        <v>480</v>
      </c>
      <c r="C481" t="str">
        <f t="shared" si="7"/>
        <v>Player 480</v>
      </c>
    </row>
    <row r="482" spans="1:3" x14ac:dyDescent="0.25">
      <c r="A482">
        <v>5804</v>
      </c>
      <c r="B482">
        <v>481</v>
      </c>
      <c r="C482" t="str">
        <f t="shared" si="7"/>
        <v>Player 481</v>
      </c>
    </row>
    <row r="483" spans="1:3" x14ac:dyDescent="0.25">
      <c r="A483">
        <v>5809</v>
      </c>
      <c r="B483">
        <v>482</v>
      </c>
      <c r="C483" t="str">
        <f t="shared" si="7"/>
        <v>Player 482</v>
      </c>
    </row>
    <row r="484" spans="1:3" x14ac:dyDescent="0.25">
      <c r="A484">
        <v>5820</v>
      </c>
      <c r="B484">
        <v>483</v>
      </c>
      <c r="C484" t="str">
        <f t="shared" si="7"/>
        <v>Player 483</v>
      </c>
    </row>
    <row r="485" spans="1:3" x14ac:dyDescent="0.25">
      <c r="A485">
        <v>5835</v>
      </c>
      <c r="B485">
        <v>484</v>
      </c>
      <c r="C485" t="str">
        <f t="shared" si="7"/>
        <v>Player 484</v>
      </c>
    </row>
    <row r="486" spans="1:3" x14ac:dyDescent="0.25">
      <c r="A486">
        <v>5846</v>
      </c>
      <c r="B486">
        <v>485</v>
      </c>
      <c r="C486" t="str">
        <f t="shared" si="7"/>
        <v>Player 485</v>
      </c>
    </row>
    <row r="487" spans="1:3" x14ac:dyDescent="0.25">
      <c r="A487">
        <v>5849</v>
      </c>
      <c r="B487">
        <v>486</v>
      </c>
      <c r="C487" t="str">
        <f t="shared" si="7"/>
        <v>Player 486</v>
      </c>
    </row>
    <row r="488" spans="1:3" x14ac:dyDescent="0.25">
      <c r="A488">
        <v>5854</v>
      </c>
      <c r="B488">
        <v>487</v>
      </c>
      <c r="C488" t="str">
        <f t="shared" si="7"/>
        <v>Player 487</v>
      </c>
    </row>
    <row r="489" spans="1:3" x14ac:dyDescent="0.25">
      <c r="A489">
        <v>5858</v>
      </c>
      <c r="B489">
        <v>488</v>
      </c>
      <c r="C489" t="str">
        <f t="shared" si="7"/>
        <v>Player 488</v>
      </c>
    </row>
    <row r="490" spans="1:3" x14ac:dyDescent="0.25">
      <c r="A490">
        <v>5859</v>
      </c>
      <c r="B490">
        <v>489</v>
      </c>
      <c r="C490" t="str">
        <f t="shared" si="7"/>
        <v>Player 489</v>
      </c>
    </row>
    <row r="491" spans="1:3" x14ac:dyDescent="0.25">
      <c r="A491">
        <v>5869</v>
      </c>
      <c r="B491">
        <v>490</v>
      </c>
      <c r="C491" t="str">
        <f t="shared" si="7"/>
        <v>Player 490</v>
      </c>
    </row>
    <row r="492" spans="1:3" x14ac:dyDescent="0.25">
      <c r="A492">
        <v>5887</v>
      </c>
      <c r="B492">
        <v>491</v>
      </c>
      <c r="C492" t="str">
        <f t="shared" si="7"/>
        <v>Player 491</v>
      </c>
    </row>
    <row r="493" spans="1:3" x14ac:dyDescent="0.25">
      <c r="A493">
        <v>5892</v>
      </c>
      <c r="B493">
        <v>492</v>
      </c>
      <c r="C493" t="str">
        <f t="shared" si="7"/>
        <v>Player 492</v>
      </c>
    </row>
    <row r="494" spans="1:3" x14ac:dyDescent="0.25">
      <c r="A494">
        <v>5893</v>
      </c>
      <c r="B494">
        <v>493</v>
      </c>
      <c r="C494" t="str">
        <f t="shared" si="7"/>
        <v>Player 493</v>
      </c>
    </row>
    <row r="495" spans="1:3" x14ac:dyDescent="0.25">
      <c r="A495">
        <v>5910</v>
      </c>
      <c r="B495">
        <v>494</v>
      </c>
      <c r="C495" t="str">
        <f t="shared" si="7"/>
        <v>Player 494</v>
      </c>
    </row>
    <row r="496" spans="1:3" x14ac:dyDescent="0.25">
      <c r="A496">
        <v>5911</v>
      </c>
      <c r="B496">
        <v>495</v>
      </c>
      <c r="C496" t="str">
        <f t="shared" si="7"/>
        <v>Player 495</v>
      </c>
    </row>
    <row r="497" spans="1:3" x14ac:dyDescent="0.25">
      <c r="A497">
        <v>5926</v>
      </c>
      <c r="B497">
        <v>496</v>
      </c>
      <c r="C497" t="str">
        <f t="shared" si="7"/>
        <v>Player 496</v>
      </c>
    </row>
    <row r="498" spans="1:3" x14ac:dyDescent="0.25">
      <c r="A498">
        <v>5931</v>
      </c>
      <c r="B498">
        <v>497</v>
      </c>
      <c r="C498" t="str">
        <f t="shared" si="7"/>
        <v>Player 497</v>
      </c>
    </row>
    <row r="499" spans="1:3" x14ac:dyDescent="0.25">
      <c r="A499">
        <v>5944</v>
      </c>
      <c r="B499">
        <v>498</v>
      </c>
      <c r="C499" t="str">
        <f t="shared" si="7"/>
        <v>Player 498</v>
      </c>
    </row>
    <row r="500" spans="1:3" x14ac:dyDescent="0.25">
      <c r="A500">
        <v>5946</v>
      </c>
      <c r="B500">
        <v>499</v>
      </c>
      <c r="C500" t="str">
        <f t="shared" si="7"/>
        <v>Player 499</v>
      </c>
    </row>
    <row r="501" spans="1:3" x14ac:dyDescent="0.25">
      <c r="A501">
        <v>5964</v>
      </c>
      <c r="B501">
        <v>500</v>
      </c>
      <c r="C501" t="str">
        <f t="shared" si="7"/>
        <v>Player 500</v>
      </c>
    </row>
    <row r="502" spans="1:3" x14ac:dyDescent="0.25">
      <c r="A502">
        <v>5968</v>
      </c>
      <c r="B502">
        <v>501</v>
      </c>
      <c r="C502" t="str">
        <f t="shared" si="7"/>
        <v>Player 501</v>
      </c>
    </row>
    <row r="503" spans="1:3" x14ac:dyDescent="0.25">
      <c r="A503">
        <v>5971</v>
      </c>
      <c r="B503">
        <v>502</v>
      </c>
      <c r="C503" t="str">
        <f t="shared" si="7"/>
        <v>Player 502</v>
      </c>
    </row>
    <row r="504" spans="1:3" x14ac:dyDescent="0.25">
      <c r="A504">
        <v>5973</v>
      </c>
      <c r="B504">
        <v>503</v>
      </c>
      <c r="C504" t="str">
        <f t="shared" si="7"/>
        <v>Player 503</v>
      </c>
    </row>
    <row r="505" spans="1:3" x14ac:dyDescent="0.25">
      <c r="A505">
        <v>5976</v>
      </c>
      <c r="B505">
        <v>504</v>
      </c>
      <c r="C505" t="str">
        <f t="shared" si="7"/>
        <v>Player 504</v>
      </c>
    </row>
    <row r="506" spans="1:3" x14ac:dyDescent="0.25">
      <c r="A506">
        <v>5980</v>
      </c>
      <c r="B506">
        <v>505</v>
      </c>
      <c r="C506" t="str">
        <f t="shared" si="7"/>
        <v>Player 505</v>
      </c>
    </row>
    <row r="507" spans="1:3" x14ac:dyDescent="0.25">
      <c r="A507">
        <v>6029</v>
      </c>
      <c r="B507">
        <v>506</v>
      </c>
      <c r="C507" t="str">
        <f t="shared" si="7"/>
        <v>Player 506</v>
      </c>
    </row>
    <row r="508" spans="1:3" x14ac:dyDescent="0.25">
      <c r="A508">
        <v>6031</v>
      </c>
      <c r="B508">
        <v>507</v>
      </c>
      <c r="C508" t="str">
        <f t="shared" si="7"/>
        <v>Player 507</v>
      </c>
    </row>
    <row r="509" spans="1:3" x14ac:dyDescent="0.25">
      <c r="A509">
        <v>6051</v>
      </c>
      <c r="B509">
        <v>508</v>
      </c>
      <c r="C509" t="str">
        <f t="shared" si="7"/>
        <v>Player 508</v>
      </c>
    </row>
    <row r="510" spans="1:3" x14ac:dyDescent="0.25">
      <c r="A510">
        <v>6052</v>
      </c>
      <c r="B510">
        <v>509</v>
      </c>
      <c r="C510" t="str">
        <f t="shared" si="7"/>
        <v>Player 509</v>
      </c>
    </row>
    <row r="511" spans="1:3" x14ac:dyDescent="0.25">
      <c r="A511">
        <v>6056</v>
      </c>
      <c r="B511">
        <v>510</v>
      </c>
      <c r="C511" t="str">
        <f t="shared" si="7"/>
        <v>Player 510</v>
      </c>
    </row>
    <row r="512" spans="1:3" x14ac:dyDescent="0.25">
      <c r="A512">
        <v>6063</v>
      </c>
      <c r="B512">
        <v>511</v>
      </c>
      <c r="C512" t="str">
        <f t="shared" si="7"/>
        <v>Player 511</v>
      </c>
    </row>
    <row r="513" spans="1:3" x14ac:dyDescent="0.25">
      <c r="A513">
        <v>6073</v>
      </c>
      <c r="B513">
        <v>512</v>
      </c>
      <c r="C513" t="str">
        <f t="shared" si="7"/>
        <v>Player 512</v>
      </c>
    </row>
    <row r="514" spans="1:3" x14ac:dyDescent="0.25">
      <c r="A514">
        <v>6083</v>
      </c>
      <c r="B514">
        <v>513</v>
      </c>
      <c r="C514" t="str">
        <f t="shared" si="7"/>
        <v>Player 513</v>
      </c>
    </row>
    <row r="515" spans="1:3" x14ac:dyDescent="0.25">
      <c r="A515">
        <v>6088</v>
      </c>
      <c r="B515">
        <v>514</v>
      </c>
      <c r="C515" t="str">
        <f t="shared" ref="C515:C578" si="8">"Player "&amp;TEXT(B515,"000")</f>
        <v>Player 514</v>
      </c>
    </row>
    <row r="516" spans="1:3" x14ac:dyDescent="0.25">
      <c r="A516">
        <v>6104</v>
      </c>
      <c r="B516">
        <v>515</v>
      </c>
      <c r="C516" t="str">
        <f t="shared" si="8"/>
        <v>Player 515</v>
      </c>
    </row>
    <row r="517" spans="1:3" x14ac:dyDescent="0.25">
      <c r="A517">
        <v>6109</v>
      </c>
      <c r="B517">
        <v>516</v>
      </c>
      <c r="C517" t="str">
        <f t="shared" si="8"/>
        <v>Player 516</v>
      </c>
    </row>
    <row r="518" spans="1:3" x14ac:dyDescent="0.25">
      <c r="A518">
        <v>6115</v>
      </c>
      <c r="B518">
        <v>517</v>
      </c>
      <c r="C518" t="str">
        <f t="shared" si="8"/>
        <v>Player 517</v>
      </c>
    </row>
    <row r="519" spans="1:3" x14ac:dyDescent="0.25">
      <c r="A519">
        <v>6116</v>
      </c>
      <c r="B519">
        <v>518</v>
      </c>
      <c r="C519" t="str">
        <f t="shared" si="8"/>
        <v>Player 518</v>
      </c>
    </row>
    <row r="520" spans="1:3" x14ac:dyDescent="0.25">
      <c r="A520">
        <v>6122</v>
      </c>
      <c r="B520">
        <v>519</v>
      </c>
      <c r="C520" t="str">
        <f t="shared" si="8"/>
        <v>Player 519</v>
      </c>
    </row>
    <row r="521" spans="1:3" x14ac:dyDescent="0.25">
      <c r="A521">
        <v>6124</v>
      </c>
      <c r="B521">
        <v>520</v>
      </c>
      <c r="C521" t="str">
        <f t="shared" si="8"/>
        <v>Player 520</v>
      </c>
    </row>
    <row r="522" spans="1:3" x14ac:dyDescent="0.25">
      <c r="A522">
        <v>6126</v>
      </c>
      <c r="B522">
        <v>521</v>
      </c>
      <c r="C522" t="str">
        <f t="shared" si="8"/>
        <v>Player 521</v>
      </c>
    </row>
    <row r="523" spans="1:3" x14ac:dyDescent="0.25">
      <c r="A523">
        <v>6134</v>
      </c>
      <c r="B523">
        <v>522</v>
      </c>
      <c r="C523" t="str">
        <f t="shared" si="8"/>
        <v>Player 522</v>
      </c>
    </row>
    <row r="524" spans="1:3" x14ac:dyDescent="0.25">
      <c r="A524">
        <v>6142</v>
      </c>
      <c r="B524">
        <v>523</v>
      </c>
      <c r="C524" t="str">
        <f t="shared" si="8"/>
        <v>Player 523</v>
      </c>
    </row>
    <row r="525" spans="1:3" x14ac:dyDescent="0.25">
      <c r="A525">
        <v>6161</v>
      </c>
      <c r="B525">
        <v>524</v>
      </c>
      <c r="C525" t="str">
        <f t="shared" si="8"/>
        <v>Player 524</v>
      </c>
    </row>
    <row r="526" spans="1:3" x14ac:dyDescent="0.25">
      <c r="A526">
        <v>6172</v>
      </c>
      <c r="B526">
        <v>525</v>
      </c>
      <c r="C526" t="str">
        <f t="shared" si="8"/>
        <v>Player 525</v>
      </c>
    </row>
    <row r="527" spans="1:3" x14ac:dyDescent="0.25">
      <c r="A527">
        <v>6177</v>
      </c>
      <c r="B527">
        <v>526</v>
      </c>
      <c r="C527" t="str">
        <f t="shared" si="8"/>
        <v>Player 526</v>
      </c>
    </row>
    <row r="528" spans="1:3" x14ac:dyDescent="0.25">
      <c r="A528">
        <v>6182</v>
      </c>
      <c r="B528">
        <v>527</v>
      </c>
      <c r="C528" t="str">
        <f t="shared" si="8"/>
        <v>Player 527</v>
      </c>
    </row>
    <row r="529" spans="1:3" x14ac:dyDescent="0.25">
      <c r="A529">
        <v>6188</v>
      </c>
      <c r="B529">
        <v>528</v>
      </c>
      <c r="C529" t="str">
        <f t="shared" si="8"/>
        <v>Player 528</v>
      </c>
    </row>
    <row r="530" spans="1:3" x14ac:dyDescent="0.25">
      <c r="A530">
        <v>6191</v>
      </c>
      <c r="B530">
        <v>529</v>
      </c>
      <c r="C530" t="str">
        <f t="shared" si="8"/>
        <v>Player 529</v>
      </c>
    </row>
    <row r="531" spans="1:3" x14ac:dyDescent="0.25">
      <c r="A531">
        <v>6222</v>
      </c>
      <c r="B531">
        <v>530</v>
      </c>
      <c r="C531" t="str">
        <f t="shared" si="8"/>
        <v>Player 530</v>
      </c>
    </row>
    <row r="532" spans="1:3" x14ac:dyDescent="0.25">
      <c r="A532">
        <v>6232</v>
      </c>
      <c r="B532">
        <v>531</v>
      </c>
      <c r="C532" t="str">
        <f t="shared" si="8"/>
        <v>Player 531</v>
      </c>
    </row>
    <row r="533" spans="1:3" x14ac:dyDescent="0.25">
      <c r="A533">
        <v>6237</v>
      </c>
      <c r="B533">
        <v>532</v>
      </c>
      <c r="C533" t="str">
        <f t="shared" si="8"/>
        <v>Player 532</v>
      </c>
    </row>
    <row r="534" spans="1:3" x14ac:dyDescent="0.25">
      <c r="A534">
        <v>6240</v>
      </c>
      <c r="B534">
        <v>533</v>
      </c>
      <c r="C534" t="str">
        <f t="shared" si="8"/>
        <v>Player 533</v>
      </c>
    </row>
    <row r="535" spans="1:3" x14ac:dyDescent="0.25">
      <c r="A535">
        <v>6249</v>
      </c>
      <c r="B535">
        <v>534</v>
      </c>
      <c r="C535" t="str">
        <f t="shared" si="8"/>
        <v>Player 534</v>
      </c>
    </row>
    <row r="536" spans="1:3" x14ac:dyDescent="0.25">
      <c r="A536">
        <v>6256</v>
      </c>
      <c r="B536">
        <v>535</v>
      </c>
      <c r="C536" t="str">
        <f t="shared" si="8"/>
        <v>Player 535</v>
      </c>
    </row>
    <row r="537" spans="1:3" x14ac:dyDescent="0.25">
      <c r="A537">
        <v>6258</v>
      </c>
      <c r="B537">
        <v>536</v>
      </c>
      <c r="C537" t="str">
        <f t="shared" si="8"/>
        <v>Player 536</v>
      </c>
    </row>
    <row r="538" spans="1:3" x14ac:dyDescent="0.25">
      <c r="A538">
        <v>6276</v>
      </c>
      <c r="B538">
        <v>537</v>
      </c>
      <c r="C538" t="str">
        <f t="shared" si="8"/>
        <v>Player 537</v>
      </c>
    </row>
    <row r="539" spans="1:3" x14ac:dyDescent="0.25">
      <c r="A539">
        <v>6287</v>
      </c>
      <c r="B539">
        <v>538</v>
      </c>
      <c r="C539" t="str">
        <f t="shared" si="8"/>
        <v>Player 538</v>
      </c>
    </row>
    <row r="540" spans="1:3" x14ac:dyDescent="0.25">
      <c r="A540">
        <v>6293</v>
      </c>
      <c r="B540">
        <v>539</v>
      </c>
      <c r="C540" t="str">
        <f t="shared" si="8"/>
        <v>Player 539</v>
      </c>
    </row>
    <row r="541" spans="1:3" x14ac:dyDescent="0.25">
      <c r="A541">
        <v>6299</v>
      </c>
      <c r="B541">
        <v>540</v>
      </c>
      <c r="C541" t="str">
        <f t="shared" si="8"/>
        <v>Player 540</v>
      </c>
    </row>
    <row r="542" spans="1:3" x14ac:dyDescent="0.25">
      <c r="A542">
        <v>6301</v>
      </c>
      <c r="B542">
        <v>541</v>
      </c>
      <c r="C542" t="str">
        <f t="shared" si="8"/>
        <v>Player 541</v>
      </c>
    </row>
    <row r="543" spans="1:3" x14ac:dyDescent="0.25">
      <c r="A543">
        <v>6305</v>
      </c>
      <c r="B543">
        <v>542</v>
      </c>
      <c r="C543" t="str">
        <f t="shared" si="8"/>
        <v>Player 542</v>
      </c>
    </row>
    <row r="544" spans="1:3" x14ac:dyDescent="0.25">
      <c r="A544">
        <v>6311</v>
      </c>
      <c r="B544">
        <v>543</v>
      </c>
      <c r="C544" t="str">
        <f t="shared" si="8"/>
        <v>Player 543</v>
      </c>
    </row>
    <row r="545" spans="1:3" x14ac:dyDescent="0.25">
      <c r="A545">
        <v>6315</v>
      </c>
      <c r="B545">
        <v>544</v>
      </c>
      <c r="C545" t="str">
        <f t="shared" si="8"/>
        <v>Player 544</v>
      </c>
    </row>
    <row r="546" spans="1:3" x14ac:dyDescent="0.25">
      <c r="A546">
        <v>6320</v>
      </c>
      <c r="B546">
        <v>545</v>
      </c>
      <c r="C546" t="str">
        <f t="shared" si="8"/>
        <v>Player 545</v>
      </c>
    </row>
    <row r="547" spans="1:3" x14ac:dyDescent="0.25">
      <c r="A547">
        <v>6334</v>
      </c>
      <c r="B547">
        <v>546</v>
      </c>
      <c r="C547" t="str">
        <f t="shared" si="8"/>
        <v>Player 546</v>
      </c>
    </row>
    <row r="548" spans="1:3" x14ac:dyDescent="0.25">
      <c r="A548">
        <v>6342</v>
      </c>
      <c r="B548">
        <v>547</v>
      </c>
      <c r="C548" t="str">
        <f t="shared" si="8"/>
        <v>Player 547</v>
      </c>
    </row>
    <row r="549" spans="1:3" x14ac:dyDescent="0.25">
      <c r="A549">
        <v>6348</v>
      </c>
      <c r="B549">
        <v>548</v>
      </c>
      <c r="C549" t="str">
        <f t="shared" si="8"/>
        <v>Player 548</v>
      </c>
    </row>
    <row r="550" spans="1:3" x14ac:dyDescent="0.25">
      <c r="A550">
        <v>6373</v>
      </c>
      <c r="B550">
        <v>549</v>
      </c>
      <c r="C550" t="str">
        <f t="shared" si="8"/>
        <v>Player 549</v>
      </c>
    </row>
    <row r="551" spans="1:3" x14ac:dyDescent="0.25">
      <c r="A551">
        <v>6387</v>
      </c>
      <c r="B551">
        <v>550</v>
      </c>
      <c r="C551" t="str">
        <f t="shared" si="8"/>
        <v>Player 550</v>
      </c>
    </row>
    <row r="552" spans="1:3" x14ac:dyDescent="0.25">
      <c r="A552">
        <v>6390</v>
      </c>
      <c r="B552">
        <v>551</v>
      </c>
      <c r="C552" t="str">
        <f t="shared" si="8"/>
        <v>Player 551</v>
      </c>
    </row>
    <row r="553" spans="1:3" x14ac:dyDescent="0.25">
      <c r="A553">
        <v>6393</v>
      </c>
      <c r="B553">
        <v>552</v>
      </c>
      <c r="C553" t="str">
        <f t="shared" si="8"/>
        <v>Player 552</v>
      </c>
    </row>
    <row r="554" spans="1:3" x14ac:dyDescent="0.25">
      <c r="A554">
        <v>6401</v>
      </c>
      <c r="B554">
        <v>553</v>
      </c>
      <c r="C554" t="str">
        <f t="shared" si="8"/>
        <v>Player 553</v>
      </c>
    </row>
    <row r="555" spans="1:3" x14ac:dyDescent="0.25">
      <c r="A555">
        <v>6408</v>
      </c>
      <c r="B555">
        <v>554</v>
      </c>
      <c r="C555" t="str">
        <f t="shared" si="8"/>
        <v>Player 554</v>
      </c>
    </row>
    <row r="556" spans="1:3" x14ac:dyDescent="0.25">
      <c r="A556">
        <v>6415</v>
      </c>
      <c r="B556">
        <v>555</v>
      </c>
      <c r="C556" t="str">
        <f t="shared" si="8"/>
        <v>Player 555</v>
      </c>
    </row>
    <row r="557" spans="1:3" x14ac:dyDescent="0.25">
      <c r="A557">
        <v>6423</v>
      </c>
      <c r="B557">
        <v>556</v>
      </c>
      <c r="C557" t="str">
        <f t="shared" si="8"/>
        <v>Player 556</v>
      </c>
    </row>
    <row r="558" spans="1:3" x14ac:dyDescent="0.25">
      <c r="A558">
        <v>6442</v>
      </c>
      <c r="B558">
        <v>557</v>
      </c>
      <c r="C558" t="str">
        <f t="shared" si="8"/>
        <v>Player 557</v>
      </c>
    </row>
    <row r="559" spans="1:3" x14ac:dyDescent="0.25">
      <c r="A559">
        <v>6449</v>
      </c>
      <c r="B559">
        <v>558</v>
      </c>
      <c r="C559" t="str">
        <f t="shared" si="8"/>
        <v>Player 558</v>
      </c>
    </row>
    <row r="560" spans="1:3" x14ac:dyDescent="0.25">
      <c r="A560">
        <v>6450</v>
      </c>
      <c r="B560">
        <v>559</v>
      </c>
      <c r="C560" t="str">
        <f t="shared" si="8"/>
        <v>Player 559</v>
      </c>
    </row>
    <row r="561" spans="1:3" x14ac:dyDescent="0.25">
      <c r="A561">
        <v>6463</v>
      </c>
      <c r="B561">
        <v>560</v>
      </c>
      <c r="C561" t="str">
        <f t="shared" si="8"/>
        <v>Player 560</v>
      </c>
    </row>
    <row r="562" spans="1:3" x14ac:dyDescent="0.25">
      <c r="A562">
        <v>6468</v>
      </c>
      <c r="B562">
        <v>561</v>
      </c>
      <c r="C562" t="str">
        <f t="shared" si="8"/>
        <v>Player 561</v>
      </c>
    </row>
    <row r="563" spans="1:3" x14ac:dyDescent="0.25">
      <c r="A563">
        <v>6486</v>
      </c>
      <c r="B563">
        <v>562</v>
      </c>
      <c r="C563" t="str">
        <f t="shared" si="8"/>
        <v>Player 562</v>
      </c>
    </row>
    <row r="564" spans="1:3" x14ac:dyDescent="0.25">
      <c r="A564">
        <v>6490</v>
      </c>
      <c r="B564">
        <v>563</v>
      </c>
      <c r="C564" t="str">
        <f t="shared" si="8"/>
        <v>Player 563</v>
      </c>
    </row>
    <row r="565" spans="1:3" x14ac:dyDescent="0.25">
      <c r="A565">
        <v>6530</v>
      </c>
      <c r="B565">
        <v>564</v>
      </c>
      <c r="C565" t="str">
        <f t="shared" si="8"/>
        <v>Player 564</v>
      </c>
    </row>
    <row r="566" spans="1:3" x14ac:dyDescent="0.25">
      <c r="A566">
        <v>6534</v>
      </c>
      <c r="B566">
        <v>565</v>
      </c>
      <c r="C566" t="str">
        <f t="shared" si="8"/>
        <v>Player 565</v>
      </c>
    </row>
    <row r="567" spans="1:3" x14ac:dyDescent="0.25">
      <c r="A567">
        <v>6535</v>
      </c>
      <c r="B567">
        <v>566</v>
      </c>
      <c r="C567" t="str">
        <f t="shared" si="8"/>
        <v>Player 566</v>
      </c>
    </row>
    <row r="568" spans="1:3" x14ac:dyDescent="0.25">
      <c r="A568">
        <v>6536</v>
      </c>
      <c r="B568">
        <v>567</v>
      </c>
      <c r="C568" t="str">
        <f t="shared" si="8"/>
        <v>Player 567</v>
      </c>
    </row>
    <row r="569" spans="1:3" x14ac:dyDescent="0.25">
      <c r="A569">
        <v>6539</v>
      </c>
      <c r="B569">
        <v>568</v>
      </c>
      <c r="C569" t="str">
        <f t="shared" si="8"/>
        <v>Player 568</v>
      </c>
    </row>
    <row r="570" spans="1:3" x14ac:dyDescent="0.25">
      <c r="A570">
        <v>6541</v>
      </c>
      <c r="B570">
        <v>569</v>
      </c>
      <c r="C570" t="str">
        <f t="shared" si="8"/>
        <v>Player 569</v>
      </c>
    </row>
    <row r="571" spans="1:3" x14ac:dyDescent="0.25">
      <c r="A571">
        <v>6560</v>
      </c>
      <c r="B571">
        <v>570</v>
      </c>
      <c r="C571" t="str">
        <f t="shared" si="8"/>
        <v>Player 570</v>
      </c>
    </row>
    <row r="572" spans="1:3" x14ac:dyDescent="0.25">
      <c r="A572">
        <v>6565</v>
      </c>
      <c r="B572">
        <v>571</v>
      </c>
      <c r="C572" t="str">
        <f t="shared" si="8"/>
        <v>Player 571</v>
      </c>
    </row>
    <row r="573" spans="1:3" x14ac:dyDescent="0.25">
      <c r="A573">
        <v>6567</v>
      </c>
      <c r="B573">
        <v>572</v>
      </c>
      <c r="C573" t="str">
        <f t="shared" si="8"/>
        <v>Player 572</v>
      </c>
    </row>
    <row r="574" spans="1:3" x14ac:dyDescent="0.25">
      <c r="A574">
        <v>6569</v>
      </c>
      <c r="B574">
        <v>573</v>
      </c>
      <c r="C574" t="str">
        <f t="shared" si="8"/>
        <v>Player 573</v>
      </c>
    </row>
    <row r="575" spans="1:3" x14ac:dyDescent="0.25">
      <c r="A575">
        <v>6575</v>
      </c>
      <c r="B575">
        <v>574</v>
      </c>
      <c r="C575" t="str">
        <f t="shared" si="8"/>
        <v>Player 574</v>
      </c>
    </row>
    <row r="576" spans="1:3" x14ac:dyDescent="0.25">
      <c r="A576">
        <v>6578</v>
      </c>
      <c r="B576">
        <v>575</v>
      </c>
      <c r="C576" t="str">
        <f t="shared" si="8"/>
        <v>Player 575</v>
      </c>
    </row>
    <row r="577" spans="1:3" x14ac:dyDescent="0.25">
      <c r="A577">
        <v>6585</v>
      </c>
      <c r="B577">
        <v>576</v>
      </c>
      <c r="C577" t="str">
        <f t="shared" si="8"/>
        <v>Player 576</v>
      </c>
    </row>
    <row r="578" spans="1:3" x14ac:dyDescent="0.25">
      <c r="A578">
        <v>6588</v>
      </c>
      <c r="B578">
        <v>577</v>
      </c>
      <c r="C578" t="str">
        <f t="shared" si="8"/>
        <v>Player 577</v>
      </c>
    </row>
    <row r="579" spans="1:3" x14ac:dyDescent="0.25">
      <c r="A579">
        <v>6592</v>
      </c>
      <c r="B579">
        <v>578</v>
      </c>
      <c r="C579" t="str">
        <f t="shared" ref="C579:C642" si="9">"Player "&amp;TEXT(B579,"000")</f>
        <v>Player 578</v>
      </c>
    </row>
    <row r="580" spans="1:3" x14ac:dyDescent="0.25">
      <c r="A580">
        <v>6596</v>
      </c>
      <c r="B580">
        <v>579</v>
      </c>
      <c r="C580" t="str">
        <f t="shared" si="9"/>
        <v>Player 579</v>
      </c>
    </row>
    <row r="581" spans="1:3" x14ac:dyDescent="0.25">
      <c r="A581">
        <v>6600</v>
      </c>
      <c r="B581">
        <v>580</v>
      </c>
      <c r="C581" t="str">
        <f t="shared" si="9"/>
        <v>Player 580</v>
      </c>
    </row>
    <row r="582" spans="1:3" x14ac:dyDescent="0.25">
      <c r="A582">
        <v>6618</v>
      </c>
      <c r="B582">
        <v>581</v>
      </c>
      <c r="C582" t="str">
        <f t="shared" si="9"/>
        <v>Player 581</v>
      </c>
    </row>
    <row r="583" spans="1:3" x14ac:dyDescent="0.25">
      <c r="A583">
        <v>6622</v>
      </c>
      <c r="B583">
        <v>582</v>
      </c>
      <c r="C583" t="str">
        <f t="shared" si="9"/>
        <v>Player 582</v>
      </c>
    </row>
    <row r="584" spans="1:3" x14ac:dyDescent="0.25">
      <c r="A584">
        <v>6625</v>
      </c>
      <c r="B584">
        <v>583</v>
      </c>
      <c r="C584" t="str">
        <f t="shared" si="9"/>
        <v>Player 583</v>
      </c>
    </row>
    <row r="585" spans="1:3" x14ac:dyDescent="0.25">
      <c r="A585">
        <v>6644</v>
      </c>
      <c r="B585">
        <v>584</v>
      </c>
      <c r="C585" t="str">
        <f t="shared" si="9"/>
        <v>Player 584</v>
      </c>
    </row>
    <row r="586" spans="1:3" x14ac:dyDescent="0.25">
      <c r="A586">
        <v>6645</v>
      </c>
      <c r="B586">
        <v>585</v>
      </c>
      <c r="C586" t="str">
        <f t="shared" si="9"/>
        <v>Player 585</v>
      </c>
    </row>
    <row r="587" spans="1:3" x14ac:dyDescent="0.25">
      <c r="A587">
        <v>6675</v>
      </c>
      <c r="B587">
        <v>586</v>
      </c>
      <c r="C587" t="str">
        <f t="shared" si="9"/>
        <v>Player 586</v>
      </c>
    </row>
    <row r="588" spans="1:3" x14ac:dyDescent="0.25">
      <c r="A588">
        <v>6691</v>
      </c>
      <c r="B588">
        <v>587</v>
      </c>
      <c r="C588" t="str">
        <f t="shared" si="9"/>
        <v>Player 587</v>
      </c>
    </row>
    <row r="589" spans="1:3" x14ac:dyDescent="0.25">
      <c r="A589">
        <v>6699</v>
      </c>
      <c r="B589">
        <v>588</v>
      </c>
      <c r="C589" t="str">
        <f t="shared" si="9"/>
        <v>Player 588</v>
      </c>
    </row>
    <row r="590" spans="1:3" x14ac:dyDescent="0.25">
      <c r="A590">
        <v>6713</v>
      </c>
      <c r="B590">
        <v>589</v>
      </c>
      <c r="C590" t="str">
        <f t="shared" si="9"/>
        <v>Player 589</v>
      </c>
    </row>
    <row r="591" spans="1:3" x14ac:dyDescent="0.25">
      <c r="A591">
        <v>6726</v>
      </c>
      <c r="B591">
        <v>590</v>
      </c>
      <c r="C591" t="str">
        <f t="shared" si="9"/>
        <v>Player 590</v>
      </c>
    </row>
    <row r="592" spans="1:3" x14ac:dyDescent="0.25">
      <c r="A592">
        <v>6732</v>
      </c>
      <c r="B592">
        <v>591</v>
      </c>
      <c r="C592" t="str">
        <f t="shared" si="9"/>
        <v>Player 591</v>
      </c>
    </row>
    <row r="593" spans="1:3" x14ac:dyDescent="0.25">
      <c r="A593">
        <v>6734</v>
      </c>
      <c r="B593">
        <v>592</v>
      </c>
      <c r="C593" t="str">
        <f t="shared" si="9"/>
        <v>Player 592</v>
      </c>
    </row>
    <row r="594" spans="1:3" x14ac:dyDescent="0.25">
      <c r="A594">
        <v>6742</v>
      </c>
      <c r="B594">
        <v>593</v>
      </c>
      <c r="C594" t="str">
        <f t="shared" si="9"/>
        <v>Player 593</v>
      </c>
    </row>
    <row r="595" spans="1:3" x14ac:dyDescent="0.25">
      <c r="A595">
        <v>6745</v>
      </c>
      <c r="B595">
        <v>594</v>
      </c>
      <c r="C595" t="str">
        <f t="shared" si="9"/>
        <v>Player 594</v>
      </c>
    </row>
    <row r="596" spans="1:3" x14ac:dyDescent="0.25">
      <c r="A596">
        <v>6750</v>
      </c>
      <c r="B596">
        <v>595</v>
      </c>
      <c r="C596" t="str">
        <f t="shared" si="9"/>
        <v>Player 595</v>
      </c>
    </row>
    <row r="597" spans="1:3" x14ac:dyDescent="0.25">
      <c r="A597">
        <v>6759</v>
      </c>
      <c r="B597">
        <v>596</v>
      </c>
      <c r="C597" t="str">
        <f t="shared" si="9"/>
        <v>Player 596</v>
      </c>
    </row>
    <row r="598" spans="1:3" x14ac:dyDescent="0.25">
      <c r="A598">
        <v>6765</v>
      </c>
      <c r="B598">
        <v>597</v>
      </c>
      <c r="C598" t="str">
        <f t="shared" si="9"/>
        <v>Player 597</v>
      </c>
    </row>
    <row r="599" spans="1:3" x14ac:dyDescent="0.25">
      <c r="A599">
        <v>6779</v>
      </c>
      <c r="B599">
        <v>598</v>
      </c>
      <c r="C599" t="str">
        <f t="shared" si="9"/>
        <v>Player 598</v>
      </c>
    </row>
    <row r="600" spans="1:3" x14ac:dyDescent="0.25">
      <c r="A600">
        <v>6788</v>
      </c>
      <c r="B600">
        <v>599</v>
      </c>
      <c r="C600" t="str">
        <f t="shared" si="9"/>
        <v>Player 599</v>
      </c>
    </row>
    <row r="601" spans="1:3" x14ac:dyDescent="0.25">
      <c r="A601">
        <v>6791</v>
      </c>
      <c r="B601">
        <v>600</v>
      </c>
      <c r="C601" t="str">
        <f t="shared" si="9"/>
        <v>Player 600</v>
      </c>
    </row>
    <row r="602" spans="1:3" x14ac:dyDescent="0.25">
      <c r="A602">
        <v>6797</v>
      </c>
      <c r="B602">
        <v>601</v>
      </c>
      <c r="C602" t="str">
        <f t="shared" si="9"/>
        <v>Player 601</v>
      </c>
    </row>
    <row r="603" spans="1:3" x14ac:dyDescent="0.25">
      <c r="A603">
        <v>6801</v>
      </c>
      <c r="B603">
        <v>602</v>
      </c>
      <c r="C603" t="str">
        <f t="shared" si="9"/>
        <v>Player 602</v>
      </c>
    </row>
    <row r="604" spans="1:3" x14ac:dyDescent="0.25">
      <c r="A604">
        <v>6811</v>
      </c>
      <c r="B604">
        <v>603</v>
      </c>
      <c r="C604" t="str">
        <f t="shared" si="9"/>
        <v>Player 603</v>
      </c>
    </row>
    <row r="605" spans="1:3" x14ac:dyDescent="0.25">
      <c r="A605">
        <v>6854</v>
      </c>
      <c r="B605">
        <v>604</v>
      </c>
      <c r="C605" t="str">
        <f t="shared" si="9"/>
        <v>Player 604</v>
      </c>
    </row>
    <row r="606" spans="1:3" x14ac:dyDescent="0.25">
      <c r="A606">
        <v>6855</v>
      </c>
      <c r="B606">
        <v>605</v>
      </c>
      <c r="C606" t="str">
        <f t="shared" si="9"/>
        <v>Player 605</v>
      </c>
    </row>
    <row r="607" spans="1:3" x14ac:dyDescent="0.25">
      <c r="A607">
        <v>6864</v>
      </c>
      <c r="B607">
        <v>606</v>
      </c>
      <c r="C607" t="str">
        <f t="shared" si="9"/>
        <v>Player 606</v>
      </c>
    </row>
    <row r="608" spans="1:3" x14ac:dyDescent="0.25">
      <c r="A608">
        <v>6870</v>
      </c>
      <c r="B608">
        <v>607</v>
      </c>
      <c r="C608" t="str">
        <f t="shared" si="9"/>
        <v>Player 607</v>
      </c>
    </row>
    <row r="609" spans="1:3" x14ac:dyDescent="0.25">
      <c r="A609">
        <v>6878</v>
      </c>
      <c r="B609">
        <v>608</v>
      </c>
      <c r="C609" t="str">
        <f t="shared" si="9"/>
        <v>Player 608</v>
      </c>
    </row>
    <row r="610" spans="1:3" x14ac:dyDescent="0.25">
      <c r="A610">
        <v>6881</v>
      </c>
      <c r="B610">
        <v>609</v>
      </c>
      <c r="C610" t="str">
        <f t="shared" si="9"/>
        <v>Player 609</v>
      </c>
    </row>
    <row r="611" spans="1:3" x14ac:dyDescent="0.25">
      <c r="A611">
        <v>6892</v>
      </c>
      <c r="B611">
        <v>610</v>
      </c>
      <c r="C611" t="str">
        <f t="shared" si="9"/>
        <v>Player 610</v>
      </c>
    </row>
    <row r="612" spans="1:3" x14ac:dyDescent="0.25">
      <c r="A612">
        <v>6895</v>
      </c>
      <c r="B612">
        <v>611</v>
      </c>
      <c r="C612" t="str">
        <f t="shared" si="9"/>
        <v>Player 611</v>
      </c>
    </row>
    <row r="613" spans="1:3" x14ac:dyDescent="0.25">
      <c r="A613">
        <v>6915</v>
      </c>
      <c r="B613">
        <v>612</v>
      </c>
      <c r="C613" t="str">
        <f t="shared" si="9"/>
        <v>Player 612</v>
      </c>
    </row>
    <row r="614" spans="1:3" x14ac:dyDescent="0.25">
      <c r="A614">
        <v>6917</v>
      </c>
      <c r="B614">
        <v>613</v>
      </c>
      <c r="C614" t="str">
        <f t="shared" si="9"/>
        <v>Player 613</v>
      </c>
    </row>
    <row r="615" spans="1:3" x14ac:dyDescent="0.25">
      <c r="A615">
        <v>6919</v>
      </c>
      <c r="B615">
        <v>614</v>
      </c>
      <c r="C615" t="str">
        <f t="shared" si="9"/>
        <v>Player 614</v>
      </c>
    </row>
    <row r="616" spans="1:3" x14ac:dyDescent="0.25">
      <c r="A616">
        <v>6949</v>
      </c>
      <c r="B616">
        <v>615</v>
      </c>
      <c r="C616" t="str">
        <f t="shared" si="9"/>
        <v>Player 615</v>
      </c>
    </row>
    <row r="617" spans="1:3" x14ac:dyDescent="0.25">
      <c r="A617">
        <v>6951</v>
      </c>
      <c r="B617">
        <v>616</v>
      </c>
      <c r="C617" t="str">
        <f t="shared" si="9"/>
        <v>Player 616</v>
      </c>
    </row>
    <row r="618" spans="1:3" x14ac:dyDescent="0.25">
      <c r="A618">
        <v>6959</v>
      </c>
      <c r="B618">
        <v>617</v>
      </c>
      <c r="C618" t="str">
        <f t="shared" si="9"/>
        <v>Player 617</v>
      </c>
    </row>
    <row r="619" spans="1:3" x14ac:dyDescent="0.25">
      <c r="A619">
        <v>6966</v>
      </c>
      <c r="B619">
        <v>618</v>
      </c>
      <c r="C619" t="str">
        <f t="shared" si="9"/>
        <v>Player 618</v>
      </c>
    </row>
    <row r="620" spans="1:3" x14ac:dyDescent="0.25">
      <c r="A620">
        <v>6971</v>
      </c>
      <c r="B620">
        <v>619</v>
      </c>
      <c r="C620" t="str">
        <f t="shared" si="9"/>
        <v>Player 619</v>
      </c>
    </row>
    <row r="621" spans="1:3" x14ac:dyDescent="0.25">
      <c r="A621">
        <v>6975</v>
      </c>
      <c r="B621">
        <v>620</v>
      </c>
      <c r="C621" t="str">
        <f t="shared" si="9"/>
        <v>Player 620</v>
      </c>
    </row>
    <row r="622" spans="1:3" x14ac:dyDescent="0.25">
      <c r="A622">
        <v>6977</v>
      </c>
      <c r="B622">
        <v>621</v>
      </c>
      <c r="C622" t="str">
        <f t="shared" si="9"/>
        <v>Player 621</v>
      </c>
    </row>
    <row r="623" spans="1:3" x14ac:dyDescent="0.25">
      <c r="A623">
        <v>6984</v>
      </c>
      <c r="B623">
        <v>622</v>
      </c>
      <c r="C623" t="str">
        <f t="shared" si="9"/>
        <v>Player 622</v>
      </c>
    </row>
    <row r="624" spans="1:3" x14ac:dyDescent="0.25">
      <c r="A624">
        <v>6986</v>
      </c>
      <c r="B624">
        <v>623</v>
      </c>
      <c r="C624" t="str">
        <f t="shared" si="9"/>
        <v>Player 623</v>
      </c>
    </row>
    <row r="625" spans="1:3" x14ac:dyDescent="0.25">
      <c r="A625">
        <v>6988</v>
      </c>
      <c r="B625">
        <v>624</v>
      </c>
      <c r="C625" t="str">
        <f t="shared" si="9"/>
        <v>Player 624</v>
      </c>
    </row>
    <row r="626" spans="1:3" x14ac:dyDescent="0.25">
      <c r="A626">
        <v>6989</v>
      </c>
      <c r="B626">
        <v>625</v>
      </c>
      <c r="C626" t="str">
        <f t="shared" si="9"/>
        <v>Player 625</v>
      </c>
    </row>
    <row r="627" spans="1:3" x14ac:dyDescent="0.25">
      <c r="A627">
        <v>6997</v>
      </c>
      <c r="B627">
        <v>626</v>
      </c>
      <c r="C627" t="str">
        <f t="shared" si="9"/>
        <v>Player 626</v>
      </c>
    </row>
    <row r="628" spans="1:3" x14ac:dyDescent="0.25">
      <c r="A628">
        <v>7002</v>
      </c>
      <c r="B628">
        <v>627</v>
      </c>
      <c r="C628" t="str">
        <f t="shared" si="9"/>
        <v>Player 627</v>
      </c>
    </row>
    <row r="629" spans="1:3" x14ac:dyDescent="0.25">
      <c r="A629">
        <v>7015</v>
      </c>
      <c r="B629">
        <v>628</v>
      </c>
      <c r="C629" t="str">
        <f t="shared" si="9"/>
        <v>Player 628</v>
      </c>
    </row>
    <row r="630" spans="1:3" x14ac:dyDescent="0.25">
      <c r="A630">
        <v>7016</v>
      </c>
      <c r="B630">
        <v>629</v>
      </c>
      <c r="C630" t="str">
        <f t="shared" si="9"/>
        <v>Player 629</v>
      </c>
    </row>
    <row r="631" spans="1:3" x14ac:dyDescent="0.25">
      <c r="A631">
        <v>7019</v>
      </c>
      <c r="B631">
        <v>630</v>
      </c>
      <c r="C631" t="str">
        <f t="shared" si="9"/>
        <v>Player 630</v>
      </c>
    </row>
    <row r="632" spans="1:3" x14ac:dyDescent="0.25">
      <c r="A632">
        <v>7024</v>
      </c>
      <c r="B632">
        <v>631</v>
      </c>
      <c r="C632" t="str">
        <f t="shared" si="9"/>
        <v>Player 631</v>
      </c>
    </row>
    <row r="633" spans="1:3" x14ac:dyDescent="0.25">
      <c r="A633">
        <v>7028</v>
      </c>
      <c r="B633">
        <v>632</v>
      </c>
      <c r="C633" t="str">
        <f t="shared" si="9"/>
        <v>Player 632</v>
      </c>
    </row>
    <row r="634" spans="1:3" x14ac:dyDescent="0.25">
      <c r="A634">
        <v>7031</v>
      </c>
      <c r="B634">
        <v>633</v>
      </c>
      <c r="C634" t="str">
        <f t="shared" si="9"/>
        <v>Player 633</v>
      </c>
    </row>
    <row r="635" spans="1:3" x14ac:dyDescent="0.25">
      <c r="A635">
        <v>7038</v>
      </c>
      <c r="B635">
        <v>634</v>
      </c>
      <c r="C635" t="str">
        <f t="shared" si="9"/>
        <v>Player 634</v>
      </c>
    </row>
    <row r="636" spans="1:3" x14ac:dyDescent="0.25">
      <c r="A636">
        <v>7042</v>
      </c>
      <c r="B636">
        <v>635</v>
      </c>
      <c r="C636" t="str">
        <f t="shared" si="9"/>
        <v>Player 635</v>
      </c>
    </row>
    <row r="637" spans="1:3" x14ac:dyDescent="0.25">
      <c r="A637">
        <v>7090</v>
      </c>
      <c r="B637">
        <v>636</v>
      </c>
      <c r="C637" t="str">
        <f t="shared" si="9"/>
        <v>Player 636</v>
      </c>
    </row>
    <row r="638" spans="1:3" x14ac:dyDescent="0.25">
      <c r="A638">
        <v>7102</v>
      </c>
      <c r="B638">
        <v>637</v>
      </c>
      <c r="C638" t="str">
        <f t="shared" si="9"/>
        <v>Player 637</v>
      </c>
    </row>
    <row r="639" spans="1:3" x14ac:dyDescent="0.25">
      <c r="A639">
        <v>7132</v>
      </c>
      <c r="B639">
        <v>638</v>
      </c>
      <c r="C639" t="str">
        <f t="shared" si="9"/>
        <v>Player 638</v>
      </c>
    </row>
    <row r="640" spans="1:3" x14ac:dyDescent="0.25">
      <c r="A640">
        <v>7166</v>
      </c>
      <c r="B640">
        <v>639</v>
      </c>
      <c r="C640" t="str">
        <f t="shared" si="9"/>
        <v>Player 639</v>
      </c>
    </row>
    <row r="641" spans="1:3" x14ac:dyDescent="0.25">
      <c r="A641">
        <v>7168</v>
      </c>
      <c r="B641">
        <v>640</v>
      </c>
      <c r="C641" t="str">
        <f t="shared" si="9"/>
        <v>Player 640</v>
      </c>
    </row>
    <row r="642" spans="1:3" x14ac:dyDescent="0.25">
      <c r="A642">
        <v>7172</v>
      </c>
      <c r="B642">
        <v>641</v>
      </c>
      <c r="C642" t="str">
        <f t="shared" si="9"/>
        <v>Player 641</v>
      </c>
    </row>
    <row r="643" spans="1:3" x14ac:dyDescent="0.25">
      <c r="A643">
        <v>7184</v>
      </c>
      <c r="B643">
        <v>642</v>
      </c>
      <c r="C643" t="str">
        <f t="shared" ref="C643:C706" si="10">"Player "&amp;TEXT(B643,"000")</f>
        <v>Player 642</v>
      </c>
    </row>
    <row r="644" spans="1:3" x14ac:dyDescent="0.25">
      <c r="A644">
        <v>7190</v>
      </c>
      <c r="B644">
        <v>643</v>
      </c>
      <c r="C644" t="str">
        <f t="shared" si="10"/>
        <v>Player 643</v>
      </c>
    </row>
    <row r="645" spans="1:3" x14ac:dyDescent="0.25">
      <c r="A645">
        <v>7197</v>
      </c>
      <c r="B645">
        <v>644</v>
      </c>
      <c r="C645" t="str">
        <f t="shared" si="10"/>
        <v>Player 644</v>
      </c>
    </row>
    <row r="646" spans="1:3" x14ac:dyDescent="0.25">
      <c r="A646">
        <v>7229</v>
      </c>
      <c r="B646">
        <v>645</v>
      </c>
      <c r="C646" t="str">
        <f t="shared" si="10"/>
        <v>Player 645</v>
      </c>
    </row>
    <row r="647" spans="1:3" x14ac:dyDescent="0.25">
      <c r="A647">
        <v>7233</v>
      </c>
      <c r="B647">
        <v>646</v>
      </c>
      <c r="C647" t="str">
        <f t="shared" si="10"/>
        <v>Player 646</v>
      </c>
    </row>
    <row r="648" spans="1:3" x14ac:dyDescent="0.25">
      <c r="A648">
        <v>7235</v>
      </c>
      <c r="B648">
        <v>647</v>
      </c>
      <c r="C648" t="str">
        <f t="shared" si="10"/>
        <v>Player 647</v>
      </c>
    </row>
    <row r="649" spans="1:3" x14ac:dyDescent="0.25">
      <c r="A649">
        <v>7238</v>
      </c>
      <c r="B649">
        <v>648</v>
      </c>
      <c r="C649" t="str">
        <f t="shared" si="10"/>
        <v>Player 648</v>
      </c>
    </row>
    <row r="650" spans="1:3" x14ac:dyDescent="0.25">
      <c r="A650">
        <v>7241</v>
      </c>
      <c r="B650">
        <v>649</v>
      </c>
      <c r="C650" t="str">
        <f t="shared" si="10"/>
        <v>Player 649</v>
      </c>
    </row>
    <row r="651" spans="1:3" x14ac:dyDescent="0.25">
      <c r="A651">
        <v>7254</v>
      </c>
      <c r="B651">
        <v>650</v>
      </c>
      <c r="C651" t="str">
        <f t="shared" si="10"/>
        <v>Player 650</v>
      </c>
    </row>
    <row r="652" spans="1:3" x14ac:dyDescent="0.25">
      <c r="A652">
        <v>7265</v>
      </c>
      <c r="B652">
        <v>651</v>
      </c>
      <c r="C652" t="str">
        <f t="shared" si="10"/>
        <v>Player 651</v>
      </c>
    </row>
    <row r="653" spans="1:3" x14ac:dyDescent="0.25">
      <c r="A653">
        <v>7269</v>
      </c>
      <c r="B653">
        <v>652</v>
      </c>
      <c r="C653" t="str">
        <f t="shared" si="10"/>
        <v>Player 652</v>
      </c>
    </row>
    <row r="654" spans="1:3" x14ac:dyDescent="0.25">
      <c r="A654">
        <v>7278</v>
      </c>
      <c r="B654">
        <v>653</v>
      </c>
      <c r="C654" t="str">
        <f t="shared" si="10"/>
        <v>Player 653</v>
      </c>
    </row>
    <row r="655" spans="1:3" x14ac:dyDescent="0.25">
      <c r="A655">
        <v>7283</v>
      </c>
      <c r="B655">
        <v>654</v>
      </c>
      <c r="C655" t="str">
        <f t="shared" si="10"/>
        <v>Player 654</v>
      </c>
    </row>
    <row r="656" spans="1:3" x14ac:dyDescent="0.25">
      <c r="A656">
        <v>7287</v>
      </c>
      <c r="B656">
        <v>655</v>
      </c>
      <c r="C656" t="str">
        <f t="shared" si="10"/>
        <v>Player 655</v>
      </c>
    </row>
    <row r="657" spans="1:3" x14ac:dyDescent="0.25">
      <c r="A657">
        <v>7288</v>
      </c>
      <c r="B657">
        <v>656</v>
      </c>
      <c r="C657" t="str">
        <f t="shared" si="10"/>
        <v>Player 656</v>
      </c>
    </row>
    <row r="658" spans="1:3" x14ac:dyDescent="0.25">
      <c r="A658">
        <v>7293</v>
      </c>
      <c r="B658">
        <v>657</v>
      </c>
      <c r="C658" t="str">
        <f t="shared" si="10"/>
        <v>Player 657</v>
      </c>
    </row>
    <row r="659" spans="1:3" x14ac:dyDescent="0.25">
      <c r="A659">
        <v>7295</v>
      </c>
      <c r="B659">
        <v>658</v>
      </c>
      <c r="C659" t="str">
        <f t="shared" si="10"/>
        <v>Player 658</v>
      </c>
    </row>
    <row r="660" spans="1:3" x14ac:dyDescent="0.25">
      <c r="A660">
        <v>7303</v>
      </c>
      <c r="B660">
        <v>659</v>
      </c>
      <c r="C660" t="str">
        <f t="shared" si="10"/>
        <v>Player 659</v>
      </c>
    </row>
    <row r="661" spans="1:3" x14ac:dyDescent="0.25">
      <c r="A661">
        <v>7313</v>
      </c>
      <c r="B661">
        <v>660</v>
      </c>
      <c r="C661" t="str">
        <f t="shared" si="10"/>
        <v>Player 660</v>
      </c>
    </row>
    <row r="662" spans="1:3" x14ac:dyDescent="0.25">
      <c r="A662">
        <v>7316</v>
      </c>
      <c r="B662">
        <v>661</v>
      </c>
      <c r="C662" t="str">
        <f t="shared" si="10"/>
        <v>Player 661</v>
      </c>
    </row>
    <row r="663" spans="1:3" x14ac:dyDescent="0.25">
      <c r="A663">
        <v>7320</v>
      </c>
      <c r="B663">
        <v>662</v>
      </c>
      <c r="C663" t="str">
        <f t="shared" si="10"/>
        <v>Player 662</v>
      </c>
    </row>
    <row r="664" spans="1:3" x14ac:dyDescent="0.25">
      <c r="A664">
        <v>7327</v>
      </c>
      <c r="B664">
        <v>663</v>
      </c>
      <c r="C664" t="str">
        <f t="shared" si="10"/>
        <v>Player 663</v>
      </c>
    </row>
    <row r="665" spans="1:3" x14ac:dyDescent="0.25">
      <c r="A665">
        <v>7331</v>
      </c>
      <c r="B665">
        <v>664</v>
      </c>
      <c r="C665" t="str">
        <f t="shared" si="10"/>
        <v>Player 664</v>
      </c>
    </row>
    <row r="666" spans="1:3" x14ac:dyDescent="0.25">
      <c r="A666">
        <v>7359</v>
      </c>
      <c r="B666">
        <v>665</v>
      </c>
      <c r="C666" t="str">
        <f t="shared" si="10"/>
        <v>Player 665</v>
      </c>
    </row>
    <row r="667" spans="1:3" x14ac:dyDescent="0.25">
      <c r="A667">
        <v>7371</v>
      </c>
      <c r="B667">
        <v>666</v>
      </c>
      <c r="C667" t="str">
        <f t="shared" si="10"/>
        <v>Player 666</v>
      </c>
    </row>
    <row r="668" spans="1:3" x14ac:dyDescent="0.25">
      <c r="A668">
        <v>7374</v>
      </c>
      <c r="B668">
        <v>667</v>
      </c>
      <c r="C668" t="str">
        <f t="shared" si="10"/>
        <v>Player 667</v>
      </c>
    </row>
    <row r="669" spans="1:3" x14ac:dyDescent="0.25">
      <c r="A669">
        <v>7376</v>
      </c>
      <c r="B669">
        <v>668</v>
      </c>
      <c r="C669" t="str">
        <f t="shared" si="10"/>
        <v>Player 668</v>
      </c>
    </row>
    <row r="670" spans="1:3" x14ac:dyDescent="0.25">
      <c r="A670">
        <v>7396</v>
      </c>
      <c r="B670">
        <v>669</v>
      </c>
      <c r="C670" t="str">
        <f t="shared" si="10"/>
        <v>Player 669</v>
      </c>
    </row>
    <row r="671" spans="1:3" x14ac:dyDescent="0.25">
      <c r="A671">
        <v>7413</v>
      </c>
      <c r="B671">
        <v>670</v>
      </c>
      <c r="C671" t="str">
        <f t="shared" si="10"/>
        <v>Player 670</v>
      </c>
    </row>
    <row r="672" spans="1:3" x14ac:dyDescent="0.25">
      <c r="A672">
        <v>7420</v>
      </c>
      <c r="B672">
        <v>671</v>
      </c>
      <c r="C672" t="str">
        <f t="shared" si="10"/>
        <v>Player 671</v>
      </c>
    </row>
    <row r="673" spans="1:3" x14ac:dyDescent="0.25">
      <c r="A673">
        <v>7439</v>
      </c>
      <c r="B673">
        <v>672</v>
      </c>
      <c r="C673" t="str">
        <f t="shared" si="10"/>
        <v>Player 672</v>
      </c>
    </row>
    <row r="674" spans="1:3" x14ac:dyDescent="0.25">
      <c r="A674">
        <v>7456</v>
      </c>
      <c r="B674">
        <v>673</v>
      </c>
      <c r="C674" t="str">
        <f t="shared" si="10"/>
        <v>Player 673</v>
      </c>
    </row>
    <row r="675" spans="1:3" x14ac:dyDescent="0.25">
      <c r="A675">
        <v>7457</v>
      </c>
      <c r="B675">
        <v>674</v>
      </c>
      <c r="C675" t="str">
        <f t="shared" si="10"/>
        <v>Player 674</v>
      </c>
    </row>
    <row r="676" spans="1:3" x14ac:dyDescent="0.25">
      <c r="A676">
        <v>7469</v>
      </c>
      <c r="B676">
        <v>675</v>
      </c>
      <c r="C676" t="str">
        <f t="shared" si="10"/>
        <v>Player 675</v>
      </c>
    </row>
    <row r="677" spans="1:3" x14ac:dyDescent="0.25">
      <c r="A677">
        <v>7484</v>
      </c>
      <c r="B677">
        <v>676</v>
      </c>
      <c r="C677" t="str">
        <f t="shared" si="10"/>
        <v>Player 676</v>
      </c>
    </row>
    <row r="678" spans="1:3" x14ac:dyDescent="0.25">
      <c r="A678">
        <v>7490</v>
      </c>
      <c r="B678">
        <v>677</v>
      </c>
      <c r="C678" t="str">
        <f t="shared" si="10"/>
        <v>Player 677</v>
      </c>
    </row>
    <row r="679" spans="1:3" x14ac:dyDescent="0.25">
      <c r="A679">
        <v>7493</v>
      </c>
      <c r="B679">
        <v>678</v>
      </c>
      <c r="C679" t="str">
        <f t="shared" si="10"/>
        <v>Player 678</v>
      </c>
    </row>
    <row r="680" spans="1:3" x14ac:dyDescent="0.25">
      <c r="A680">
        <v>7506</v>
      </c>
      <c r="B680">
        <v>679</v>
      </c>
      <c r="C680" t="str">
        <f t="shared" si="10"/>
        <v>Player 679</v>
      </c>
    </row>
    <row r="681" spans="1:3" x14ac:dyDescent="0.25">
      <c r="A681">
        <v>7514</v>
      </c>
      <c r="B681">
        <v>680</v>
      </c>
      <c r="C681" t="str">
        <f t="shared" si="10"/>
        <v>Player 680</v>
      </c>
    </row>
    <row r="682" spans="1:3" x14ac:dyDescent="0.25">
      <c r="A682">
        <v>7528</v>
      </c>
      <c r="B682">
        <v>681</v>
      </c>
      <c r="C682" t="str">
        <f t="shared" si="10"/>
        <v>Player 681</v>
      </c>
    </row>
    <row r="683" spans="1:3" x14ac:dyDescent="0.25">
      <c r="A683">
        <v>7530</v>
      </c>
      <c r="B683">
        <v>682</v>
      </c>
      <c r="C683" t="str">
        <f t="shared" si="10"/>
        <v>Player 682</v>
      </c>
    </row>
    <row r="684" spans="1:3" x14ac:dyDescent="0.25">
      <c r="A684">
        <v>7541</v>
      </c>
      <c r="B684">
        <v>683</v>
      </c>
      <c r="C684" t="str">
        <f t="shared" si="10"/>
        <v>Player 683</v>
      </c>
    </row>
    <row r="685" spans="1:3" x14ac:dyDescent="0.25">
      <c r="A685">
        <v>7544</v>
      </c>
      <c r="B685">
        <v>684</v>
      </c>
      <c r="C685" t="str">
        <f t="shared" si="10"/>
        <v>Player 684</v>
      </c>
    </row>
    <row r="686" spans="1:3" x14ac:dyDescent="0.25">
      <c r="A686">
        <v>7546</v>
      </c>
      <c r="B686">
        <v>685</v>
      </c>
      <c r="C686" t="str">
        <f t="shared" si="10"/>
        <v>Player 685</v>
      </c>
    </row>
    <row r="687" spans="1:3" x14ac:dyDescent="0.25">
      <c r="A687">
        <v>7565</v>
      </c>
      <c r="B687">
        <v>686</v>
      </c>
      <c r="C687" t="str">
        <f t="shared" si="10"/>
        <v>Player 686</v>
      </c>
    </row>
    <row r="688" spans="1:3" x14ac:dyDescent="0.25">
      <c r="A688">
        <v>7585</v>
      </c>
      <c r="B688">
        <v>687</v>
      </c>
      <c r="C688" t="str">
        <f t="shared" si="10"/>
        <v>Player 687</v>
      </c>
    </row>
    <row r="689" spans="1:3" x14ac:dyDescent="0.25">
      <c r="A689">
        <v>7588</v>
      </c>
      <c r="B689">
        <v>688</v>
      </c>
      <c r="C689" t="str">
        <f t="shared" si="10"/>
        <v>Player 688</v>
      </c>
    </row>
    <row r="690" spans="1:3" x14ac:dyDescent="0.25">
      <c r="A690">
        <v>7600</v>
      </c>
      <c r="B690">
        <v>689</v>
      </c>
      <c r="C690" t="str">
        <f t="shared" si="10"/>
        <v>Player 689</v>
      </c>
    </row>
    <row r="691" spans="1:3" x14ac:dyDescent="0.25">
      <c r="A691">
        <v>7614</v>
      </c>
      <c r="B691">
        <v>690</v>
      </c>
      <c r="C691" t="str">
        <f t="shared" si="10"/>
        <v>Player 690</v>
      </c>
    </row>
    <row r="692" spans="1:3" x14ac:dyDescent="0.25">
      <c r="A692">
        <v>7616</v>
      </c>
      <c r="B692">
        <v>691</v>
      </c>
      <c r="C692" t="str">
        <f t="shared" si="10"/>
        <v>Player 691</v>
      </c>
    </row>
    <row r="693" spans="1:3" x14ac:dyDescent="0.25">
      <c r="A693">
        <v>7617</v>
      </c>
      <c r="B693">
        <v>692</v>
      </c>
      <c r="C693" t="str">
        <f t="shared" si="10"/>
        <v>Player 692</v>
      </c>
    </row>
    <row r="694" spans="1:3" x14ac:dyDescent="0.25">
      <c r="A694">
        <v>7619</v>
      </c>
      <c r="B694">
        <v>693</v>
      </c>
      <c r="C694" t="str">
        <f t="shared" si="10"/>
        <v>Player 693</v>
      </c>
    </row>
    <row r="695" spans="1:3" x14ac:dyDescent="0.25">
      <c r="A695">
        <v>7645</v>
      </c>
      <c r="B695">
        <v>694</v>
      </c>
      <c r="C695" t="str">
        <f t="shared" si="10"/>
        <v>Player 694</v>
      </c>
    </row>
    <row r="696" spans="1:3" x14ac:dyDescent="0.25">
      <c r="A696">
        <v>7655</v>
      </c>
      <c r="B696">
        <v>695</v>
      </c>
      <c r="C696" t="str">
        <f t="shared" si="10"/>
        <v>Player 695</v>
      </c>
    </row>
    <row r="697" spans="1:3" x14ac:dyDescent="0.25">
      <c r="A697">
        <v>7665</v>
      </c>
      <c r="B697">
        <v>696</v>
      </c>
      <c r="C697" t="str">
        <f t="shared" si="10"/>
        <v>Player 696</v>
      </c>
    </row>
    <row r="698" spans="1:3" x14ac:dyDescent="0.25">
      <c r="A698">
        <v>7668</v>
      </c>
      <c r="B698">
        <v>697</v>
      </c>
      <c r="C698" t="str">
        <f t="shared" si="10"/>
        <v>Player 697</v>
      </c>
    </row>
    <row r="699" spans="1:3" x14ac:dyDescent="0.25">
      <c r="A699">
        <v>7677</v>
      </c>
      <c r="B699">
        <v>698</v>
      </c>
      <c r="C699" t="str">
        <f t="shared" si="10"/>
        <v>Player 698</v>
      </c>
    </row>
    <row r="700" spans="1:3" x14ac:dyDescent="0.25">
      <c r="A700">
        <v>7694</v>
      </c>
      <c r="B700">
        <v>699</v>
      </c>
      <c r="C700" t="str">
        <f t="shared" si="10"/>
        <v>Player 699</v>
      </c>
    </row>
    <row r="701" spans="1:3" x14ac:dyDescent="0.25">
      <c r="A701">
        <v>7704</v>
      </c>
      <c r="B701">
        <v>700</v>
      </c>
      <c r="C701" t="str">
        <f t="shared" si="10"/>
        <v>Player 700</v>
      </c>
    </row>
    <row r="702" spans="1:3" x14ac:dyDescent="0.25">
      <c r="A702">
        <v>7709</v>
      </c>
      <c r="B702">
        <v>701</v>
      </c>
      <c r="C702" t="str">
        <f t="shared" si="10"/>
        <v>Player 701</v>
      </c>
    </row>
    <row r="703" spans="1:3" x14ac:dyDescent="0.25">
      <c r="A703">
        <v>7731</v>
      </c>
      <c r="B703">
        <v>702</v>
      </c>
      <c r="C703" t="str">
        <f t="shared" si="10"/>
        <v>Player 702</v>
      </c>
    </row>
    <row r="704" spans="1:3" x14ac:dyDescent="0.25">
      <c r="A704">
        <v>7736</v>
      </c>
      <c r="B704">
        <v>703</v>
      </c>
      <c r="C704" t="str">
        <f t="shared" si="10"/>
        <v>Player 703</v>
      </c>
    </row>
    <row r="705" spans="1:3" x14ac:dyDescent="0.25">
      <c r="A705">
        <v>7738</v>
      </c>
      <c r="B705">
        <v>704</v>
      </c>
      <c r="C705" t="str">
        <f t="shared" si="10"/>
        <v>Player 704</v>
      </c>
    </row>
    <row r="706" spans="1:3" x14ac:dyDescent="0.25">
      <c r="A706">
        <v>7748</v>
      </c>
      <c r="B706">
        <v>705</v>
      </c>
      <c r="C706" t="str">
        <f t="shared" si="10"/>
        <v>Player 705</v>
      </c>
    </row>
    <row r="707" spans="1:3" x14ac:dyDescent="0.25">
      <c r="A707">
        <v>7767</v>
      </c>
      <c r="B707">
        <v>706</v>
      </c>
      <c r="C707" t="str">
        <f t="shared" ref="C707:C770" si="11">"Player "&amp;TEXT(B707,"000")</f>
        <v>Player 706</v>
      </c>
    </row>
    <row r="708" spans="1:3" x14ac:dyDescent="0.25">
      <c r="A708">
        <v>7776</v>
      </c>
      <c r="B708">
        <v>707</v>
      </c>
      <c r="C708" t="str">
        <f t="shared" si="11"/>
        <v>Player 707</v>
      </c>
    </row>
    <row r="709" spans="1:3" x14ac:dyDescent="0.25">
      <c r="A709">
        <v>7777</v>
      </c>
      <c r="B709">
        <v>708</v>
      </c>
      <c r="C709" t="str">
        <f t="shared" si="11"/>
        <v>Player 708</v>
      </c>
    </row>
    <row r="710" spans="1:3" x14ac:dyDescent="0.25">
      <c r="A710">
        <v>7783</v>
      </c>
      <c r="B710">
        <v>709</v>
      </c>
      <c r="C710" t="str">
        <f t="shared" si="11"/>
        <v>Player 709</v>
      </c>
    </row>
    <row r="711" spans="1:3" x14ac:dyDescent="0.25">
      <c r="A711">
        <v>7799</v>
      </c>
      <c r="B711">
        <v>710</v>
      </c>
      <c r="C711" t="str">
        <f t="shared" si="11"/>
        <v>Player 710</v>
      </c>
    </row>
    <row r="712" spans="1:3" x14ac:dyDescent="0.25">
      <c r="A712">
        <v>7801</v>
      </c>
      <c r="B712">
        <v>711</v>
      </c>
      <c r="C712" t="str">
        <f t="shared" si="11"/>
        <v>Player 711</v>
      </c>
    </row>
    <row r="713" spans="1:3" x14ac:dyDescent="0.25">
      <c r="A713">
        <v>7806</v>
      </c>
      <c r="B713">
        <v>712</v>
      </c>
      <c r="C713" t="str">
        <f t="shared" si="11"/>
        <v>Player 712</v>
      </c>
    </row>
    <row r="714" spans="1:3" x14ac:dyDescent="0.25">
      <c r="A714">
        <v>7809</v>
      </c>
      <c r="B714">
        <v>713</v>
      </c>
      <c r="C714" t="str">
        <f t="shared" si="11"/>
        <v>Player 713</v>
      </c>
    </row>
    <row r="715" spans="1:3" x14ac:dyDescent="0.25">
      <c r="A715">
        <v>7819</v>
      </c>
      <c r="B715">
        <v>714</v>
      </c>
      <c r="C715" t="str">
        <f t="shared" si="11"/>
        <v>Player 714</v>
      </c>
    </row>
    <row r="716" spans="1:3" x14ac:dyDescent="0.25">
      <c r="A716">
        <v>7833</v>
      </c>
      <c r="B716">
        <v>715</v>
      </c>
      <c r="C716" t="str">
        <f t="shared" si="11"/>
        <v>Player 715</v>
      </c>
    </row>
    <row r="717" spans="1:3" x14ac:dyDescent="0.25">
      <c r="A717">
        <v>7863</v>
      </c>
      <c r="B717">
        <v>716</v>
      </c>
      <c r="C717" t="str">
        <f t="shared" si="11"/>
        <v>Player 716</v>
      </c>
    </row>
    <row r="718" spans="1:3" x14ac:dyDescent="0.25">
      <c r="A718">
        <v>7873</v>
      </c>
      <c r="B718">
        <v>717</v>
      </c>
      <c r="C718" t="str">
        <f t="shared" si="11"/>
        <v>Player 717</v>
      </c>
    </row>
    <row r="719" spans="1:3" x14ac:dyDescent="0.25">
      <c r="A719">
        <v>7881</v>
      </c>
      <c r="B719">
        <v>718</v>
      </c>
      <c r="C719" t="str">
        <f t="shared" si="11"/>
        <v>Player 718</v>
      </c>
    </row>
    <row r="720" spans="1:3" x14ac:dyDescent="0.25">
      <c r="A720">
        <v>7882</v>
      </c>
      <c r="B720">
        <v>719</v>
      </c>
      <c r="C720" t="str">
        <f t="shared" si="11"/>
        <v>Player 719</v>
      </c>
    </row>
    <row r="721" spans="1:3" x14ac:dyDescent="0.25">
      <c r="A721">
        <v>7891</v>
      </c>
      <c r="B721">
        <v>720</v>
      </c>
      <c r="C721" t="str">
        <f t="shared" si="11"/>
        <v>Player 720</v>
      </c>
    </row>
    <row r="722" spans="1:3" x14ac:dyDescent="0.25">
      <c r="A722">
        <v>7892</v>
      </c>
      <c r="B722">
        <v>721</v>
      </c>
      <c r="C722" t="str">
        <f t="shared" si="11"/>
        <v>Player 721</v>
      </c>
    </row>
    <row r="723" spans="1:3" x14ac:dyDescent="0.25">
      <c r="A723">
        <v>7893</v>
      </c>
      <c r="B723">
        <v>722</v>
      </c>
      <c r="C723" t="str">
        <f t="shared" si="11"/>
        <v>Player 722</v>
      </c>
    </row>
    <row r="724" spans="1:3" x14ac:dyDescent="0.25">
      <c r="A724">
        <v>7898</v>
      </c>
      <c r="B724">
        <v>723</v>
      </c>
      <c r="C724" t="str">
        <f t="shared" si="11"/>
        <v>Player 723</v>
      </c>
    </row>
    <row r="725" spans="1:3" x14ac:dyDescent="0.25">
      <c r="A725">
        <v>7905</v>
      </c>
      <c r="B725">
        <v>724</v>
      </c>
      <c r="C725" t="str">
        <f t="shared" si="11"/>
        <v>Player 724</v>
      </c>
    </row>
    <row r="726" spans="1:3" x14ac:dyDescent="0.25">
      <c r="A726">
        <v>7910</v>
      </c>
      <c r="B726">
        <v>725</v>
      </c>
      <c r="C726" t="str">
        <f t="shared" si="11"/>
        <v>Player 725</v>
      </c>
    </row>
    <row r="727" spans="1:3" x14ac:dyDescent="0.25">
      <c r="A727">
        <v>7937</v>
      </c>
      <c r="B727">
        <v>726</v>
      </c>
      <c r="C727" t="str">
        <f t="shared" si="11"/>
        <v>Player 726</v>
      </c>
    </row>
    <row r="728" spans="1:3" x14ac:dyDescent="0.25">
      <c r="A728">
        <v>7938</v>
      </c>
      <c r="B728">
        <v>727</v>
      </c>
      <c r="C728" t="str">
        <f t="shared" si="11"/>
        <v>Player 727</v>
      </c>
    </row>
    <row r="729" spans="1:3" x14ac:dyDescent="0.25">
      <c r="A729">
        <v>7941</v>
      </c>
      <c r="B729">
        <v>728</v>
      </c>
      <c r="C729" t="str">
        <f t="shared" si="11"/>
        <v>Player 728</v>
      </c>
    </row>
    <row r="730" spans="1:3" x14ac:dyDescent="0.25">
      <c r="A730">
        <v>7943</v>
      </c>
      <c r="B730">
        <v>729</v>
      </c>
      <c r="C730" t="str">
        <f t="shared" si="11"/>
        <v>Player 729</v>
      </c>
    </row>
    <row r="731" spans="1:3" x14ac:dyDescent="0.25">
      <c r="A731">
        <v>7944</v>
      </c>
      <c r="B731">
        <v>730</v>
      </c>
      <c r="C731" t="str">
        <f t="shared" si="11"/>
        <v>Player 730</v>
      </c>
    </row>
    <row r="732" spans="1:3" x14ac:dyDescent="0.25">
      <c r="A732">
        <v>7949</v>
      </c>
      <c r="B732">
        <v>731</v>
      </c>
      <c r="C732" t="str">
        <f t="shared" si="11"/>
        <v>Player 731</v>
      </c>
    </row>
    <row r="733" spans="1:3" x14ac:dyDescent="0.25">
      <c r="A733">
        <v>7966</v>
      </c>
      <c r="B733">
        <v>732</v>
      </c>
      <c r="C733" t="str">
        <f t="shared" si="11"/>
        <v>Player 732</v>
      </c>
    </row>
    <row r="734" spans="1:3" x14ac:dyDescent="0.25">
      <c r="A734">
        <v>7970</v>
      </c>
      <c r="B734">
        <v>733</v>
      </c>
      <c r="C734" t="str">
        <f t="shared" si="11"/>
        <v>Player 733</v>
      </c>
    </row>
    <row r="735" spans="1:3" x14ac:dyDescent="0.25">
      <c r="A735">
        <v>7971</v>
      </c>
      <c r="B735">
        <v>734</v>
      </c>
      <c r="C735" t="str">
        <f t="shared" si="11"/>
        <v>Player 734</v>
      </c>
    </row>
    <row r="736" spans="1:3" x14ac:dyDescent="0.25">
      <c r="A736">
        <v>7981</v>
      </c>
      <c r="B736">
        <v>735</v>
      </c>
      <c r="C736" t="str">
        <f t="shared" si="11"/>
        <v>Player 735</v>
      </c>
    </row>
    <row r="737" spans="1:3" x14ac:dyDescent="0.25">
      <c r="A737">
        <v>7986</v>
      </c>
      <c r="B737">
        <v>736</v>
      </c>
      <c r="C737" t="str">
        <f t="shared" si="11"/>
        <v>Player 736</v>
      </c>
    </row>
    <row r="738" spans="1:3" x14ac:dyDescent="0.25">
      <c r="A738">
        <v>7988</v>
      </c>
      <c r="B738">
        <v>737</v>
      </c>
      <c r="C738" t="str">
        <f t="shared" si="11"/>
        <v>Player 737</v>
      </c>
    </row>
    <row r="739" spans="1:3" x14ac:dyDescent="0.25">
      <c r="A739">
        <v>7996</v>
      </c>
      <c r="B739">
        <v>738</v>
      </c>
      <c r="C739" t="str">
        <f t="shared" si="11"/>
        <v>Player 738</v>
      </c>
    </row>
    <row r="740" spans="1:3" x14ac:dyDescent="0.25">
      <c r="A740">
        <v>8002</v>
      </c>
      <c r="B740">
        <v>739</v>
      </c>
      <c r="C740" t="str">
        <f t="shared" si="11"/>
        <v>Player 739</v>
      </c>
    </row>
    <row r="741" spans="1:3" x14ac:dyDescent="0.25">
      <c r="A741">
        <v>8004</v>
      </c>
      <c r="B741">
        <v>740</v>
      </c>
      <c r="C741" t="str">
        <f t="shared" si="11"/>
        <v>Player 740</v>
      </c>
    </row>
    <row r="742" spans="1:3" x14ac:dyDescent="0.25">
      <c r="A742">
        <v>8022</v>
      </c>
      <c r="B742">
        <v>741</v>
      </c>
      <c r="C742" t="str">
        <f t="shared" si="11"/>
        <v>Player 741</v>
      </c>
    </row>
    <row r="743" spans="1:3" x14ac:dyDescent="0.25">
      <c r="A743">
        <v>8026</v>
      </c>
      <c r="B743">
        <v>742</v>
      </c>
      <c r="C743" t="str">
        <f t="shared" si="11"/>
        <v>Player 742</v>
      </c>
    </row>
    <row r="744" spans="1:3" x14ac:dyDescent="0.25">
      <c r="A744">
        <v>8027</v>
      </c>
      <c r="B744">
        <v>743</v>
      </c>
      <c r="C744" t="str">
        <f t="shared" si="11"/>
        <v>Player 743</v>
      </c>
    </row>
    <row r="745" spans="1:3" x14ac:dyDescent="0.25">
      <c r="A745">
        <v>8035</v>
      </c>
      <c r="B745">
        <v>744</v>
      </c>
      <c r="C745" t="str">
        <f t="shared" si="11"/>
        <v>Player 744</v>
      </c>
    </row>
    <row r="746" spans="1:3" x14ac:dyDescent="0.25">
      <c r="A746">
        <v>8041</v>
      </c>
      <c r="B746">
        <v>745</v>
      </c>
      <c r="C746" t="str">
        <f t="shared" si="11"/>
        <v>Player 745</v>
      </c>
    </row>
    <row r="747" spans="1:3" x14ac:dyDescent="0.25">
      <c r="A747">
        <v>8043</v>
      </c>
      <c r="B747">
        <v>746</v>
      </c>
      <c r="C747" t="str">
        <f t="shared" si="11"/>
        <v>Player 746</v>
      </c>
    </row>
    <row r="748" spans="1:3" x14ac:dyDescent="0.25">
      <c r="A748">
        <v>8056</v>
      </c>
      <c r="B748">
        <v>747</v>
      </c>
      <c r="C748" t="str">
        <f t="shared" si="11"/>
        <v>Player 747</v>
      </c>
    </row>
    <row r="749" spans="1:3" x14ac:dyDescent="0.25">
      <c r="A749">
        <v>8079</v>
      </c>
      <c r="B749">
        <v>748</v>
      </c>
      <c r="C749" t="str">
        <f t="shared" si="11"/>
        <v>Player 748</v>
      </c>
    </row>
    <row r="750" spans="1:3" x14ac:dyDescent="0.25">
      <c r="A750">
        <v>8098</v>
      </c>
      <c r="B750">
        <v>749</v>
      </c>
      <c r="C750" t="str">
        <f t="shared" si="11"/>
        <v>Player 749</v>
      </c>
    </row>
    <row r="751" spans="1:3" x14ac:dyDescent="0.25">
      <c r="A751">
        <v>8099</v>
      </c>
      <c r="B751">
        <v>750</v>
      </c>
      <c r="C751" t="str">
        <f t="shared" si="11"/>
        <v>Player 750</v>
      </c>
    </row>
    <row r="752" spans="1:3" x14ac:dyDescent="0.25">
      <c r="A752">
        <v>8102</v>
      </c>
      <c r="B752">
        <v>751</v>
      </c>
      <c r="C752" t="str">
        <f t="shared" si="11"/>
        <v>Player 751</v>
      </c>
    </row>
    <row r="753" spans="1:3" x14ac:dyDescent="0.25">
      <c r="A753">
        <v>8112</v>
      </c>
      <c r="B753">
        <v>752</v>
      </c>
      <c r="C753" t="str">
        <f t="shared" si="11"/>
        <v>Player 752</v>
      </c>
    </row>
    <row r="754" spans="1:3" x14ac:dyDescent="0.25">
      <c r="A754">
        <v>8114</v>
      </c>
      <c r="B754">
        <v>753</v>
      </c>
      <c r="C754" t="str">
        <f t="shared" si="11"/>
        <v>Player 753</v>
      </c>
    </row>
    <row r="755" spans="1:3" x14ac:dyDescent="0.25">
      <c r="A755">
        <v>8125</v>
      </c>
      <c r="B755">
        <v>754</v>
      </c>
      <c r="C755" t="str">
        <f t="shared" si="11"/>
        <v>Player 754</v>
      </c>
    </row>
    <row r="756" spans="1:3" x14ac:dyDescent="0.25">
      <c r="A756">
        <v>8140</v>
      </c>
      <c r="B756">
        <v>755</v>
      </c>
      <c r="C756" t="str">
        <f t="shared" si="11"/>
        <v>Player 755</v>
      </c>
    </row>
    <row r="757" spans="1:3" x14ac:dyDescent="0.25">
      <c r="A757">
        <v>8147</v>
      </c>
      <c r="B757">
        <v>756</v>
      </c>
      <c r="C757" t="str">
        <f t="shared" si="11"/>
        <v>Player 756</v>
      </c>
    </row>
    <row r="758" spans="1:3" x14ac:dyDescent="0.25">
      <c r="A758">
        <v>8158</v>
      </c>
      <c r="B758">
        <v>757</v>
      </c>
      <c r="C758" t="str">
        <f t="shared" si="11"/>
        <v>Player 757</v>
      </c>
    </row>
    <row r="759" spans="1:3" x14ac:dyDescent="0.25">
      <c r="A759">
        <v>8164</v>
      </c>
      <c r="B759">
        <v>758</v>
      </c>
      <c r="C759" t="str">
        <f t="shared" si="11"/>
        <v>Player 758</v>
      </c>
    </row>
    <row r="760" spans="1:3" x14ac:dyDescent="0.25">
      <c r="A760">
        <v>8186</v>
      </c>
      <c r="B760">
        <v>759</v>
      </c>
      <c r="C760" t="str">
        <f t="shared" si="11"/>
        <v>Player 759</v>
      </c>
    </row>
    <row r="761" spans="1:3" x14ac:dyDescent="0.25">
      <c r="A761">
        <v>8190</v>
      </c>
      <c r="B761">
        <v>760</v>
      </c>
      <c r="C761" t="str">
        <f t="shared" si="11"/>
        <v>Player 760</v>
      </c>
    </row>
    <row r="762" spans="1:3" x14ac:dyDescent="0.25">
      <c r="A762">
        <v>8192</v>
      </c>
      <c r="B762">
        <v>761</v>
      </c>
      <c r="C762" t="str">
        <f t="shared" si="11"/>
        <v>Player 761</v>
      </c>
    </row>
    <row r="763" spans="1:3" x14ac:dyDescent="0.25">
      <c r="A763">
        <v>8196</v>
      </c>
      <c r="B763">
        <v>762</v>
      </c>
      <c r="C763" t="str">
        <f t="shared" si="11"/>
        <v>Player 762</v>
      </c>
    </row>
    <row r="764" spans="1:3" x14ac:dyDescent="0.25">
      <c r="A764">
        <v>8206</v>
      </c>
      <c r="B764">
        <v>763</v>
      </c>
      <c r="C764" t="str">
        <f t="shared" si="11"/>
        <v>Player 763</v>
      </c>
    </row>
    <row r="765" spans="1:3" x14ac:dyDescent="0.25">
      <c r="A765">
        <v>8208</v>
      </c>
      <c r="B765">
        <v>764</v>
      </c>
      <c r="C765" t="str">
        <f t="shared" si="11"/>
        <v>Player 764</v>
      </c>
    </row>
    <row r="766" spans="1:3" x14ac:dyDescent="0.25">
      <c r="A766">
        <v>8215</v>
      </c>
      <c r="B766">
        <v>765</v>
      </c>
      <c r="C766" t="str">
        <f t="shared" si="11"/>
        <v>Player 765</v>
      </c>
    </row>
    <row r="767" spans="1:3" x14ac:dyDescent="0.25">
      <c r="A767">
        <v>8239</v>
      </c>
      <c r="B767">
        <v>766</v>
      </c>
      <c r="C767" t="str">
        <f t="shared" si="11"/>
        <v>Player 766</v>
      </c>
    </row>
    <row r="768" spans="1:3" x14ac:dyDescent="0.25">
      <c r="A768">
        <v>8240</v>
      </c>
      <c r="B768">
        <v>767</v>
      </c>
      <c r="C768" t="str">
        <f t="shared" si="11"/>
        <v>Player 767</v>
      </c>
    </row>
    <row r="769" spans="1:3" x14ac:dyDescent="0.25">
      <c r="A769">
        <v>8241</v>
      </c>
      <c r="B769">
        <v>768</v>
      </c>
      <c r="C769" t="str">
        <f t="shared" si="11"/>
        <v>Player 768</v>
      </c>
    </row>
    <row r="770" spans="1:3" x14ac:dyDescent="0.25">
      <c r="A770">
        <v>8245</v>
      </c>
      <c r="B770">
        <v>769</v>
      </c>
      <c r="C770" t="str">
        <f t="shared" si="11"/>
        <v>Player 769</v>
      </c>
    </row>
    <row r="771" spans="1:3" x14ac:dyDescent="0.25">
      <c r="A771">
        <v>8253</v>
      </c>
      <c r="B771">
        <v>770</v>
      </c>
      <c r="C771" t="str">
        <f t="shared" ref="C771:C834" si="12">"Player "&amp;TEXT(B771,"000")</f>
        <v>Player 770</v>
      </c>
    </row>
    <row r="772" spans="1:3" x14ac:dyDescent="0.25">
      <c r="A772">
        <v>8266</v>
      </c>
      <c r="B772">
        <v>771</v>
      </c>
      <c r="C772" t="str">
        <f t="shared" si="12"/>
        <v>Player 771</v>
      </c>
    </row>
    <row r="773" spans="1:3" x14ac:dyDescent="0.25">
      <c r="A773">
        <v>8270</v>
      </c>
      <c r="B773">
        <v>772</v>
      </c>
      <c r="C773" t="str">
        <f t="shared" si="12"/>
        <v>Player 772</v>
      </c>
    </row>
    <row r="774" spans="1:3" x14ac:dyDescent="0.25">
      <c r="A774">
        <v>8280</v>
      </c>
      <c r="B774">
        <v>773</v>
      </c>
      <c r="C774" t="str">
        <f t="shared" si="12"/>
        <v>Player 773</v>
      </c>
    </row>
    <row r="775" spans="1:3" x14ac:dyDescent="0.25">
      <c r="A775">
        <v>8311</v>
      </c>
      <c r="B775">
        <v>774</v>
      </c>
      <c r="C775" t="str">
        <f t="shared" si="12"/>
        <v>Player 774</v>
      </c>
    </row>
    <row r="776" spans="1:3" x14ac:dyDescent="0.25">
      <c r="A776">
        <v>8312</v>
      </c>
      <c r="B776">
        <v>775</v>
      </c>
      <c r="C776" t="str">
        <f t="shared" si="12"/>
        <v>Player 775</v>
      </c>
    </row>
    <row r="777" spans="1:3" x14ac:dyDescent="0.25">
      <c r="A777">
        <v>8326</v>
      </c>
      <c r="B777">
        <v>776</v>
      </c>
      <c r="C777" t="str">
        <f t="shared" si="12"/>
        <v>Player 776</v>
      </c>
    </row>
    <row r="778" spans="1:3" x14ac:dyDescent="0.25">
      <c r="A778">
        <v>8330</v>
      </c>
      <c r="B778">
        <v>777</v>
      </c>
      <c r="C778" t="str">
        <f t="shared" si="12"/>
        <v>Player 777</v>
      </c>
    </row>
    <row r="779" spans="1:3" x14ac:dyDescent="0.25">
      <c r="A779">
        <v>8339</v>
      </c>
      <c r="B779">
        <v>778</v>
      </c>
      <c r="C779" t="str">
        <f t="shared" si="12"/>
        <v>Player 778</v>
      </c>
    </row>
    <row r="780" spans="1:3" x14ac:dyDescent="0.25">
      <c r="A780">
        <v>8343</v>
      </c>
      <c r="B780">
        <v>779</v>
      </c>
      <c r="C780" t="str">
        <f t="shared" si="12"/>
        <v>Player 779</v>
      </c>
    </row>
    <row r="781" spans="1:3" x14ac:dyDescent="0.25">
      <c r="A781">
        <v>8350</v>
      </c>
      <c r="B781">
        <v>780</v>
      </c>
      <c r="C781" t="str">
        <f t="shared" si="12"/>
        <v>Player 780</v>
      </c>
    </row>
    <row r="782" spans="1:3" x14ac:dyDescent="0.25">
      <c r="A782">
        <v>8357</v>
      </c>
      <c r="B782">
        <v>781</v>
      </c>
      <c r="C782" t="str">
        <f t="shared" si="12"/>
        <v>Player 781</v>
      </c>
    </row>
    <row r="783" spans="1:3" x14ac:dyDescent="0.25">
      <c r="A783">
        <v>8385</v>
      </c>
      <c r="B783">
        <v>782</v>
      </c>
      <c r="C783" t="str">
        <f t="shared" si="12"/>
        <v>Player 782</v>
      </c>
    </row>
    <row r="784" spans="1:3" x14ac:dyDescent="0.25">
      <c r="A784">
        <v>8390</v>
      </c>
      <c r="B784">
        <v>783</v>
      </c>
      <c r="C784" t="str">
        <f t="shared" si="12"/>
        <v>Player 783</v>
      </c>
    </row>
    <row r="785" spans="1:3" x14ac:dyDescent="0.25">
      <c r="A785">
        <v>8392</v>
      </c>
      <c r="B785">
        <v>784</v>
      </c>
      <c r="C785" t="str">
        <f t="shared" si="12"/>
        <v>Player 784</v>
      </c>
    </row>
    <row r="786" spans="1:3" x14ac:dyDescent="0.25">
      <c r="A786">
        <v>8400</v>
      </c>
      <c r="B786">
        <v>785</v>
      </c>
      <c r="C786" t="str">
        <f t="shared" si="12"/>
        <v>Player 785</v>
      </c>
    </row>
    <row r="787" spans="1:3" x14ac:dyDescent="0.25">
      <c r="A787">
        <v>8404</v>
      </c>
      <c r="B787">
        <v>786</v>
      </c>
      <c r="C787" t="str">
        <f t="shared" si="12"/>
        <v>Player 786</v>
      </c>
    </row>
    <row r="788" spans="1:3" x14ac:dyDescent="0.25">
      <c r="A788">
        <v>8408</v>
      </c>
      <c r="B788">
        <v>787</v>
      </c>
      <c r="C788" t="str">
        <f t="shared" si="12"/>
        <v>Player 787</v>
      </c>
    </row>
    <row r="789" spans="1:3" x14ac:dyDescent="0.25">
      <c r="A789">
        <v>8409</v>
      </c>
      <c r="B789">
        <v>788</v>
      </c>
      <c r="C789" t="str">
        <f t="shared" si="12"/>
        <v>Player 788</v>
      </c>
    </row>
    <row r="790" spans="1:3" x14ac:dyDescent="0.25">
      <c r="A790">
        <v>8418</v>
      </c>
      <c r="B790">
        <v>789</v>
      </c>
      <c r="C790" t="str">
        <f t="shared" si="12"/>
        <v>Player 789</v>
      </c>
    </row>
    <row r="791" spans="1:3" x14ac:dyDescent="0.25">
      <c r="A791">
        <v>8419</v>
      </c>
      <c r="B791">
        <v>790</v>
      </c>
      <c r="C791" t="str">
        <f t="shared" si="12"/>
        <v>Player 790</v>
      </c>
    </row>
    <row r="792" spans="1:3" x14ac:dyDescent="0.25">
      <c r="A792">
        <v>8421</v>
      </c>
      <c r="B792">
        <v>791</v>
      </c>
      <c r="C792" t="str">
        <f t="shared" si="12"/>
        <v>Player 791</v>
      </c>
    </row>
    <row r="793" spans="1:3" x14ac:dyDescent="0.25">
      <c r="A793">
        <v>8449</v>
      </c>
      <c r="B793">
        <v>792</v>
      </c>
      <c r="C793" t="str">
        <f t="shared" si="12"/>
        <v>Player 792</v>
      </c>
    </row>
    <row r="794" spans="1:3" x14ac:dyDescent="0.25">
      <c r="A794">
        <v>8455</v>
      </c>
      <c r="B794">
        <v>793</v>
      </c>
      <c r="C794" t="str">
        <f t="shared" si="12"/>
        <v>Player 793</v>
      </c>
    </row>
    <row r="795" spans="1:3" x14ac:dyDescent="0.25">
      <c r="A795">
        <v>8483</v>
      </c>
      <c r="B795">
        <v>794</v>
      </c>
      <c r="C795" t="str">
        <f t="shared" si="12"/>
        <v>Player 794</v>
      </c>
    </row>
    <row r="796" spans="1:3" x14ac:dyDescent="0.25">
      <c r="A796">
        <v>8489</v>
      </c>
      <c r="B796">
        <v>795</v>
      </c>
      <c r="C796" t="str">
        <f t="shared" si="12"/>
        <v>Player 795</v>
      </c>
    </row>
    <row r="797" spans="1:3" x14ac:dyDescent="0.25">
      <c r="A797">
        <v>8494</v>
      </c>
      <c r="B797">
        <v>796</v>
      </c>
      <c r="C797" t="str">
        <f t="shared" si="12"/>
        <v>Player 796</v>
      </c>
    </row>
    <row r="798" spans="1:3" x14ac:dyDescent="0.25">
      <c r="A798">
        <v>8509</v>
      </c>
      <c r="B798">
        <v>797</v>
      </c>
      <c r="C798" t="str">
        <f t="shared" si="12"/>
        <v>Player 797</v>
      </c>
    </row>
    <row r="799" spans="1:3" x14ac:dyDescent="0.25">
      <c r="A799">
        <v>8513</v>
      </c>
      <c r="B799">
        <v>798</v>
      </c>
      <c r="C799" t="str">
        <f t="shared" si="12"/>
        <v>Player 798</v>
      </c>
    </row>
    <row r="800" spans="1:3" x14ac:dyDescent="0.25">
      <c r="A800">
        <v>8526</v>
      </c>
      <c r="B800">
        <v>799</v>
      </c>
      <c r="C800" t="str">
        <f t="shared" si="12"/>
        <v>Player 799</v>
      </c>
    </row>
    <row r="801" spans="1:3" x14ac:dyDescent="0.25">
      <c r="A801">
        <v>8543</v>
      </c>
      <c r="B801">
        <v>800</v>
      </c>
      <c r="C801" t="str">
        <f t="shared" si="12"/>
        <v>Player 800</v>
      </c>
    </row>
    <row r="802" spans="1:3" x14ac:dyDescent="0.25">
      <c r="A802">
        <v>8546</v>
      </c>
      <c r="B802">
        <v>801</v>
      </c>
      <c r="C802" t="str">
        <f t="shared" si="12"/>
        <v>Player 801</v>
      </c>
    </row>
    <row r="803" spans="1:3" x14ac:dyDescent="0.25">
      <c r="A803">
        <v>8554</v>
      </c>
      <c r="B803">
        <v>802</v>
      </c>
      <c r="C803" t="str">
        <f t="shared" si="12"/>
        <v>Player 802</v>
      </c>
    </row>
    <row r="804" spans="1:3" x14ac:dyDescent="0.25">
      <c r="A804">
        <v>8555</v>
      </c>
      <c r="B804">
        <v>803</v>
      </c>
      <c r="C804" t="str">
        <f t="shared" si="12"/>
        <v>Player 803</v>
      </c>
    </row>
    <row r="805" spans="1:3" x14ac:dyDescent="0.25">
      <c r="A805">
        <v>8560</v>
      </c>
      <c r="B805">
        <v>804</v>
      </c>
      <c r="C805" t="str">
        <f t="shared" si="12"/>
        <v>Player 804</v>
      </c>
    </row>
    <row r="806" spans="1:3" x14ac:dyDescent="0.25">
      <c r="A806">
        <v>8561</v>
      </c>
      <c r="B806">
        <v>805</v>
      </c>
      <c r="C806" t="str">
        <f t="shared" si="12"/>
        <v>Player 805</v>
      </c>
    </row>
    <row r="807" spans="1:3" x14ac:dyDescent="0.25">
      <c r="A807">
        <v>8570</v>
      </c>
      <c r="B807">
        <v>806</v>
      </c>
      <c r="C807" t="str">
        <f t="shared" si="12"/>
        <v>Player 806</v>
      </c>
    </row>
    <row r="808" spans="1:3" x14ac:dyDescent="0.25">
      <c r="A808">
        <v>8574</v>
      </c>
      <c r="B808">
        <v>807</v>
      </c>
      <c r="C808" t="str">
        <f t="shared" si="12"/>
        <v>Player 807</v>
      </c>
    </row>
    <row r="809" spans="1:3" x14ac:dyDescent="0.25">
      <c r="A809">
        <v>8575</v>
      </c>
      <c r="B809">
        <v>808</v>
      </c>
      <c r="C809" t="str">
        <f t="shared" si="12"/>
        <v>Player 808</v>
      </c>
    </row>
    <row r="810" spans="1:3" x14ac:dyDescent="0.25">
      <c r="A810">
        <v>8576</v>
      </c>
      <c r="B810">
        <v>809</v>
      </c>
      <c r="C810" t="str">
        <f t="shared" si="12"/>
        <v>Player 809</v>
      </c>
    </row>
    <row r="811" spans="1:3" x14ac:dyDescent="0.25">
      <c r="A811">
        <v>8577</v>
      </c>
      <c r="B811">
        <v>810</v>
      </c>
      <c r="C811" t="str">
        <f t="shared" si="12"/>
        <v>Player 810</v>
      </c>
    </row>
    <row r="812" spans="1:3" x14ac:dyDescent="0.25">
      <c r="A812">
        <v>8587</v>
      </c>
      <c r="B812">
        <v>811</v>
      </c>
      <c r="C812" t="str">
        <f t="shared" si="12"/>
        <v>Player 811</v>
      </c>
    </row>
    <row r="813" spans="1:3" x14ac:dyDescent="0.25">
      <c r="A813">
        <v>8629</v>
      </c>
      <c r="B813">
        <v>812</v>
      </c>
      <c r="C813" t="str">
        <f t="shared" si="12"/>
        <v>Player 812</v>
      </c>
    </row>
    <row r="814" spans="1:3" x14ac:dyDescent="0.25">
      <c r="A814">
        <v>8641</v>
      </c>
      <c r="B814">
        <v>813</v>
      </c>
      <c r="C814" t="str">
        <f t="shared" si="12"/>
        <v>Player 813</v>
      </c>
    </row>
    <row r="815" spans="1:3" x14ac:dyDescent="0.25">
      <c r="A815">
        <v>8648</v>
      </c>
      <c r="B815">
        <v>814</v>
      </c>
      <c r="C815" t="str">
        <f t="shared" si="12"/>
        <v>Player 814</v>
      </c>
    </row>
    <row r="816" spans="1:3" x14ac:dyDescent="0.25">
      <c r="A816">
        <v>8651</v>
      </c>
      <c r="B816">
        <v>815</v>
      </c>
      <c r="C816" t="str">
        <f t="shared" si="12"/>
        <v>Player 815</v>
      </c>
    </row>
    <row r="817" spans="1:3" x14ac:dyDescent="0.25">
      <c r="A817">
        <v>8667</v>
      </c>
      <c r="B817">
        <v>816</v>
      </c>
      <c r="C817" t="str">
        <f t="shared" si="12"/>
        <v>Player 816</v>
      </c>
    </row>
    <row r="818" spans="1:3" x14ac:dyDescent="0.25">
      <c r="A818">
        <v>8668</v>
      </c>
      <c r="B818">
        <v>817</v>
      </c>
      <c r="C818" t="str">
        <f t="shared" si="12"/>
        <v>Player 817</v>
      </c>
    </row>
    <row r="819" spans="1:3" x14ac:dyDescent="0.25">
      <c r="A819">
        <v>8673</v>
      </c>
      <c r="B819">
        <v>818</v>
      </c>
      <c r="C819" t="str">
        <f t="shared" si="12"/>
        <v>Player 818</v>
      </c>
    </row>
    <row r="820" spans="1:3" x14ac:dyDescent="0.25">
      <c r="A820">
        <v>8679</v>
      </c>
      <c r="B820">
        <v>819</v>
      </c>
      <c r="C820" t="str">
        <f t="shared" si="12"/>
        <v>Player 819</v>
      </c>
    </row>
    <row r="821" spans="1:3" x14ac:dyDescent="0.25">
      <c r="A821">
        <v>8683</v>
      </c>
      <c r="B821">
        <v>820</v>
      </c>
      <c r="C821" t="str">
        <f t="shared" si="12"/>
        <v>Player 820</v>
      </c>
    </row>
    <row r="822" spans="1:3" x14ac:dyDescent="0.25">
      <c r="A822">
        <v>8687</v>
      </c>
      <c r="B822">
        <v>821</v>
      </c>
      <c r="C822" t="str">
        <f t="shared" si="12"/>
        <v>Player 821</v>
      </c>
    </row>
    <row r="823" spans="1:3" x14ac:dyDescent="0.25">
      <c r="A823">
        <v>8714</v>
      </c>
      <c r="B823">
        <v>822</v>
      </c>
      <c r="C823" t="str">
        <f t="shared" si="12"/>
        <v>Player 822</v>
      </c>
    </row>
    <row r="824" spans="1:3" x14ac:dyDescent="0.25">
      <c r="A824">
        <v>8721</v>
      </c>
      <c r="B824">
        <v>823</v>
      </c>
      <c r="C824" t="str">
        <f t="shared" si="12"/>
        <v>Player 823</v>
      </c>
    </row>
    <row r="825" spans="1:3" x14ac:dyDescent="0.25">
      <c r="A825">
        <v>8723</v>
      </c>
      <c r="B825">
        <v>824</v>
      </c>
      <c r="C825" t="str">
        <f t="shared" si="12"/>
        <v>Player 824</v>
      </c>
    </row>
    <row r="826" spans="1:3" x14ac:dyDescent="0.25">
      <c r="A826">
        <v>8730</v>
      </c>
      <c r="B826">
        <v>825</v>
      </c>
      <c r="C826" t="str">
        <f t="shared" si="12"/>
        <v>Player 825</v>
      </c>
    </row>
    <row r="827" spans="1:3" x14ac:dyDescent="0.25">
      <c r="A827">
        <v>8734</v>
      </c>
      <c r="B827">
        <v>826</v>
      </c>
      <c r="C827" t="str">
        <f t="shared" si="12"/>
        <v>Player 826</v>
      </c>
    </row>
    <row r="828" spans="1:3" x14ac:dyDescent="0.25">
      <c r="A828">
        <v>8777</v>
      </c>
      <c r="B828">
        <v>827</v>
      </c>
      <c r="C828" t="str">
        <f t="shared" si="12"/>
        <v>Player 827</v>
      </c>
    </row>
    <row r="829" spans="1:3" x14ac:dyDescent="0.25">
      <c r="A829">
        <v>8783</v>
      </c>
      <c r="B829">
        <v>828</v>
      </c>
      <c r="C829" t="str">
        <f t="shared" si="12"/>
        <v>Player 828</v>
      </c>
    </row>
    <row r="830" spans="1:3" x14ac:dyDescent="0.25">
      <c r="A830">
        <v>8790</v>
      </c>
      <c r="B830">
        <v>829</v>
      </c>
      <c r="C830" t="str">
        <f t="shared" si="12"/>
        <v>Player 829</v>
      </c>
    </row>
    <row r="831" spans="1:3" x14ac:dyDescent="0.25">
      <c r="A831">
        <v>8804</v>
      </c>
      <c r="B831">
        <v>830</v>
      </c>
      <c r="C831" t="str">
        <f t="shared" si="12"/>
        <v>Player 830</v>
      </c>
    </row>
    <row r="832" spans="1:3" x14ac:dyDescent="0.25">
      <c r="A832">
        <v>8805</v>
      </c>
      <c r="B832">
        <v>831</v>
      </c>
      <c r="C832" t="str">
        <f t="shared" si="12"/>
        <v>Player 831</v>
      </c>
    </row>
    <row r="833" spans="1:3" x14ac:dyDescent="0.25">
      <c r="A833">
        <v>8806</v>
      </c>
      <c r="B833">
        <v>832</v>
      </c>
      <c r="C833" t="str">
        <f t="shared" si="12"/>
        <v>Player 832</v>
      </c>
    </row>
    <row r="834" spans="1:3" x14ac:dyDescent="0.25">
      <c r="A834">
        <v>8830</v>
      </c>
      <c r="B834">
        <v>833</v>
      </c>
      <c r="C834" t="str">
        <f t="shared" si="12"/>
        <v>Player 833</v>
      </c>
    </row>
    <row r="835" spans="1:3" x14ac:dyDescent="0.25">
      <c r="A835">
        <v>8849</v>
      </c>
      <c r="B835">
        <v>834</v>
      </c>
      <c r="C835" t="str">
        <f t="shared" ref="C835:C898" si="13">"Player "&amp;TEXT(B835,"000")</f>
        <v>Player 834</v>
      </c>
    </row>
    <row r="836" spans="1:3" x14ac:dyDescent="0.25">
      <c r="A836">
        <v>8858</v>
      </c>
      <c r="B836">
        <v>835</v>
      </c>
      <c r="C836" t="str">
        <f t="shared" si="13"/>
        <v>Player 835</v>
      </c>
    </row>
    <row r="837" spans="1:3" x14ac:dyDescent="0.25">
      <c r="A837">
        <v>8860</v>
      </c>
      <c r="B837">
        <v>836</v>
      </c>
      <c r="C837" t="str">
        <f t="shared" si="13"/>
        <v>Player 836</v>
      </c>
    </row>
    <row r="838" spans="1:3" x14ac:dyDescent="0.25">
      <c r="A838">
        <v>8863</v>
      </c>
      <c r="B838">
        <v>837</v>
      </c>
      <c r="C838" t="str">
        <f t="shared" si="13"/>
        <v>Player 837</v>
      </c>
    </row>
    <row r="839" spans="1:3" x14ac:dyDescent="0.25">
      <c r="A839">
        <v>8869</v>
      </c>
      <c r="B839">
        <v>838</v>
      </c>
      <c r="C839" t="str">
        <f t="shared" si="13"/>
        <v>Player 838</v>
      </c>
    </row>
    <row r="840" spans="1:3" x14ac:dyDescent="0.25">
      <c r="A840">
        <v>8891</v>
      </c>
      <c r="B840">
        <v>839</v>
      </c>
      <c r="C840" t="str">
        <f t="shared" si="13"/>
        <v>Player 839</v>
      </c>
    </row>
    <row r="841" spans="1:3" x14ac:dyDescent="0.25">
      <c r="A841">
        <v>8892</v>
      </c>
      <c r="B841">
        <v>840</v>
      </c>
      <c r="C841" t="str">
        <f t="shared" si="13"/>
        <v>Player 840</v>
      </c>
    </row>
    <row r="842" spans="1:3" x14ac:dyDescent="0.25">
      <c r="A842">
        <v>8901</v>
      </c>
      <c r="B842">
        <v>841</v>
      </c>
      <c r="C842" t="str">
        <f t="shared" si="13"/>
        <v>Player 841</v>
      </c>
    </row>
    <row r="843" spans="1:3" x14ac:dyDescent="0.25">
      <c r="A843">
        <v>8916</v>
      </c>
      <c r="B843">
        <v>842</v>
      </c>
      <c r="C843" t="str">
        <f t="shared" si="13"/>
        <v>Player 842</v>
      </c>
    </row>
    <row r="844" spans="1:3" x14ac:dyDescent="0.25">
      <c r="A844">
        <v>8939</v>
      </c>
      <c r="B844">
        <v>843</v>
      </c>
      <c r="C844" t="str">
        <f t="shared" si="13"/>
        <v>Player 843</v>
      </c>
    </row>
    <row r="845" spans="1:3" x14ac:dyDescent="0.25">
      <c r="A845">
        <v>8941</v>
      </c>
      <c r="B845">
        <v>844</v>
      </c>
      <c r="C845" t="str">
        <f t="shared" si="13"/>
        <v>Player 844</v>
      </c>
    </row>
    <row r="846" spans="1:3" x14ac:dyDescent="0.25">
      <c r="A846">
        <v>8943</v>
      </c>
      <c r="B846">
        <v>845</v>
      </c>
      <c r="C846" t="str">
        <f t="shared" si="13"/>
        <v>Player 845</v>
      </c>
    </row>
    <row r="847" spans="1:3" x14ac:dyDescent="0.25">
      <c r="A847">
        <v>8956</v>
      </c>
      <c r="B847">
        <v>846</v>
      </c>
      <c r="C847" t="str">
        <f t="shared" si="13"/>
        <v>Player 846</v>
      </c>
    </row>
    <row r="848" spans="1:3" x14ac:dyDescent="0.25">
      <c r="A848">
        <v>8970</v>
      </c>
      <c r="B848">
        <v>847</v>
      </c>
      <c r="C848" t="str">
        <f t="shared" si="13"/>
        <v>Player 847</v>
      </c>
    </row>
    <row r="849" spans="1:3" x14ac:dyDescent="0.25">
      <c r="A849">
        <v>8973</v>
      </c>
      <c r="B849">
        <v>848</v>
      </c>
      <c r="C849" t="str">
        <f t="shared" si="13"/>
        <v>Player 848</v>
      </c>
    </row>
    <row r="850" spans="1:3" x14ac:dyDescent="0.25">
      <c r="A850">
        <v>8984</v>
      </c>
      <c r="B850">
        <v>849</v>
      </c>
      <c r="C850" t="str">
        <f t="shared" si="13"/>
        <v>Player 849</v>
      </c>
    </row>
    <row r="851" spans="1:3" x14ac:dyDescent="0.25">
      <c r="A851">
        <v>8987</v>
      </c>
      <c r="B851">
        <v>850</v>
      </c>
      <c r="C851" t="str">
        <f t="shared" si="13"/>
        <v>Player 850</v>
      </c>
    </row>
    <row r="852" spans="1:3" x14ac:dyDescent="0.25">
      <c r="A852">
        <v>8989</v>
      </c>
      <c r="B852">
        <v>851</v>
      </c>
      <c r="C852" t="str">
        <f t="shared" si="13"/>
        <v>Player 851</v>
      </c>
    </row>
    <row r="853" spans="1:3" x14ac:dyDescent="0.25">
      <c r="A853">
        <v>8992</v>
      </c>
      <c r="B853">
        <v>852</v>
      </c>
      <c r="C853" t="str">
        <f t="shared" si="13"/>
        <v>Player 852</v>
      </c>
    </row>
    <row r="854" spans="1:3" x14ac:dyDescent="0.25">
      <c r="A854">
        <v>8994</v>
      </c>
      <c r="B854">
        <v>853</v>
      </c>
      <c r="C854" t="str">
        <f t="shared" si="13"/>
        <v>Player 853</v>
      </c>
    </row>
    <row r="855" spans="1:3" x14ac:dyDescent="0.25">
      <c r="A855">
        <v>8996</v>
      </c>
      <c r="B855">
        <v>854</v>
      </c>
      <c r="C855" t="str">
        <f t="shared" si="13"/>
        <v>Player 854</v>
      </c>
    </row>
    <row r="856" spans="1:3" x14ac:dyDescent="0.25">
      <c r="A856">
        <v>9002</v>
      </c>
      <c r="B856">
        <v>855</v>
      </c>
      <c r="C856" t="str">
        <f t="shared" si="13"/>
        <v>Player 855</v>
      </c>
    </row>
    <row r="857" spans="1:3" x14ac:dyDescent="0.25">
      <c r="A857">
        <v>9004</v>
      </c>
      <c r="B857">
        <v>856</v>
      </c>
      <c r="C857" t="str">
        <f t="shared" si="13"/>
        <v>Player 856</v>
      </c>
    </row>
    <row r="858" spans="1:3" x14ac:dyDescent="0.25">
      <c r="A858">
        <v>9006</v>
      </c>
      <c r="B858">
        <v>857</v>
      </c>
      <c r="C858" t="str">
        <f t="shared" si="13"/>
        <v>Player 857</v>
      </c>
    </row>
    <row r="859" spans="1:3" x14ac:dyDescent="0.25">
      <c r="A859">
        <v>9007</v>
      </c>
      <c r="B859">
        <v>858</v>
      </c>
      <c r="C859" t="str">
        <f t="shared" si="13"/>
        <v>Player 858</v>
      </c>
    </row>
    <row r="860" spans="1:3" x14ac:dyDescent="0.25">
      <c r="A860">
        <v>9010</v>
      </c>
      <c r="B860">
        <v>859</v>
      </c>
      <c r="C860" t="str">
        <f t="shared" si="13"/>
        <v>Player 859</v>
      </c>
    </row>
    <row r="861" spans="1:3" x14ac:dyDescent="0.25">
      <c r="A861">
        <v>9017</v>
      </c>
      <c r="B861">
        <v>860</v>
      </c>
      <c r="C861" t="str">
        <f t="shared" si="13"/>
        <v>Player 860</v>
      </c>
    </row>
    <row r="862" spans="1:3" x14ac:dyDescent="0.25">
      <c r="A862">
        <v>9050</v>
      </c>
      <c r="B862">
        <v>861</v>
      </c>
      <c r="C862" t="str">
        <f t="shared" si="13"/>
        <v>Player 861</v>
      </c>
    </row>
    <row r="863" spans="1:3" x14ac:dyDescent="0.25">
      <c r="A863">
        <v>9053</v>
      </c>
      <c r="B863">
        <v>862</v>
      </c>
      <c r="C863" t="str">
        <f t="shared" si="13"/>
        <v>Player 862</v>
      </c>
    </row>
    <row r="864" spans="1:3" x14ac:dyDescent="0.25">
      <c r="A864">
        <v>9058</v>
      </c>
      <c r="B864">
        <v>863</v>
      </c>
      <c r="C864" t="str">
        <f t="shared" si="13"/>
        <v>Player 863</v>
      </c>
    </row>
    <row r="865" spans="1:3" x14ac:dyDescent="0.25">
      <c r="A865">
        <v>9070</v>
      </c>
      <c r="B865">
        <v>864</v>
      </c>
      <c r="C865" t="str">
        <f t="shared" si="13"/>
        <v>Player 864</v>
      </c>
    </row>
    <row r="866" spans="1:3" x14ac:dyDescent="0.25">
      <c r="A866">
        <v>9082</v>
      </c>
      <c r="B866">
        <v>865</v>
      </c>
      <c r="C866" t="str">
        <f t="shared" si="13"/>
        <v>Player 865</v>
      </c>
    </row>
    <row r="867" spans="1:3" x14ac:dyDescent="0.25">
      <c r="A867">
        <v>9096</v>
      </c>
      <c r="B867">
        <v>866</v>
      </c>
      <c r="C867" t="str">
        <f t="shared" si="13"/>
        <v>Player 866</v>
      </c>
    </row>
    <row r="868" spans="1:3" x14ac:dyDescent="0.25">
      <c r="A868">
        <v>9110</v>
      </c>
      <c r="B868">
        <v>867</v>
      </c>
      <c r="C868" t="str">
        <f t="shared" si="13"/>
        <v>Player 867</v>
      </c>
    </row>
    <row r="869" spans="1:3" x14ac:dyDescent="0.25">
      <c r="A869">
        <v>9120</v>
      </c>
      <c r="B869">
        <v>868</v>
      </c>
      <c r="C869" t="str">
        <f t="shared" si="13"/>
        <v>Player 868</v>
      </c>
    </row>
    <row r="870" spans="1:3" x14ac:dyDescent="0.25">
      <c r="A870">
        <v>9130</v>
      </c>
      <c r="B870">
        <v>869</v>
      </c>
      <c r="C870" t="str">
        <f t="shared" si="13"/>
        <v>Player 869</v>
      </c>
    </row>
    <row r="871" spans="1:3" x14ac:dyDescent="0.25">
      <c r="A871">
        <v>9135</v>
      </c>
      <c r="B871">
        <v>870</v>
      </c>
      <c r="C871" t="str">
        <f t="shared" si="13"/>
        <v>Player 870</v>
      </c>
    </row>
    <row r="872" spans="1:3" x14ac:dyDescent="0.25">
      <c r="A872">
        <v>9150</v>
      </c>
      <c r="B872">
        <v>871</v>
      </c>
      <c r="C872" t="str">
        <f t="shared" si="13"/>
        <v>Player 871</v>
      </c>
    </row>
    <row r="873" spans="1:3" x14ac:dyDescent="0.25">
      <c r="A873">
        <v>9152</v>
      </c>
      <c r="B873">
        <v>872</v>
      </c>
      <c r="C873" t="str">
        <f t="shared" si="13"/>
        <v>Player 872</v>
      </c>
    </row>
    <row r="874" spans="1:3" x14ac:dyDescent="0.25">
      <c r="A874">
        <v>9154</v>
      </c>
      <c r="B874">
        <v>873</v>
      </c>
      <c r="C874" t="str">
        <f t="shared" si="13"/>
        <v>Player 873</v>
      </c>
    </row>
    <row r="875" spans="1:3" x14ac:dyDescent="0.25">
      <c r="A875">
        <v>9155</v>
      </c>
      <c r="B875">
        <v>874</v>
      </c>
      <c r="C875" t="str">
        <f t="shared" si="13"/>
        <v>Player 874</v>
      </c>
    </row>
    <row r="876" spans="1:3" x14ac:dyDescent="0.25">
      <c r="A876">
        <v>9162</v>
      </c>
      <c r="B876">
        <v>875</v>
      </c>
      <c r="C876" t="str">
        <f t="shared" si="13"/>
        <v>Player 875</v>
      </c>
    </row>
    <row r="877" spans="1:3" x14ac:dyDescent="0.25">
      <c r="A877">
        <v>9164</v>
      </c>
      <c r="B877">
        <v>876</v>
      </c>
      <c r="C877" t="str">
        <f t="shared" si="13"/>
        <v>Player 876</v>
      </c>
    </row>
    <row r="878" spans="1:3" x14ac:dyDescent="0.25">
      <c r="A878">
        <v>9172</v>
      </c>
      <c r="B878">
        <v>877</v>
      </c>
      <c r="C878" t="str">
        <f t="shared" si="13"/>
        <v>Player 877</v>
      </c>
    </row>
    <row r="879" spans="1:3" x14ac:dyDescent="0.25">
      <c r="A879">
        <v>9173</v>
      </c>
      <c r="B879">
        <v>878</v>
      </c>
      <c r="C879" t="str">
        <f t="shared" si="13"/>
        <v>Player 878</v>
      </c>
    </row>
    <row r="880" spans="1:3" x14ac:dyDescent="0.25">
      <c r="A880">
        <v>9175</v>
      </c>
      <c r="B880">
        <v>879</v>
      </c>
      <c r="C880" t="str">
        <f t="shared" si="13"/>
        <v>Player 879</v>
      </c>
    </row>
    <row r="881" spans="1:3" x14ac:dyDescent="0.25">
      <c r="A881">
        <v>9195</v>
      </c>
      <c r="B881">
        <v>880</v>
      </c>
      <c r="C881" t="str">
        <f t="shared" si="13"/>
        <v>Player 880</v>
      </c>
    </row>
    <row r="882" spans="1:3" x14ac:dyDescent="0.25">
      <c r="A882">
        <v>9208</v>
      </c>
      <c r="B882">
        <v>881</v>
      </c>
      <c r="C882" t="str">
        <f t="shared" si="13"/>
        <v>Player 881</v>
      </c>
    </row>
    <row r="883" spans="1:3" x14ac:dyDescent="0.25">
      <c r="A883">
        <v>9226</v>
      </c>
      <c r="B883">
        <v>882</v>
      </c>
      <c r="C883" t="str">
        <f t="shared" si="13"/>
        <v>Player 882</v>
      </c>
    </row>
    <row r="884" spans="1:3" x14ac:dyDescent="0.25">
      <c r="A884">
        <v>9258</v>
      </c>
      <c r="B884">
        <v>883</v>
      </c>
      <c r="C884" t="str">
        <f t="shared" si="13"/>
        <v>Player 883</v>
      </c>
    </row>
    <row r="885" spans="1:3" x14ac:dyDescent="0.25">
      <c r="A885">
        <v>9306</v>
      </c>
      <c r="B885">
        <v>884</v>
      </c>
      <c r="C885" t="str">
        <f t="shared" si="13"/>
        <v>Player 884</v>
      </c>
    </row>
    <row r="886" spans="1:3" x14ac:dyDescent="0.25">
      <c r="A886">
        <v>9308</v>
      </c>
      <c r="B886">
        <v>885</v>
      </c>
      <c r="C886" t="str">
        <f t="shared" si="13"/>
        <v>Player 885</v>
      </c>
    </row>
    <row r="887" spans="1:3" x14ac:dyDescent="0.25">
      <c r="A887">
        <v>9311</v>
      </c>
      <c r="B887">
        <v>886</v>
      </c>
      <c r="C887" t="str">
        <f t="shared" si="13"/>
        <v>Player 886</v>
      </c>
    </row>
    <row r="888" spans="1:3" x14ac:dyDescent="0.25">
      <c r="A888">
        <v>9319</v>
      </c>
      <c r="B888">
        <v>887</v>
      </c>
      <c r="C888" t="str">
        <f t="shared" si="13"/>
        <v>Player 887</v>
      </c>
    </row>
    <row r="889" spans="1:3" x14ac:dyDescent="0.25">
      <c r="A889">
        <v>9322</v>
      </c>
      <c r="B889">
        <v>888</v>
      </c>
      <c r="C889" t="str">
        <f t="shared" si="13"/>
        <v>Player 888</v>
      </c>
    </row>
    <row r="890" spans="1:3" x14ac:dyDescent="0.25">
      <c r="A890">
        <v>9335</v>
      </c>
      <c r="B890">
        <v>889</v>
      </c>
      <c r="C890" t="str">
        <f t="shared" si="13"/>
        <v>Player 889</v>
      </c>
    </row>
    <row r="891" spans="1:3" x14ac:dyDescent="0.25">
      <c r="A891">
        <v>9338</v>
      </c>
      <c r="B891">
        <v>890</v>
      </c>
      <c r="C891" t="str">
        <f t="shared" si="13"/>
        <v>Player 890</v>
      </c>
    </row>
    <row r="892" spans="1:3" x14ac:dyDescent="0.25">
      <c r="A892">
        <v>9352</v>
      </c>
      <c r="B892">
        <v>891</v>
      </c>
      <c r="C892" t="str">
        <f t="shared" si="13"/>
        <v>Player 891</v>
      </c>
    </row>
    <row r="893" spans="1:3" x14ac:dyDescent="0.25">
      <c r="A893">
        <v>9389</v>
      </c>
      <c r="B893">
        <v>892</v>
      </c>
      <c r="C893" t="str">
        <f t="shared" si="13"/>
        <v>Player 892</v>
      </c>
    </row>
    <row r="894" spans="1:3" x14ac:dyDescent="0.25">
      <c r="A894">
        <v>9392</v>
      </c>
      <c r="B894">
        <v>893</v>
      </c>
      <c r="C894" t="str">
        <f t="shared" si="13"/>
        <v>Player 893</v>
      </c>
    </row>
    <row r="895" spans="1:3" x14ac:dyDescent="0.25">
      <c r="A895">
        <v>9393</v>
      </c>
      <c r="B895">
        <v>894</v>
      </c>
      <c r="C895" t="str">
        <f t="shared" si="13"/>
        <v>Player 894</v>
      </c>
    </row>
    <row r="896" spans="1:3" x14ac:dyDescent="0.25">
      <c r="A896">
        <v>9415</v>
      </c>
      <c r="B896">
        <v>895</v>
      </c>
      <c r="C896" t="str">
        <f t="shared" si="13"/>
        <v>Player 895</v>
      </c>
    </row>
    <row r="897" spans="1:3" x14ac:dyDescent="0.25">
      <c r="A897">
        <v>9427</v>
      </c>
      <c r="B897">
        <v>896</v>
      </c>
      <c r="C897" t="str">
        <f t="shared" si="13"/>
        <v>Player 896</v>
      </c>
    </row>
    <row r="898" spans="1:3" x14ac:dyDescent="0.25">
      <c r="A898">
        <v>9433</v>
      </c>
      <c r="B898">
        <v>897</v>
      </c>
      <c r="C898" t="str">
        <f t="shared" si="13"/>
        <v>Player 897</v>
      </c>
    </row>
    <row r="899" spans="1:3" x14ac:dyDescent="0.25">
      <c r="A899">
        <v>9434</v>
      </c>
      <c r="B899">
        <v>898</v>
      </c>
      <c r="C899" t="str">
        <f t="shared" ref="C899:C948" si="14">"Player "&amp;TEXT(B899,"000")</f>
        <v>Player 898</v>
      </c>
    </row>
    <row r="900" spans="1:3" x14ac:dyDescent="0.25">
      <c r="A900">
        <v>9445</v>
      </c>
      <c r="B900">
        <v>899</v>
      </c>
      <c r="C900" t="str">
        <f t="shared" si="14"/>
        <v>Player 899</v>
      </c>
    </row>
    <row r="901" spans="1:3" x14ac:dyDescent="0.25">
      <c r="A901">
        <v>9472</v>
      </c>
      <c r="B901">
        <v>900</v>
      </c>
      <c r="C901" t="str">
        <f t="shared" si="14"/>
        <v>Player 900</v>
      </c>
    </row>
    <row r="902" spans="1:3" x14ac:dyDescent="0.25">
      <c r="A902">
        <v>9477</v>
      </c>
      <c r="B902">
        <v>901</v>
      </c>
      <c r="C902" t="str">
        <f t="shared" si="14"/>
        <v>Player 901</v>
      </c>
    </row>
    <row r="903" spans="1:3" x14ac:dyDescent="0.25">
      <c r="A903">
        <v>9512</v>
      </c>
      <c r="B903">
        <v>902</v>
      </c>
      <c r="C903" t="str">
        <f t="shared" si="14"/>
        <v>Player 902</v>
      </c>
    </row>
    <row r="904" spans="1:3" x14ac:dyDescent="0.25">
      <c r="A904">
        <v>9527</v>
      </c>
      <c r="B904">
        <v>903</v>
      </c>
      <c r="C904" t="str">
        <f t="shared" si="14"/>
        <v>Player 903</v>
      </c>
    </row>
    <row r="905" spans="1:3" x14ac:dyDescent="0.25">
      <c r="A905">
        <v>9529</v>
      </c>
      <c r="B905">
        <v>904</v>
      </c>
      <c r="C905" t="str">
        <f t="shared" si="14"/>
        <v>Player 904</v>
      </c>
    </row>
    <row r="906" spans="1:3" x14ac:dyDescent="0.25">
      <c r="A906">
        <v>9533</v>
      </c>
      <c r="B906">
        <v>905</v>
      </c>
      <c r="C906" t="str">
        <f t="shared" si="14"/>
        <v>Player 905</v>
      </c>
    </row>
    <row r="907" spans="1:3" x14ac:dyDescent="0.25">
      <c r="A907">
        <v>9549</v>
      </c>
      <c r="B907">
        <v>906</v>
      </c>
      <c r="C907" t="str">
        <f t="shared" si="14"/>
        <v>Player 906</v>
      </c>
    </row>
    <row r="908" spans="1:3" x14ac:dyDescent="0.25">
      <c r="A908">
        <v>9554</v>
      </c>
      <c r="B908">
        <v>907</v>
      </c>
      <c r="C908" t="str">
        <f t="shared" si="14"/>
        <v>Player 907</v>
      </c>
    </row>
    <row r="909" spans="1:3" x14ac:dyDescent="0.25">
      <c r="A909">
        <v>9567</v>
      </c>
      <c r="B909">
        <v>908</v>
      </c>
      <c r="C909" t="str">
        <f t="shared" si="14"/>
        <v>Player 908</v>
      </c>
    </row>
    <row r="910" spans="1:3" x14ac:dyDescent="0.25">
      <c r="A910">
        <v>9571</v>
      </c>
      <c r="B910">
        <v>909</v>
      </c>
      <c r="C910" t="str">
        <f t="shared" si="14"/>
        <v>Player 909</v>
      </c>
    </row>
    <row r="911" spans="1:3" x14ac:dyDescent="0.25">
      <c r="A911">
        <v>9577</v>
      </c>
      <c r="B911">
        <v>910</v>
      </c>
      <c r="C911" t="str">
        <f t="shared" si="14"/>
        <v>Player 910</v>
      </c>
    </row>
    <row r="912" spans="1:3" x14ac:dyDescent="0.25">
      <c r="A912">
        <v>9580</v>
      </c>
      <c r="B912">
        <v>911</v>
      </c>
      <c r="C912" t="str">
        <f t="shared" si="14"/>
        <v>Player 911</v>
      </c>
    </row>
    <row r="913" spans="1:3" x14ac:dyDescent="0.25">
      <c r="A913">
        <v>9609</v>
      </c>
      <c r="B913">
        <v>912</v>
      </c>
      <c r="C913" t="str">
        <f t="shared" si="14"/>
        <v>Player 912</v>
      </c>
    </row>
    <row r="914" spans="1:3" x14ac:dyDescent="0.25">
      <c r="A914">
        <v>9647</v>
      </c>
      <c r="B914">
        <v>913</v>
      </c>
      <c r="C914" t="str">
        <f t="shared" si="14"/>
        <v>Player 913</v>
      </c>
    </row>
    <row r="915" spans="1:3" x14ac:dyDescent="0.25">
      <c r="A915">
        <v>9659</v>
      </c>
      <c r="B915">
        <v>914</v>
      </c>
      <c r="C915" t="str">
        <f t="shared" si="14"/>
        <v>Player 914</v>
      </c>
    </row>
    <row r="916" spans="1:3" x14ac:dyDescent="0.25">
      <c r="A916">
        <v>9662</v>
      </c>
      <c r="B916">
        <v>915</v>
      </c>
      <c r="C916" t="str">
        <f t="shared" si="14"/>
        <v>Player 915</v>
      </c>
    </row>
    <row r="917" spans="1:3" x14ac:dyDescent="0.25">
      <c r="A917">
        <v>9666</v>
      </c>
      <c r="B917">
        <v>916</v>
      </c>
      <c r="C917" t="str">
        <f t="shared" si="14"/>
        <v>Player 916</v>
      </c>
    </row>
    <row r="918" spans="1:3" x14ac:dyDescent="0.25">
      <c r="A918">
        <v>9669</v>
      </c>
      <c r="B918">
        <v>917</v>
      </c>
      <c r="C918" t="str">
        <f t="shared" si="14"/>
        <v>Player 917</v>
      </c>
    </row>
    <row r="919" spans="1:3" x14ac:dyDescent="0.25">
      <c r="A919">
        <v>9680</v>
      </c>
      <c r="B919">
        <v>918</v>
      </c>
      <c r="C919" t="str">
        <f t="shared" si="14"/>
        <v>Player 918</v>
      </c>
    </row>
    <row r="920" spans="1:3" x14ac:dyDescent="0.25">
      <c r="A920">
        <v>9684</v>
      </c>
      <c r="B920">
        <v>919</v>
      </c>
      <c r="C920" t="str">
        <f t="shared" si="14"/>
        <v>Player 919</v>
      </c>
    </row>
    <row r="921" spans="1:3" x14ac:dyDescent="0.25">
      <c r="A921">
        <v>9691</v>
      </c>
      <c r="B921">
        <v>920</v>
      </c>
      <c r="C921" t="str">
        <f t="shared" si="14"/>
        <v>Player 920</v>
      </c>
    </row>
    <row r="922" spans="1:3" x14ac:dyDescent="0.25">
      <c r="A922">
        <v>9702</v>
      </c>
      <c r="B922">
        <v>921</v>
      </c>
      <c r="C922" t="str">
        <f t="shared" si="14"/>
        <v>Player 921</v>
      </c>
    </row>
    <row r="923" spans="1:3" x14ac:dyDescent="0.25">
      <c r="A923">
        <v>9716</v>
      </c>
      <c r="B923">
        <v>922</v>
      </c>
      <c r="C923" t="str">
        <f t="shared" si="14"/>
        <v>Player 922</v>
      </c>
    </row>
    <row r="924" spans="1:3" x14ac:dyDescent="0.25">
      <c r="A924">
        <v>9717</v>
      </c>
      <c r="B924">
        <v>923</v>
      </c>
      <c r="C924" t="str">
        <f t="shared" si="14"/>
        <v>Player 923</v>
      </c>
    </row>
    <row r="925" spans="1:3" x14ac:dyDescent="0.25">
      <c r="A925">
        <v>9754</v>
      </c>
      <c r="B925">
        <v>924</v>
      </c>
      <c r="C925" t="str">
        <f t="shared" si="14"/>
        <v>Player 924</v>
      </c>
    </row>
    <row r="926" spans="1:3" x14ac:dyDescent="0.25">
      <c r="A926">
        <v>9755</v>
      </c>
      <c r="B926">
        <v>925</v>
      </c>
      <c r="C926" t="str">
        <f t="shared" si="14"/>
        <v>Player 925</v>
      </c>
    </row>
    <row r="927" spans="1:3" x14ac:dyDescent="0.25">
      <c r="A927">
        <v>9766</v>
      </c>
      <c r="B927">
        <v>926</v>
      </c>
      <c r="C927" t="str">
        <f t="shared" si="14"/>
        <v>Player 926</v>
      </c>
    </row>
    <row r="928" spans="1:3" x14ac:dyDescent="0.25">
      <c r="A928">
        <v>9787</v>
      </c>
      <c r="B928">
        <v>927</v>
      </c>
      <c r="C928" t="str">
        <f t="shared" si="14"/>
        <v>Player 927</v>
      </c>
    </row>
    <row r="929" spans="1:3" x14ac:dyDescent="0.25">
      <c r="A929">
        <v>9792</v>
      </c>
      <c r="B929">
        <v>928</v>
      </c>
      <c r="C929" t="str">
        <f t="shared" si="14"/>
        <v>Player 928</v>
      </c>
    </row>
    <row r="930" spans="1:3" x14ac:dyDescent="0.25">
      <c r="A930">
        <v>9795</v>
      </c>
      <c r="B930">
        <v>929</v>
      </c>
      <c r="C930" t="str">
        <f t="shared" si="14"/>
        <v>Player 929</v>
      </c>
    </row>
    <row r="931" spans="1:3" x14ac:dyDescent="0.25">
      <c r="A931">
        <v>9800</v>
      </c>
      <c r="B931">
        <v>930</v>
      </c>
      <c r="C931" t="str">
        <f t="shared" si="14"/>
        <v>Player 930</v>
      </c>
    </row>
    <row r="932" spans="1:3" x14ac:dyDescent="0.25">
      <c r="A932">
        <v>9808</v>
      </c>
      <c r="B932">
        <v>931</v>
      </c>
      <c r="C932" t="str">
        <f t="shared" si="14"/>
        <v>Player 931</v>
      </c>
    </row>
    <row r="933" spans="1:3" x14ac:dyDescent="0.25">
      <c r="A933">
        <v>9815</v>
      </c>
      <c r="B933">
        <v>932</v>
      </c>
      <c r="C933" t="str">
        <f t="shared" si="14"/>
        <v>Player 932</v>
      </c>
    </row>
    <row r="934" spans="1:3" x14ac:dyDescent="0.25">
      <c r="A934">
        <v>9837</v>
      </c>
      <c r="B934">
        <v>933</v>
      </c>
      <c r="C934" t="str">
        <f t="shared" si="14"/>
        <v>Player 933</v>
      </c>
    </row>
    <row r="935" spans="1:3" x14ac:dyDescent="0.25">
      <c r="A935">
        <v>9838</v>
      </c>
      <c r="B935">
        <v>934</v>
      </c>
      <c r="C935" t="str">
        <f t="shared" si="14"/>
        <v>Player 934</v>
      </c>
    </row>
    <row r="936" spans="1:3" x14ac:dyDescent="0.25">
      <c r="A936">
        <v>9865</v>
      </c>
      <c r="B936">
        <v>935</v>
      </c>
      <c r="C936" t="str">
        <f t="shared" si="14"/>
        <v>Player 935</v>
      </c>
    </row>
    <row r="937" spans="1:3" x14ac:dyDescent="0.25">
      <c r="A937">
        <v>9867</v>
      </c>
      <c r="B937">
        <v>936</v>
      </c>
      <c r="C937" t="str">
        <f t="shared" si="14"/>
        <v>Player 936</v>
      </c>
    </row>
    <row r="938" spans="1:3" x14ac:dyDescent="0.25">
      <c r="A938">
        <v>9901</v>
      </c>
      <c r="B938">
        <v>937</v>
      </c>
      <c r="C938" t="str">
        <f t="shared" si="14"/>
        <v>Player 937</v>
      </c>
    </row>
    <row r="939" spans="1:3" x14ac:dyDescent="0.25">
      <c r="A939">
        <v>9905</v>
      </c>
      <c r="B939">
        <v>938</v>
      </c>
      <c r="C939" t="str">
        <f t="shared" si="14"/>
        <v>Player 938</v>
      </c>
    </row>
    <row r="940" spans="1:3" x14ac:dyDescent="0.25">
      <c r="A940">
        <v>9914</v>
      </c>
      <c r="B940">
        <v>939</v>
      </c>
      <c r="C940" t="str">
        <f t="shared" si="14"/>
        <v>Player 939</v>
      </c>
    </row>
    <row r="941" spans="1:3" x14ac:dyDescent="0.25">
      <c r="A941">
        <v>9915</v>
      </c>
      <c r="B941">
        <v>940</v>
      </c>
      <c r="C941" t="str">
        <f t="shared" si="14"/>
        <v>Player 940</v>
      </c>
    </row>
    <row r="942" spans="1:3" x14ac:dyDescent="0.25">
      <c r="A942">
        <v>9924</v>
      </c>
      <c r="B942">
        <v>941</v>
      </c>
      <c r="C942" t="str">
        <f t="shared" si="14"/>
        <v>Player 941</v>
      </c>
    </row>
    <row r="943" spans="1:3" x14ac:dyDescent="0.25">
      <c r="A943">
        <v>9932</v>
      </c>
      <c r="B943">
        <v>942</v>
      </c>
      <c r="C943" t="str">
        <f t="shared" si="14"/>
        <v>Player 942</v>
      </c>
    </row>
    <row r="944" spans="1:3" x14ac:dyDescent="0.25">
      <c r="A944">
        <v>9945</v>
      </c>
      <c r="B944">
        <v>943</v>
      </c>
      <c r="C944" t="str">
        <f t="shared" si="14"/>
        <v>Player 943</v>
      </c>
    </row>
    <row r="945" spans="1:3" x14ac:dyDescent="0.25">
      <c r="A945">
        <v>9958</v>
      </c>
      <c r="B945">
        <v>944</v>
      </c>
      <c r="C945" t="str">
        <f t="shared" si="14"/>
        <v>Player 944</v>
      </c>
    </row>
    <row r="946" spans="1:3" x14ac:dyDescent="0.25">
      <c r="A946">
        <v>9967</v>
      </c>
      <c r="B946">
        <v>945</v>
      </c>
      <c r="C946" t="str">
        <f t="shared" si="14"/>
        <v>Player 945</v>
      </c>
    </row>
    <row r="947" spans="1:3" x14ac:dyDescent="0.25">
      <c r="A947">
        <v>9989</v>
      </c>
      <c r="B947">
        <v>946</v>
      </c>
      <c r="C947" t="str">
        <f t="shared" si="14"/>
        <v>Player 946</v>
      </c>
    </row>
    <row r="948" spans="1:3" x14ac:dyDescent="0.25">
      <c r="A948">
        <v>9996</v>
      </c>
      <c r="B948">
        <v>947</v>
      </c>
      <c r="C948" t="str">
        <f t="shared" si="14"/>
        <v>Player 947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EBCBF-639F-4A2E-A5F9-D91050DFBE3B}">
  <dimension ref="A1:D1001"/>
  <sheetViews>
    <sheetView tabSelected="1" workbookViewId="0">
      <selection activeCell="I30" sqref="I30"/>
    </sheetView>
  </sheetViews>
  <sheetFormatPr defaultRowHeight="13.8" x14ac:dyDescent="0.25"/>
  <sheetData>
    <row r="1" spans="1:4" x14ac:dyDescent="0.25">
      <c r="A1" t="s">
        <v>42</v>
      </c>
      <c r="B1" t="s">
        <v>43</v>
      </c>
      <c r="C1" t="s">
        <v>44</v>
      </c>
      <c r="D1" t="s">
        <v>9</v>
      </c>
    </row>
    <row r="2" spans="1:4" x14ac:dyDescent="0.25">
      <c r="A2">
        <v>1004</v>
      </c>
      <c r="B2">
        <v>1</v>
      </c>
      <c r="C2" t="str">
        <f>"Player "&amp;TEXT(B2,"000")</f>
        <v>Player 001</v>
      </c>
      <c r="D2">
        <v>21.857071876509799</v>
      </c>
    </row>
    <row r="3" spans="1:4" x14ac:dyDescent="0.25">
      <c r="A3">
        <v>1005</v>
      </c>
      <c r="B3">
        <v>2</v>
      </c>
      <c r="C3" t="str">
        <f t="shared" ref="C3:C66" si="0">"Player "&amp;TEXT(B3,"000")</f>
        <v>Player 002</v>
      </c>
      <c r="D3">
        <v>108.864266936295</v>
      </c>
    </row>
    <row r="4" spans="1:4" x14ac:dyDescent="0.25">
      <c r="A4">
        <v>1009</v>
      </c>
      <c r="B4">
        <v>3</v>
      </c>
      <c r="C4" t="str">
        <f t="shared" si="0"/>
        <v>Player 003</v>
      </c>
      <c r="D4">
        <v>42.690076724380802</v>
      </c>
    </row>
    <row r="5" spans="1:4" x14ac:dyDescent="0.25">
      <c r="A5">
        <v>1055</v>
      </c>
      <c r="B5">
        <v>4</v>
      </c>
      <c r="C5" t="str">
        <f t="shared" si="0"/>
        <v>Player 004</v>
      </c>
      <c r="D5">
        <v>112.92806516858001</v>
      </c>
    </row>
    <row r="6" spans="1:4" x14ac:dyDescent="0.25">
      <c r="A6">
        <v>1064</v>
      </c>
      <c r="B6">
        <v>5</v>
      </c>
      <c r="C6" t="str">
        <f t="shared" si="0"/>
        <v>Player 005</v>
      </c>
      <c r="D6">
        <v>91.743445087825293</v>
      </c>
    </row>
    <row r="7" spans="1:4" x14ac:dyDescent="0.25">
      <c r="A7">
        <v>1077</v>
      </c>
      <c r="B7">
        <v>6</v>
      </c>
      <c r="C7" t="str">
        <f t="shared" si="0"/>
        <v>Player 006</v>
      </c>
      <c r="D7">
        <v>96.2653489911484</v>
      </c>
    </row>
    <row r="8" spans="1:4" x14ac:dyDescent="0.25">
      <c r="A8">
        <v>1094</v>
      </c>
      <c r="B8">
        <v>7</v>
      </c>
      <c r="C8" t="str">
        <f t="shared" si="0"/>
        <v>Player 007</v>
      </c>
      <c r="D8">
        <v>40.146149579316003</v>
      </c>
    </row>
    <row r="9" spans="1:4" x14ac:dyDescent="0.25">
      <c r="A9">
        <v>1098</v>
      </c>
      <c r="B9">
        <v>8</v>
      </c>
      <c r="C9" t="str">
        <f t="shared" si="0"/>
        <v>Player 008</v>
      </c>
      <c r="D9">
        <v>43.419442561681201</v>
      </c>
    </row>
    <row r="10" spans="1:4" x14ac:dyDescent="0.25">
      <c r="A10">
        <v>1117</v>
      </c>
      <c r="B10">
        <v>9</v>
      </c>
      <c r="C10" t="str">
        <f t="shared" si="0"/>
        <v>Player 009</v>
      </c>
      <c r="D10">
        <v>72.126775382406507</v>
      </c>
    </row>
    <row r="11" spans="1:4" x14ac:dyDescent="0.25">
      <c r="A11">
        <v>1125</v>
      </c>
      <c r="B11">
        <v>10</v>
      </c>
      <c r="C11" t="str">
        <f t="shared" si="0"/>
        <v>Player 010</v>
      </c>
      <c r="D11">
        <v>37.209985264986202</v>
      </c>
    </row>
    <row r="12" spans="1:4" x14ac:dyDescent="0.25">
      <c r="A12">
        <v>1126</v>
      </c>
      <c r="B12">
        <v>11</v>
      </c>
      <c r="C12" t="str">
        <f t="shared" si="0"/>
        <v>Player 011</v>
      </c>
      <c r="D12">
        <v>50.543169268303203</v>
      </c>
    </row>
    <row r="13" spans="1:4" x14ac:dyDescent="0.25">
      <c r="A13">
        <v>1133</v>
      </c>
      <c r="B13">
        <v>12</v>
      </c>
      <c r="C13" t="str">
        <f t="shared" si="0"/>
        <v>Player 012</v>
      </c>
      <c r="D13">
        <v>52.1462477947804</v>
      </c>
    </row>
    <row r="14" spans="1:4" x14ac:dyDescent="0.25">
      <c r="A14">
        <v>1137</v>
      </c>
      <c r="B14">
        <v>13</v>
      </c>
      <c r="C14" t="str">
        <f t="shared" si="0"/>
        <v>Player 013</v>
      </c>
      <c r="D14">
        <v>35.9629933252764</v>
      </c>
    </row>
    <row r="15" spans="1:4" x14ac:dyDescent="0.25">
      <c r="A15">
        <v>1154</v>
      </c>
      <c r="B15">
        <v>14</v>
      </c>
      <c r="C15" t="str">
        <f t="shared" si="0"/>
        <v>Player 014</v>
      </c>
      <c r="D15">
        <v>40.518283339516003</v>
      </c>
    </row>
    <row r="16" spans="1:4" x14ac:dyDescent="0.25">
      <c r="A16">
        <v>1161</v>
      </c>
      <c r="B16">
        <v>15</v>
      </c>
      <c r="C16" t="str">
        <f t="shared" si="0"/>
        <v>Player 015</v>
      </c>
      <c r="D16">
        <v>98.855184200825605</v>
      </c>
    </row>
    <row r="17" spans="1:4" x14ac:dyDescent="0.25">
      <c r="A17">
        <v>1189</v>
      </c>
      <c r="B17">
        <v>16</v>
      </c>
      <c r="C17" t="str">
        <f t="shared" si="0"/>
        <v>Player 016</v>
      </c>
      <c r="D17">
        <v>36.719585454726797</v>
      </c>
    </row>
    <row r="18" spans="1:4" x14ac:dyDescent="0.25">
      <c r="A18">
        <v>1190</v>
      </c>
      <c r="B18">
        <v>17</v>
      </c>
      <c r="C18" t="str">
        <f t="shared" si="0"/>
        <v>Player 017</v>
      </c>
      <c r="D18">
        <v>22.845739184392201</v>
      </c>
    </row>
    <row r="19" spans="1:4" x14ac:dyDescent="0.25">
      <c r="A19">
        <v>1197</v>
      </c>
      <c r="B19">
        <v>18</v>
      </c>
      <c r="C19" t="str">
        <f t="shared" si="0"/>
        <v>Player 018</v>
      </c>
      <c r="D19">
        <v>82.935494262893798</v>
      </c>
    </row>
    <row r="20" spans="1:4" x14ac:dyDescent="0.25">
      <c r="A20">
        <v>1202</v>
      </c>
      <c r="B20">
        <v>19</v>
      </c>
      <c r="C20" t="str">
        <f t="shared" si="0"/>
        <v>Player 019</v>
      </c>
      <c r="D20">
        <v>117.59831193924499</v>
      </c>
    </row>
    <row r="21" spans="1:4" x14ac:dyDescent="0.25">
      <c r="A21">
        <v>1206</v>
      </c>
      <c r="B21">
        <v>20</v>
      </c>
      <c r="C21" t="str">
        <f t="shared" si="0"/>
        <v>Player 020</v>
      </c>
      <c r="D21">
        <v>53.121381462312101</v>
      </c>
    </row>
    <row r="22" spans="1:4" x14ac:dyDescent="0.25">
      <c r="A22">
        <v>1224</v>
      </c>
      <c r="B22">
        <v>21</v>
      </c>
      <c r="C22" t="str">
        <f t="shared" si="0"/>
        <v>Player 021</v>
      </c>
      <c r="D22">
        <v>31.865570319625199</v>
      </c>
    </row>
    <row r="23" spans="1:4" x14ac:dyDescent="0.25">
      <c r="A23">
        <v>1225</v>
      </c>
      <c r="B23">
        <v>22</v>
      </c>
      <c r="C23" t="str">
        <f t="shared" si="0"/>
        <v>Player 022</v>
      </c>
      <c r="D23">
        <v>77.038732536753002</v>
      </c>
    </row>
    <row r="24" spans="1:4" x14ac:dyDescent="0.25">
      <c r="A24">
        <v>1232</v>
      </c>
      <c r="B24">
        <v>23</v>
      </c>
      <c r="C24" t="str">
        <f t="shared" si="0"/>
        <v>Player 023</v>
      </c>
      <c r="D24">
        <v>110.63542110956401</v>
      </c>
    </row>
    <row r="25" spans="1:4" x14ac:dyDescent="0.25">
      <c r="A25">
        <v>1235</v>
      </c>
      <c r="B25">
        <v>24</v>
      </c>
      <c r="C25" t="str">
        <f t="shared" si="0"/>
        <v>Player 024</v>
      </c>
      <c r="D25">
        <v>98.406177982847794</v>
      </c>
    </row>
    <row r="26" spans="1:4" x14ac:dyDescent="0.25">
      <c r="A26">
        <v>1249</v>
      </c>
      <c r="B26">
        <v>25</v>
      </c>
      <c r="C26" t="str">
        <f t="shared" si="0"/>
        <v>Player 025</v>
      </c>
      <c r="D26">
        <v>82.251586841271603</v>
      </c>
    </row>
    <row r="27" spans="1:4" x14ac:dyDescent="0.25">
      <c r="A27">
        <v>1255</v>
      </c>
      <c r="B27">
        <v>26</v>
      </c>
      <c r="C27" t="str">
        <f t="shared" si="0"/>
        <v>Player 026</v>
      </c>
      <c r="D27">
        <v>51.5056496607599</v>
      </c>
    </row>
    <row r="28" spans="1:4" x14ac:dyDescent="0.25">
      <c r="A28">
        <v>1260</v>
      </c>
      <c r="B28">
        <v>27</v>
      </c>
      <c r="C28" t="str">
        <f t="shared" si="0"/>
        <v>Player 027</v>
      </c>
      <c r="D28">
        <v>74.188017327621907</v>
      </c>
    </row>
    <row r="29" spans="1:4" x14ac:dyDescent="0.25">
      <c r="A29">
        <v>1262</v>
      </c>
      <c r="B29">
        <v>28</v>
      </c>
      <c r="C29" t="str">
        <f t="shared" si="0"/>
        <v>Player 028</v>
      </c>
      <c r="D29">
        <v>29.1244841304255</v>
      </c>
    </row>
    <row r="30" spans="1:4" x14ac:dyDescent="0.25">
      <c r="A30">
        <v>1301</v>
      </c>
      <c r="B30">
        <v>29</v>
      </c>
      <c r="C30" t="str">
        <f t="shared" si="0"/>
        <v>Player 029</v>
      </c>
      <c r="D30">
        <v>87.894542428066998</v>
      </c>
    </row>
    <row r="31" spans="1:4" x14ac:dyDescent="0.25">
      <c r="A31">
        <v>1302</v>
      </c>
      <c r="B31">
        <v>30</v>
      </c>
      <c r="C31" t="str">
        <f t="shared" si="0"/>
        <v>Player 030</v>
      </c>
      <c r="D31">
        <v>92.509601889764994</v>
      </c>
    </row>
    <row r="32" spans="1:4" x14ac:dyDescent="0.25">
      <c r="A32">
        <v>1345</v>
      </c>
      <c r="B32">
        <v>31</v>
      </c>
      <c r="C32" t="str">
        <f t="shared" si="0"/>
        <v>Player 031</v>
      </c>
      <c r="D32">
        <v>116.503162290991</v>
      </c>
    </row>
    <row r="33" spans="1:4" x14ac:dyDescent="0.25">
      <c r="A33">
        <v>1364</v>
      </c>
      <c r="B33">
        <v>32</v>
      </c>
      <c r="C33" t="str">
        <f t="shared" si="0"/>
        <v>Player 032</v>
      </c>
      <c r="D33">
        <v>46.039735874507102</v>
      </c>
    </row>
    <row r="34" spans="1:4" x14ac:dyDescent="0.25">
      <c r="A34">
        <v>1384</v>
      </c>
      <c r="B34">
        <v>33</v>
      </c>
      <c r="C34" t="str">
        <f t="shared" si="0"/>
        <v>Player 033</v>
      </c>
      <c r="D34">
        <v>21.845641904302202</v>
      </c>
    </row>
    <row r="35" spans="1:4" x14ac:dyDescent="0.25">
      <c r="A35">
        <v>1391</v>
      </c>
      <c r="B35">
        <v>34</v>
      </c>
      <c r="C35" t="str">
        <f t="shared" si="0"/>
        <v>Player 034</v>
      </c>
      <c r="D35">
        <v>74.560846442715004</v>
      </c>
    </row>
    <row r="36" spans="1:4" x14ac:dyDescent="0.25">
      <c r="A36">
        <v>1395</v>
      </c>
      <c r="B36">
        <v>35</v>
      </c>
      <c r="C36" t="str">
        <f t="shared" si="0"/>
        <v>Player 035</v>
      </c>
      <c r="D36">
        <v>90.679050439681404</v>
      </c>
    </row>
    <row r="37" spans="1:4" x14ac:dyDescent="0.25">
      <c r="A37">
        <v>1404</v>
      </c>
      <c r="B37">
        <v>36</v>
      </c>
      <c r="C37" t="str">
        <f t="shared" si="0"/>
        <v>Player 036</v>
      </c>
      <c r="D37">
        <v>99.0407475882988</v>
      </c>
    </row>
    <row r="38" spans="1:4" x14ac:dyDescent="0.25">
      <c r="A38">
        <v>1412</v>
      </c>
      <c r="B38">
        <v>37</v>
      </c>
      <c r="C38" t="str">
        <f t="shared" si="0"/>
        <v>Player 037</v>
      </c>
      <c r="D38">
        <v>39.373893302481001</v>
      </c>
    </row>
    <row r="39" spans="1:4" x14ac:dyDescent="0.25">
      <c r="A39">
        <v>1417</v>
      </c>
      <c r="B39">
        <v>38</v>
      </c>
      <c r="C39" t="str">
        <f t="shared" si="0"/>
        <v>Player 038</v>
      </c>
      <c r="D39">
        <v>46.1752869037023</v>
      </c>
    </row>
    <row r="40" spans="1:4" x14ac:dyDescent="0.25">
      <c r="A40">
        <v>1419</v>
      </c>
      <c r="B40">
        <v>39</v>
      </c>
      <c r="C40" t="str">
        <f t="shared" si="0"/>
        <v>Player 039</v>
      </c>
      <c r="D40">
        <v>71.259092526729603</v>
      </c>
    </row>
    <row r="41" spans="1:4" x14ac:dyDescent="0.25">
      <c r="A41">
        <v>1466</v>
      </c>
      <c r="B41">
        <v>40</v>
      </c>
      <c r="C41" t="str">
        <f t="shared" si="0"/>
        <v>Player 040</v>
      </c>
      <c r="D41">
        <v>53.0600809970001</v>
      </c>
    </row>
    <row r="42" spans="1:4" x14ac:dyDescent="0.25">
      <c r="A42">
        <v>1502</v>
      </c>
      <c r="B42">
        <v>41</v>
      </c>
      <c r="C42" t="str">
        <f t="shared" si="0"/>
        <v>Player 041</v>
      </c>
      <c r="D42">
        <v>106.051148658744</v>
      </c>
    </row>
    <row r="43" spans="1:4" x14ac:dyDescent="0.25">
      <c r="A43">
        <v>1504</v>
      </c>
      <c r="B43">
        <v>42</v>
      </c>
      <c r="C43" t="str">
        <f t="shared" si="0"/>
        <v>Player 042</v>
      </c>
      <c r="D43">
        <v>67.376015373871994</v>
      </c>
    </row>
    <row r="44" spans="1:4" x14ac:dyDescent="0.25">
      <c r="A44">
        <v>1512</v>
      </c>
      <c r="B44">
        <v>43</v>
      </c>
      <c r="C44" t="str">
        <f t="shared" si="0"/>
        <v>Player 043</v>
      </c>
      <c r="D44">
        <v>99.957864410200301</v>
      </c>
    </row>
    <row r="45" spans="1:4" x14ac:dyDescent="0.25">
      <c r="A45">
        <v>1523</v>
      </c>
      <c r="B45">
        <v>44</v>
      </c>
      <c r="C45" t="str">
        <f t="shared" si="0"/>
        <v>Player 044</v>
      </c>
      <c r="D45">
        <v>78.061976048235294</v>
      </c>
    </row>
    <row r="46" spans="1:4" x14ac:dyDescent="0.25">
      <c r="A46">
        <v>1536</v>
      </c>
      <c r="B46">
        <v>45</v>
      </c>
      <c r="C46" t="str">
        <f t="shared" si="0"/>
        <v>Player 045</v>
      </c>
      <c r="D46">
        <v>97.309014161711204</v>
      </c>
    </row>
    <row r="47" spans="1:4" x14ac:dyDescent="0.25">
      <c r="A47">
        <v>1537</v>
      </c>
      <c r="B47">
        <v>46</v>
      </c>
      <c r="C47" t="str">
        <f t="shared" si="0"/>
        <v>Player 046</v>
      </c>
      <c r="D47">
        <v>53.267298653032299</v>
      </c>
    </row>
    <row r="48" spans="1:4" x14ac:dyDescent="0.25">
      <c r="A48">
        <v>1539</v>
      </c>
      <c r="B48">
        <v>47</v>
      </c>
      <c r="C48" t="str">
        <f t="shared" si="0"/>
        <v>Player 047</v>
      </c>
      <c r="D48">
        <v>103.141662193031</v>
      </c>
    </row>
    <row r="49" spans="1:4" x14ac:dyDescent="0.25">
      <c r="A49">
        <v>1559</v>
      </c>
      <c r="B49">
        <v>48</v>
      </c>
      <c r="C49" t="str">
        <f t="shared" si="0"/>
        <v>Player 048</v>
      </c>
      <c r="D49">
        <v>47.457231555102098</v>
      </c>
    </row>
    <row r="50" spans="1:4" x14ac:dyDescent="0.25">
      <c r="A50">
        <v>1569</v>
      </c>
      <c r="B50">
        <v>49</v>
      </c>
      <c r="C50" t="str">
        <f t="shared" si="0"/>
        <v>Player 049</v>
      </c>
      <c r="D50">
        <v>74.609880800328995</v>
      </c>
    </row>
    <row r="51" spans="1:4" x14ac:dyDescent="0.25">
      <c r="A51">
        <v>1574</v>
      </c>
      <c r="B51">
        <v>50</v>
      </c>
      <c r="C51" t="str">
        <f t="shared" si="0"/>
        <v>Player 050</v>
      </c>
      <c r="D51">
        <v>41.400711317387398</v>
      </c>
    </row>
    <row r="52" spans="1:4" x14ac:dyDescent="0.25">
      <c r="A52">
        <v>1580</v>
      </c>
      <c r="B52">
        <v>51</v>
      </c>
      <c r="C52" t="str">
        <f t="shared" si="0"/>
        <v>Player 051</v>
      </c>
      <c r="D52">
        <v>67.552652162619296</v>
      </c>
    </row>
    <row r="53" spans="1:4" x14ac:dyDescent="0.25">
      <c r="A53">
        <v>1600</v>
      </c>
      <c r="B53">
        <v>52</v>
      </c>
      <c r="C53" t="str">
        <f t="shared" si="0"/>
        <v>Player 052</v>
      </c>
      <c r="D53">
        <v>51.817520950870303</v>
      </c>
    </row>
    <row r="54" spans="1:4" x14ac:dyDescent="0.25">
      <c r="A54">
        <v>1606</v>
      </c>
      <c r="B54">
        <v>53</v>
      </c>
      <c r="C54" t="str">
        <f t="shared" si="0"/>
        <v>Player 053</v>
      </c>
      <c r="D54">
        <v>46.670343063721397</v>
      </c>
    </row>
    <row r="55" spans="1:4" x14ac:dyDescent="0.25">
      <c r="A55">
        <v>1635</v>
      </c>
      <c r="B55">
        <v>54</v>
      </c>
      <c r="C55" t="str">
        <f t="shared" si="0"/>
        <v>Player 054</v>
      </c>
      <c r="D55">
        <v>116.69850180280299</v>
      </c>
    </row>
    <row r="56" spans="1:4" x14ac:dyDescent="0.25">
      <c r="A56">
        <v>1638</v>
      </c>
      <c r="B56">
        <v>55</v>
      </c>
      <c r="C56" t="str">
        <f t="shared" si="0"/>
        <v>Player 055</v>
      </c>
      <c r="D56">
        <v>36.007410548673001</v>
      </c>
    </row>
    <row r="57" spans="1:4" x14ac:dyDescent="0.25">
      <c r="A57">
        <v>1659</v>
      </c>
      <c r="B57">
        <v>56</v>
      </c>
      <c r="C57" t="str">
        <f t="shared" si="0"/>
        <v>Player 056</v>
      </c>
      <c r="D57">
        <v>98.732583745739504</v>
      </c>
    </row>
    <row r="58" spans="1:4" x14ac:dyDescent="0.25">
      <c r="A58">
        <v>1663</v>
      </c>
      <c r="B58">
        <v>57</v>
      </c>
      <c r="C58" t="str">
        <f t="shared" si="0"/>
        <v>Player 057</v>
      </c>
      <c r="D58">
        <v>118.416495948321</v>
      </c>
    </row>
    <row r="59" spans="1:4" x14ac:dyDescent="0.25">
      <c r="A59">
        <v>1666</v>
      </c>
      <c r="B59">
        <v>58</v>
      </c>
      <c r="C59" t="str">
        <f t="shared" si="0"/>
        <v>Player 058</v>
      </c>
      <c r="D59">
        <v>21.990148374007699</v>
      </c>
    </row>
    <row r="60" spans="1:4" x14ac:dyDescent="0.25">
      <c r="A60">
        <v>1667</v>
      </c>
      <c r="B60">
        <v>59</v>
      </c>
      <c r="C60" t="str">
        <f t="shared" si="0"/>
        <v>Player 059</v>
      </c>
      <c r="D60">
        <v>89.902741404209493</v>
      </c>
    </row>
    <row r="61" spans="1:4" x14ac:dyDescent="0.25">
      <c r="A61">
        <v>1671</v>
      </c>
      <c r="B61">
        <v>60</v>
      </c>
      <c r="C61" t="str">
        <f t="shared" si="0"/>
        <v>Player 060</v>
      </c>
      <c r="D61">
        <v>45.291180555628699</v>
      </c>
    </row>
    <row r="62" spans="1:4" x14ac:dyDescent="0.25">
      <c r="A62">
        <v>1688</v>
      </c>
      <c r="B62">
        <v>61</v>
      </c>
      <c r="C62" t="str">
        <f t="shared" si="0"/>
        <v>Player 061</v>
      </c>
      <c r="D62">
        <v>24.0487824328304</v>
      </c>
    </row>
    <row r="63" spans="1:4" x14ac:dyDescent="0.25">
      <c r="A63">
        <v>1698</v>
      </c>
      <c r="B63">
        <v>62</v>
      </c>
      <c r="C63" t="str">
        <f t="shared" si="0"/>
        <v>Player 062</v>
      </c>
      <c r="D63">
        <v>60.288957895663003</v>
      </c>
    </row>
    <row r="64" spans="1:4" x14ac:dyDescent="0.25">
      <c r="A64">
        <v>1699</v>
      </c>
      <c r="B64">
        <v>63</v>
      </c>
      <c r="C64" t="str">
        <f t="shared" si="0"/>
        <v>Player 063</v>
      </c>
      <c r="D64">
        <v>113.52178101708699</v>
      </c>
    </row>
    <row r="65" spans="1:4" x14ac:dyDescent="0.25">
      <c r="A65">
        <v>1716</v>
      </c>
      <c r="B65">
        <v>64</v>
      </c>
      <c r="C65" t="str">
        <f t="shared" si="0"/>
        <v>Player 064</v>
      </c>
      <c r="D65">
        <v>21.1765094366997</v>
      </c>
    </row>
    <row r="66" spans="1:4" x14ac:dyDescent="0.25">
      <c r="A66">
        <v>1717</v>
      </c>
      <c r="B66">
        <v>65</v>
      </c>
      <c r="C66" t="str">
        <f t="shared" si="0"/>
        <v>Player 065</v>
      </c>
      <c r="D66">
        <v>78.788569192978102</v>
      </c>
    </row>
    <row r="67" spans="1:4" x14ac:dyDescent="0.25">
      <c r="A67">
        <v>1728</v>
      </c>
      <c r="B67">
        <v>66</v>
      </c>
      <c r="C67" t="str">
        <f t="shared" ref="C67:C130" si="1">"Player "&amp;TEXT(B67,"000")</f>
        <v>Player 066</v>
      </c>
      <c r="D67">
        <v>70.139647859532403</v>
      </c>
    </row>
    <row r="68" spans="1:4" x14ac:dyDescent="0.25">
      <c r="A68">
        <v>1760</v>
      </c>
      <c r="B68">
        <v>67</v>
      </c>
      <c r="C68" t="str">
        <f t="shared" si="1"/>
        <v>Player 067</v>
      </c>
      <c r="D68">
        <v>107.338416437104</v>
      </c>
    </row>
    <row r="69" spans="1:4" x14ac:dyDescent="0.25">
      <c r="A69">
        <v>1768</v>
      </c>
      <c r="B69">
        <v>68</v>
      </c>
      <c r="C69" t="str">
        <f t="shared" si="1"/>
        <v>Player 068</v>
      </c>
      <c r="D69">
        <v>28.400171452062501</v>
      </c>
    </row>
    <row r="70" spans="1:4" x14ac:dyDescent="0.25">
      <c r="A70">
        <v>1769</v>
      </c>
      <c r="B70">
        <v>69</v>
      </c>
      <c r="C70" t="str">
        <f t="shared" si="1"/>
        <v>Player 069</v>
      </c>
      <c r="D70">
        <v>88.152602988664995</v>
      </c>
    </row>
    <row r="71" spans="1:4" x14ac:dyDescent="0.25">
      <c r="A71">
        <v>1770</v>
      </c>
      <c r="B71">
        <v>70</v>
      </c>
      <c r="C71" t="str">
        <f t="shared" si="1"/>
        <v>Player 070</v>
      </c>
      <c r="D71">
        <v>88.0109698433277</v>
      </c>
    </row>
    <row r="72" spans="1:4" x14ac:dyDescent="0.25">
      <c r="A72">
        <v>1775</v>
      </c>
      <c r="B72">
        <v>71</v>
      </c>
      <c r="C72" t="str">
        <f t="shared" si="1"/>
        <v>Player 071</v>
      </c>
      <c r="D72">
        <v>86.908001686228303</v>
      </c>
    </row>
    <row r="73" spans="1:4" x14ac:dyDescent="0.25">
      <c r="A73">
        <v>1784</v>
      </c>
      <c r="B73">
        <v>72</v>
      </c>
      <c r="C73" t="str">
        <f t="shared" si="1"/>
        <v>Player 072</v>
      </c>
      <c r="D73">
        <v>114.233449493503</v>
      </c>
    </row>
    <row r="74" spans="1:4" x14ac:dyDescent="0.25">
      <c r="A74">
        <v>1793</v>
      </c>
      <c r="B74">
        <v>73</v>
      </c>
      <c r="C74" t="str">
        <f t="shared" si="1"/>
        <v>Player 073</v>
      </c>
      <c r="D74">
        <v>102.30875290068801</v>
      </c>
    </row>
    <row r="75" spans="1:4" x14ac:dyDescent="0.25">
      <c r="A75">
        <v>1814</v>
      </c>
      <c r="B75">
        <v>74</v>
      </c>
      <c r="C75" t="str">
        <f t="shared" si="1"/>
        <v>Player 074</v>
      </c>
      <c r="D75">
        <v>24.1972726243506</v>
      </c>
    </row>
    <row r="76" spans="1:4" x14ac:dyDescent="0.25">
      <c r="A76">
        <v>1823</v>
      </c>
      <c r="B76">
        <v>75</v>
      </c>
      <c r="C76" t="str">
        <f t="shared" si="1"/>
        <v>Player 075</v>
      </c>
      <c r="D76">
        <v>67.108285070451302</v>
      </c>
    </row>
    <row r="77" spans="1:4" x14ac:dyDescent="0.25">
      <c r="A77">
        <v>1825</v>
      </c>
      <c r="B77">
        <v>76</v>
      </c>
      <c r="C77" t="str">
        <f t="shared" si="1"/>
        <v>Player 076</v>
      </c>
      <c r="D77">
        <v>59.795305620133298</v>
      </c>
    </row>
    <row r="78" spans="1:4" x14ac:dyDescent="0.25">
      <c r="A78">
        <v>1827</v>
      </c>
      <c r="B78">
        <v>77</v>
      </c>
      <c r="C78" t="str">
        <f t="shared" si="1"/>
        <v>Player 077</v>
      </c>
      <c r="D78">
        <v>51.014722109080203</v>
      </c>
    </row>
    <row r="79" spans="1:4" x14ac:dyDescent="0.25">
      <c r="A79">
        <v>1830</v>
      </c>
      <c r="B79">
        <v>78</v>
      </c>
      <c r="C79" t="str">
        <f t="shared" si="1"/>
        <v>Player 078</v>
      </c>
      <c r="D79">
        <v>65.1336725154097</v>
      </c>
    </row>
    <row r="80" spans="1:4" x14ac:dyDescent="0.25">
      <c r="A80">
        <v>1846</v>
      </c>
      <c r="B80">
        <v>79</v>
      </c>
      <c r="C80" t="str">
        <f t="shared" si="1"/>
        <v>Player 079</v>
      </c>
      <c r="D80">
        <v>58.4194184925977</v>
      </c>
    </row>
    <row r="81" spans="1:4" x14ac:dyDescent="0.25">
      <c r="A81">
        <v>1851</v>
      </c>
      <c r="B81">
        <v>80</v>
      </c>
      <c r="C81" t="str">
        <f t="shared" si="1"/>
        <v>Player 080</v>
      </c>
      <c r="D81">
        <v>63.233389987866502</v>
      </c>
    </row>
    <row r="82" spans="1:4" x14ac:dyDescent="0.25">
      <c r="A82">
        <v>1853</v>
      </c>
      <c r="B82">
        <v>81</v>
      </c>
      <c r="C82" t="str">
        <f t="shared" si="1"/>
        <v>Player 081</v>
      </c>
      <c r="D82">
        <v>117.926186560864</v>
      </c>
    </row>
    <row r="83" spans="1:4" x14ac:dyDescent="0.25">
      <c r="A83">
        <v>1854</v>
      </c>
      <c r="B83">
        <v>82</v>
      </c>
      <c r="C83" t="str">
        <f t="shared" si="1"/>
        <v>Player 082</v>
      </c>
      <c r="D83">
        <v>28.863297474957999</v>
      </c>
    </row>
    <row r="84" spans="1:4" x14ac:dyDescent="0.25">
      <c r="A84">
        <v>1860</v>
      </c>
      <c r="B84">
        <v>83</v>
      </c>
      <c r="C84" t="str">
        <f t="shared" si="1"/>
        <v>Player 083</v>
      </c>
      <c r="D84">
        <v>112.22308698387199</v>
      </c>
    </row>
    <row r="85" spans="1:4" x14ac:dyDescent="0.25">
      <c r="A85">
        <v>1863</v>
      </c>
      <c r="B85">
        <v>84</v>
      </c>
      <c r="C85" t="str">
        <f t="shared" si="1"/>
        <v>Player 084</v>
      </c>
      <c r="D85">
        <v>68.023671347102606</v>
      </c>
    </row>
    <row r="86" spans="1:4" x14ac:dyDescent="0.25">
      <c r="A86">
        <v>1876</v>
      </c>
      <c r="B86">
        <v>85</v>
      </c>
      <c r="C86" t="str">
        <f t="shared" si="1"/>
        <v>Player 085</v>
      </c>
      <c r="D86">
        <v>82.374224549954107</v>
      </c>
    </row>
    <row r="87" spans="1:4" x14ac:dyDescent="0.25">
      <c r="A87">
        <v>1878</v>
      </c>
      <c r="B87">
        <v>86</v>
      </c>
      <c r="C87" t="str">
        <f t="shared" si="1"/>
        <v>Player 086</v>
      </c>
      <c r="D87">
        <v>103.018296661769</v>
      </c>
    </row>
    <row r="88" spans="1:4" x14ac:dyDescent="0.25">
      <c r="A88">
        <v>1918</v>
      </c>
      <c r="B88">
        <v>87</v>
      </c>
      <c r="C88" t="str">
        <f t="shared" si="1"/>
        <v>Player 087</v>
      </c>
      <c r="D88">
        <v>56.046302914925498</v>
      </c>
    </row>
    <row r="89" spans="1:4" x14ac:dyDescent="0.25">
      <c r="A89">
        <v>1922</v>
      </c>
      <c r="B89">
        <v>88</v>
      </c>
      <c r="C89" t="str">
        <f t="shared" si="1"/>
        <v>Player 088</v>
      </c>
      <c r="D89">
        <v>63.042190808796597</v>
      </c>
    </row>
    <row r="90" spans="1:4" x14ac:dyDescent="0.25">
      <c r="A90">
        <v>1924</v>
      </c>
      <c r="B90">
        <v>89</v>
      </c>
      <c r="C90" t="str">
        <f t="shared" si="1"/>
        <v>Player 089</v>
      </c>
      <c r="D90">
        <v>60.9518480278713</v>
      </c>
    </row>
    <row r="91" spans="1:4" x14ac:dyDescent="0.25">
      <c r="A91">
        <v>1928</v>
      </c>
      <c r="B91">
        <v>90</v>
      </c>
      <c r="C91" t="str">
        <f t="shared" si="1"/>
        <v>Player 090</v>
      </c>
      <c r="D91">
        <v>57.473102253575902</v>
      </c>
    </row>
    <row r="92" spans="1:4" x14ac:dyDescent="0.25">
      <c r="A92">
        <v>1950</v>
      </c>
      <c r="B92">
        <v>91</v>
      </c>
      <c r="C92" t="str">
        <f t="shared" si="1"/>
        <v>Player 091</v>
      </c>
      <c r="D92">
        <v>112.552932164689</v>
      </c>
    </row>
    <row r="93" spans="1:4" x14ac:dyDescent="0.25">
      <c r="A93">
        <v>1951</v>
      </c>
      <c r="B93">
        <v>92</v>
      </c>
      <c r="C93" t="str">
        <f t="shared" si="1"/>
        <v>Player 092</v>
      </c>
      <c r="D93">
        <v>102.89298911930101</v>
      </c>
    </row>
    <row r="94" spans="1:4" x14ac:dyDescent="0.25">
      <c r="A94">
        <v>1953</v>
      </c>
      <c r="B94">
        <v>93</v>
      </c>
      <c r="C94" t="str">
        <f t="shared" si="1"/>
        <v>Player 093</v>
      </c>
      <c r="D94">
        <v>30.8999989862976</v>
      </c>
    </row>
    <row r="95" spans="1:4" x14ac:dyDescent="0.25">
      <c r="A95">
        <v>1956</v>
      </c>
      <c r="B95">
        <v>94</v>
      </c>
      <c r="C95" t="str">
        <f t="shared" si="1"/>
        <v>Player 094</v>
      </c>
      <c r="D95">
        <v>30.812335247709601</v>
      </c>
    </row>
    <row r="96" spans="1:4" x14ac:dyDescent="0.25">
      <c r="A96">
        <v>1966</v>
      </c>
      <c r="B96">
        <v>95</v>
      </c>
      <c r="C96" t="str">
        <f t="shared" si="1"/>
        <v>Player 095</v>
      </c>
      <c r="D96">
        <v>62.786951485299099</v>
      </c>
    </row>
    <row r="97" spans="1:4" x14ac:dyDescent="0.25">
      <c r="A97">
        <v>1980</v>
      </c>
      <c r="B97">
        <v>96</v>
      </c>
      <c r="C97" t="str">
        <f t="shared" si="1"/>
        <v>Player 096</v>
      </c>
      <c r="D97">
        <v>29.865737673280901</v>
      </c>
    </row>
    <row r="98" spans="1:4" x14ac:dyDescent="0.25">
      <c r="A98">
        <v>1984</v>
      </c>
      <c r="B98">
        <v>97</v>
      </c>
      <c r="C98" t="str">
        <f t="shared" si="1"/>
        <v>Player 097</v>
      </c>
      <c r="D98">
        <v>81.909309527111901</v>
      </c>
    </row>
    <row r="99" spans="1:4" x14ac:dyDescent="0.25">
      <c r="A99">
        <v>1995</v>
      </c>
      <c r="B99">
        <v>98</v>
      </c>
      <c r="C99" t="str">
        <f t="shared" si="1"/>
        <v>Player 098</v>
      </c>
      <c r="D99">
        <v>34.369160726173298</v>
      </c>
    </row>
    <row r="100" spans="1:4" x14ac:dyDescent="0.25">
      <c r="A100">
        <v>2015</v>
      </c>
      <c r="B100">
        <v>99</v>
      </c>
      <c r="C100" t="str">
        <f t="shared" si="1"/>
        <v>Player 099</v>
      </c>
      <c r="D100">
        <v>72.237326396680103</v>
      </c>
    </row>
    <row r="101" spans="1:4" x14ac:dyDescent="0.25">
      <c r="A101">
        <v>2016</v>
      </c>
      <c r="B101">
        <v>100</v>
      </c>
      <c r="C101" t="str">
        <f t="shared" si="1"/>
        <v>Player 100</v>
      </c>
      <c r="D101">
        <v>20.721994700371699</v>
      </c>
    </row>
    <row r="102" spans="1:4" x14ac:dyDescent="0.25">
      <c r="A102">
        <v>2021</v>
      </c>
      <c r="B102">
        <v>101</v>
      </c>
      <c r="C102" t="str">
        <f t="shared" si="1"/>
        <v>Player 101</v>
      </c>
      <c r="D102">
        <v>51.659634841264598</v>
      </c>
    </row>
    <row r="103" spans="1:4" x14ac:dyDescent="0.25">
      <c r="A103">
        <v>2028</v>
      </c>
      <c r="B103">
        <v>102</v>
      </c>
      <c r="C103" t="str">
        <f t="shared" si="1"/>
        <v>Player 102</v>
      </c>
      <c r="D103">
        <v>87.719072367265497</v>
      </c>
    </row>
    <row r="104" spans="1:4" x14ac:dyDescent="0.25">
      <c r="A104">
        <v>2045</v>
      </c>
      <c r="B104">
        <v>103</v>
      </c>
      <c r="C104" t="str">
        <f t="shared" si="1"/>
        <v>Player 103</v>
      </c>
      <c r="D104">
        <v>68.403894022784797</v>
      </c>
    </row>
    <row r="105" spans="1:4" x14ac:dyDescent="0.25">
      <c r="A105">
        <v>2059</v>
      </c>
      <c r="B105">
        <v>104</v>
      </c>
      <c r="C105" t="str">
        <f t="shared" si="1"/>
        <v>Player 104</v>
      </c>
      <c r="D105">
        <v>117.826948599898</v>
      </c>
    </row>
    <row r="106" spans="1:4" x14ac:dyDescent="0.25">
      <c r="A106">
        <v>2060</v>
      </c>
      <c r="B106">
        <v>105</v>
      </c>
      <c r="C106" t="str">
        <f t="shared" si="1"/>
        <v>Player 105</v>
      </c>
      <c r="D106">
        <v>107.41037960662101</v>
      </c>
    </row>
    <row r="107" spans="1:4" x14ac:dyDescent="0.25">
      <c r="A107">
        <v>2062</v>
      </c>
      <c r="B107">
        <v>106</v>
      </c>
      <c r="C107" t="str">
        <f t="shared" si="1"/>
        <v>Player 106</v>
      </c>
      <c r="D107">
        <v>55.907077904315102</v>
      </c>
    </row>
    <row r="108" spans="1:4" x14ac:dyDescent="0.25">
      <c r="A108">
        <v>2063</v>
      </c>
      <c r="B108">
        <v>107</v>
      </c>
      <c r="C108" t="str">
        <f t="shared" si="1"/>
        <v>Player 107</v>
      </c>
      <c r="D108">
        <v>24.548654147227399</v>
      </c>
    </row>
    <row r="109" spans="1:4" x14ac:dyDescent="0.25">
      <c r="A109">
        <v>2065</v>
      </c>
      <c r="B109">
        <v>108</v>
      </c>
      <c r="C109" t="str">
        <f t="shared" si="1"/>
        <v>Player 108</v>
      </c>
      <c r="D109">
        <v>104.562630011501</v>
      </c>
    </row>
    <row r="110" spans="1:4" x14ac:dyDescent="0.25">
      <c r="A110">
        <v>2066</v>
      </c>
      <c r="B110">
        <v>109</v>
      </c>
      <c r="C110" t="str">
        <f t="shared" si="1"/>
        <v>Player 109</v>
      </c>
      <c r="D110">
        <v>111.12343103146701</v>
      </c>
    </row>
    <row r="111" spans="1:4" x14ac:dyDescent="0.25">
      <c r="A111">
        <v>2069</v>
      </c>
      <c r="B111">
        <v>110</v>
      </c>
      <c r="C111" t="str">
        <f t="shared" si="1"/>
        <v>Player 110</v>
      </c>
      <c r="D111">
        <v>102.062739341903</v>
      </c>
    </row>
    <row r="112" spans="1:4" x14ac:dyDescent="0.25">
      <c r="A112">
        <v>2077</v>
      </c>
      <c r="B112">
        <v>111</v>
      </c>
      <c r="C112" t="str">
        <f t="shared" si="1"/>
        <v>Player 111</v>
      </c>
      <c r="D112">
        <v>32.794994091976399</v>
      </c>
    </row>
    <row r="113" spans="1:4" x14ac:dyDescent="0.25">
      <c r="A113">
        <v>2081</v>
      </c>
      <c r="B113">
        <v>112</v>
      </c>
      <c r="C113" t="str">
        <f t="shared" si="1"/>
        <v>Player 112</v>
      </c>
      <c r="D113">
        <v>119.79151344122801</v>
      </c>
    </row>
    <row r="114" spans="1:4" x14ac:dyDescent="0.25">
      <c r="A114">
        <v>2120</v>
      </c>
      <c r="B114">
        <v>113</v>
      </c>
      <c r="C114" t="str">
        <f t="shared" si="1"/>
        <v>Player 113</v>
      </c>
      <c r="D114">
        <v>45.858422155277303</v>
      </c>
    </row>
    <row r="115" spans="1:4" x14ac:dyDescent="0.25">
      <c r="A115">
        <v>2122</v>
      </c>
      <c r="B115">
        <v>114</v>
      </c>
      <c r="C115" t="str">
        <f t="shared" si="1"/>
        <v>Player 114</v>
      </c>
      <c r="D115">
        <v>92.420491280836998</v>
      </c>
    </row>
    <row r="116" spans="1:4" x14ac:dyDescent="0.25">
      <c r="A116">
        <v>2148</v>
      </c>
      <c r="B116">
        <v>115</v>
      </c>
      <c r="C116" t="str">
        <f t="shared" si="1"/>
        <v>Player 115</v>
      </c>
      <c r="D116">
        <v>110.803487633572</v>
      </c>
    </row>
    <row r="117" spans="1:4" x14ac:dyDescent="0.25">
      <c r="A117">
        <v>2150</v>
      </c>
      <c r="B117">
        <v>116</v>
      </c>
      <c r="C117" t="str">
        <f t="shared" si="1"/>
        <v>Player 116</v>
      </c>
      <c r="D117">
        <v>43.568711433070902</v>
      </c>
    </row>
    <row r="118" spans="1:4" x14ac:dyDescent="0.25">
      <c r="A118">
        <v>2154</v>
      </c>
      <c r="B118">
        <v>117</v>
      </c>
      <c r="C118" t="str">
        <f t="shared" si="1"/>
        <v>Player 117</v>
      </c>
      <c r="D118">
        <v>110.82585546770601</v>
      </c>
    </row>
    <row r="119" spans="1:4" x14ac:dyDescent="0.25">
      <c r="A119">
        <v>2167</v>
      </c>
      <c r="B119">
        <v>118</v>
      </c>
      <c r="C119" t="str">
        <f t="shared" si="1"/>
        <v>Player 118</v>
      </c>
      <c r="D119">
        <v>50.948157919486697</v>
      </c>
    </row>
    <row r="120" spans="1:4" x14ac:dyDescent="0.25">
      <c r="A120">
        <v>2184</v>
      </c>
      <c r="B120">
        <v>119</v>
      </c>
      <c r="C120" t="str">
        <f t="shared" si="1"/>
        <v>Player 119</v>
      </c>
      <c r="D120">
        <v>117.641322238405</v>
      </c>
    </row>
    <row r="121" spans="1:4" x14ac:dyDescent="0.25">
      <c r="A121">
        <v>2191</v>
      </c>
      <c r="B121">
        <v>120</v>
      </c>
      <c r="C121" t="str">
        <f t="shared" si="1"/>
        <v>Player 120</v>
      </c>
      <c r="D121">
        <v>48.126002038047403</v>
      </c>
    </row>
    <row r="122" spans="1:4" x14ac:dyDescent="0.25">
      <c r="A122">
        <v>2202</v>
      </c>
      <c r="B122">
        <v>121</v>
      </c>
      <c r="C122" t="str">
        <f t="shared" si="1"/>
        <v>Player 121</v>
      </c>
      <c r="D122">
        <v>115.34358247578299</v>
      </c>
    </row>
    <row r="123" spans="1:4" x14ac:dyDescent="0.25">
      <c r="A123">
        <v>2205</v>
      </c>
      <c r="B123">
        <v>122</v>
      </c>
      <c r="C123" t="str">
        <f t="shared" si="1"/>
        <v>Player 122</v>
      </c>
      <c r="D123">
        <v>25.3544650892674</v>
      </c>
    </row>
    <row r="124" spans="1:4" x14ac:dyDescent="0.25">
      <c r="A124">
        <v>2214</v>
      </c>
      <c r="B124">
        <v>123</v>
      </c>
      <c r="C124" t="str">
        <f t="shared" si="1"/>
        <v>Player 123</v>
      </c>
      <c r="D124">
        <v>90.927201166981305</v>
      </c>
    </row>
    <row r="125" spans="1:4" x14ac:dyDescent="0.25">
      <c r="A125">
        <v>2218</v>
      </c>
      <c r="B125">
        <v>124</v>
      </c>
      <c r="C125" t="str">
        <f t="shared" si="1"/>
        <v>Player 124</v>
      </c>
      <c r="D125">
        <v>73.211113383700294</v>
      </c>
    </row>
    <row r="126" spans="1:4" x14ac:dyDescent="0.25">
      <c r="A126">
        <v>2248</v>
      </c>
      <c r="B126">
        <v>125</v>
      </c>
      <c r="C126" t="str">
        <f t="shared" si="1"/>
        <v>Player 125</v>
      </c>
      <c r="D126">
        <v>67.787707712273004</v>
      </c>
    </row>
    <row r="127" spans="1:4" x14ac:dyDescent="0.25">
      <c r="A127">
        <v>2252</v>
      </c>
      <c r="B127">
        <v>126</v>
      </c>
      <c r="C127" t="str">
        <f t="shared" si="1"/>
        <v>Player 126</v>
      </c>
      <c r="D127">
        <v>42.349431425584001</v>
      </c>
    </row>
    <row r="128" spans="1:4" x14ac:dyDescent="0.25">
      <c r="A128">
        <v>2256</v>
      </c>
      <c r="B128">
        <v>127</v>
      </c>
      <c r="C128" t="str">
        <f t="shared" si="1"/>
        <v>Player 127</v>
      </c>
      <c r="D128">
        <v>90.559578977649196</v>
      </c>
    </row>
    <row r="129" spans="1:4" x14ac:dyDescent="0.25">
      <c r="A129">
        <v>2267</v>
      </c>
      <c r="B129">
        <v>128</v>
      </c>
      <c r="C129" t="str">
        <f t="shared" si="1"/>
        <v>Player 128</v>
      </c>
      <c r="D129">
        <v>39.080949144630701</v>
      </c>
    </row>
    <row r="130" spans="1:4" x14ac:dyDescent="0.25">
      <c r="A130">
        <v>2276</v>
      </c>
      <c r="B130">
        <v>129</v>
      </c>
      <c r="C130" t="str">
        <f t="shared" si="1"/>
        <v>Player 129</v>
      </c>
      <c r="D130">
        <v>75.284179598476797</v>
      </c>
    </row>
    <row r="131" spans="1:4" x14ac:dyDescent="0.25">
      <c r="A131">
        <v>2291</v>
      </c>
      <c r="B131">
        <v>130</v>
      </c>
      <c r="C131" t="str">
        <f t="shared" ref="C131:C194" si="2">"Player "&amp;TEXT(B131,"000")</f>
        <v>Player 130</v>
      </c>
      <c r="D131">
        <v>45.324536304025003</v>
      </c>
    </row>
    <row r="132" spans="1:4" x14ac:dyDescent="0.25">
      <c r="A132">
        <v>2296</v>
      </c>
      <c r="B132">
        <v>131</v>
      </c>
      <c r="C132" t="str">
        <f t="shared" si="2"/>
        <v>Player 131</v>
      </c>
      <c r="D132">
        <v>115.562137978135</v>
      </c>
    </row>
    <row r="133" spans="1:4" x14ac:dyDescent="0.25">
      <c r="A133">
        <v>2306</v>
      </c>
      <c r="B133">
        <v>132</v>
      </c>
      <c r="C133" t="str">
        <f t="shared" si="2"/>
        <v>Player 132</v>
      </c>
      <c r="D133">
        <v>22.863119383565198</v>
      </c>
    </row>
    <row r="134" spans="1:4" x14ac:dyDescent="0.25">
      <c r="A134">
        <v>2324</v>
      </c>
      <c r="B134">
        <v>133</v>
      </c>
      <c r="C134" t="str">
        <f t="shared" si="2"/>
        <v>Player 133</v>
      </c>
      <c r="D134">
        <v>39.972828011123603</v>
      </c>
    </row>
    <row r="135" spans="1:4" x14ac:dyDescent="0.25">
      <c r="A135">
        <v>2331</v>
      </c>
      <c r="B135">
        <v>134</v>
      </c>
      <c r="C135" t="str">
        <f t="shared" si="2"/>
        <v>Player 134</v>
      </c>
      <c r="D135">
        <v>44.231060638744701</v>
      </c>
    </row>
    <row r="136" spans="1:4" x14ac:dyDescent="0.25">
      <c r="A136">
        <v>2342</v>
      </c>
      <c r="B136">
        <v>135</v>
      </c>
      <c r="C136" t="str">
        <f t="shared" si="2"/>
        <v>Player 135</v>
      </c>
      <c r="D136">
        <v>61.406782576781602</v>
      </c>
    </row>
    <row r="137" spans="1:4" x14ac:dyDescent="0.25">
      <c r="A137">
        <v>2353</v>
      </c>
      <c r="B137">
        <v>136</v>
      </c>
      <c r="C137" t="str">
        <f t="shared" si="2"/>
        <v>Player 136</v>
      </c>
      <c r="D137">
        <v>43.273024187005298</v>
      </c>
    </row>
    <row r="138" spans="1:4" x14ac:dyDescent="0.25">
      <c r="A138">
        <v>2365</v>
      </c>
      <c r="B138">
        <v>137</v>
      </c>
      <c r="C138" t="str">
        <f t="shared" si="2"/>
        <v>Player 137</v>
      </c>
      <c r="D138">
        <v>69.134909026878503</v>
      </c>
    </row>
    <row r="139" spans="1:4" x14ac:dyDescent="0.25">
      <c r="A139">
        <v>2409</v>
      </c>
      <c r="B139">
        <v>138</v>
      </c>
      <c r="C139" t="str">
        <f t="shared" si="2"/>
        <v>Player 138</v>
      </c>
      <c r="D139">
        <v>107.246552325853</v>
      </c>
    </row>
    <row r="140" spans="1:4" x14ac:dyDescent="0.25">
      <c r="A140">
        <v>2460</v>
      </c>
      <c r="B140">
        <v>139</v>
      </c>
      <c r="C140" t="str">
        <f t="shared" si="2"/>
        <v>Player 139</v>
      </c>
      <c r="D140">
        <v>91.206342140917002</v>
      </c>
    </row>
    <row r="141" spans="1:4" x14ac:dyDescent="0.25">
      <c r="A141">
        <v>2484</v>
      </c>
      <c r="B141">
        <v>140</v>
      </c>
      <c r="C141" t="str">
        <f t="shared" si="2"/>
        <v>Player 140</v>
      </c>
      <c r="D141">
        <v>77.996198053511094</v>
      </c>
    </row>
    <row r="142" spans="1:4" x14ac:dyDescent="0.25">
      <c r="A142">
        <v>2495</v>
      </c>
      <c r="B142">
        <v>141</v>
      </c>
      <c r="C142" t="str">
        <f t="shared" si="2"/>
        <v>Player 141</v>
      </c>
      <c r="D142">
        <v>28.900317798267899</v>
      </c>
    </row>
    <row r="143" spans="1:4" x14ac:dyDescent="0.25">
      <c r="A143">
        <v>2528</v>
      </c>
      <c r="B143">
        <v>142</v>
      </c>
      <c r="C143" t="str">
        <f t="shared" si="2"/>
        <v>Player 142</v>
      </c>
      <c r="D143">
        <v>89.399210838927502</v>
      </c>
    </row>
    <row r="144" spans="1:4" x14ac:dyDescent="0.25">
      <c r="A144">
        <v>2531</v>
      </c>
      <c r="B144">
        <v>143</v>
      </c>
      <c r="C144" t="str">
        <f t="shared" si="2"/>
        <v>Player 143</v>
      </c>
      <c r="D144">
        <v>36.6414284310939</v>
      </c>
    </row>
    <row r="145" spans="1:4" x14ac:dyDescent="0.25">
      <c r="A145">
        <v>2540</v>
      </c>
      <c r="B145">
        <v>144</v>
      </c>
      <c r="C145" t="str">
        <f t="shared" si="2"/>
        <v>Player 144</v>
      </c>
      <c r="D145">
        <v>98.636738596169707</v>
      </c>
    </row>
    <row r="146" spans="1:4" x14ac:dyDescent="0.25">
      <c r="A146">
        <v>2542</v>
      </c>
      <c r="B146">
        <v>145</v>
      </c>
      <c r="C146" t="str">
        <f t="shared" si="2"/>
        <v>Player 145</v>
      </c>
      <c r="D146">
        <v>45.005675851015297</v>
      </c>
    </row>
    <row r="147" spans="1:4" x14ac:dyDescent="0.25">
      <c r="A147">
        <v>2571</v>
      </c>
      <c r="B147">
        <v>146</v>
      </c>
      <c r="C147" t="str">
        <f t="shared" si="2"/>
        <v>Player 146</v>
      </c>
      <c r="D147">
        <v>61.704872832089997</v>
      </c>
    </row>
    <row r="148" spans="1:4" x14ac:dyDescent="0.25">
      <c r="A148">
        <v>2581</v>
      </c>
      <c r="B148">
        <v>147</v>
      </c>
      <c r="C148" t="str">
        <f t="shared" si="2"/>
        <v>Player 147</v>
      </c>
      <c r="D148">
        <v>55.0470202317927</v>
      </c>
    </row>
    <row r="149" spans="1:4" x14ac:dyDescent="0.25">
      <c r="A149">
        <v>2585</v>
      </c>
      <c r="B149">
        <v>148</v>
      </c>
      <c r="C149" t="str">
        <f t="shared" si="2"/>
        <v>Player 148</v>
      </c>
      <c r="D149">
        <v>105.881391467485</v>
      </c>
    </row>
    <row r="150" spans="1:4" x14ac:dyDescent="0.25">
      <c r="A150">
        <v>2604</v>
      </c>
      <c r="B150">
        <v>149</v>
      </c>
      <c r="C150" t="str">
        <f t="shared" si="2"/>
        <v>Player 149</v>
      </c>
      <c r="D150">
        <v>32.654445871340798</v>
      </c>
    </row>
    <row r="151" spans="1:4" x14ac:dyDescent="0.25">
      <c r="A151">
        <v>2605</v>
      </c>
      <c r="B151">
        <v>150</v>
      </c>
      <c r="C151" t="str">
        <f t="shared" si="2"/>
        <v>Player 150</v>
      </c>
      <c r="D151">
        <v>76.564488238478802</v>
      </c>
    </row>
    <row r="152" spans="1:4" x14ac:dyDescent="0.25">
      <c r="A152">
        <v>2619</v>
      </c>
      <c r="B152">
        <v>151</v>
      </c>
      <c r="C152" t="str">
        <f t="shared" si="2"/>
        <v>Player 151</v>
      </c>
      <c r="D152">
        <v>34.206160944306198</v>
      </c>
    </row>
    <row r="153" spans="1:4" x14ac:dyDescent="0.25">
      <c r="A153">
        <v>2625</v>
      </c>
      <c r="B153">
        <v>152</v>
      </c>
      <c r="C153" t="str">
        <f t="shared" si="2"/>
        <v>Player 152</v>
      </c>
      <c r="D153">
        <v>90.479583613218594</v>
      </c>
    </row>
    <row r="154" spans="1:4" x14ac:dyDescent="0.25">
      <c r="A154">
        <v>2633</v>
      </c>
      <c r="B154">
        <v>153</v>
      </c>
      <c r="C154" t="str">
        <f t="shared" si="2"/>
        <v>Player 153</v>
      </c>
      <c r="D154">
        <v>110.507812779448</v>
      </c>
    </row>
    <row r="155" spans="1:4" x14ac:dyDescent="0.25">
      <c r="A155">
        <v>2636</v>
      </c>
      <c r="B155">
        <v>154</v>
      </c>
      <c r="C155" t="str">
        <f t="shared" si="2"/>
        <v>Player 154</v>
      </c>
      <c r="D155">
        <v>63.460765386725299</v>
      </c>
    </row>
    <row r="156" spans="1:4" x14ac:dyDescent="0.25">
      <c r="A156">
        <v>2645</v>
      </c>
      <c r="B156">
        <v>155</v>
      </c>
      <c r="C156" t="str">
        <f t="shared" si="2"/>
        <v>Player 155</v>
      </c>
      <c r="D156">
        <v>68.809226026497498</v>
      </c>
    </row>
    <row r="157" spans="1:4" x14ac:dyDescent="0.25">
      <c r="A157">
        <v>2646</v>
      </c>
      <c r="B157">
        <v>156</v>
      </c>
      <c r="C157" t="str">
        <f t="shared" si="2"/>
        <v>Player 156</v>
      </c>
      <c r="D157">
        <v>112.742283648276</v>
      </c>
    </row>
    <row r="158" spans="1:4" x14ac:dyDescent="0.25">
      <c r="A158">
        <v>2648</v>
      </c>
      <c r="B158">
        <v>157</v>
      </c>
      <c r="C158" t="str">
        <f t="shared" si="2"/>
        <v>Player 157</v>
      </c>
      <c r="D158">
        <v>72.099138864935696</v>
      </c>
    </row>
    <row r="159" spans="1:4" x14ac:dyDescent="0.25">
      <c r="A159">
        <v>2663</v>
      </c>
      <c r="B159">
        <v>158</v>
      </c>
      <c r="C159" t="str">
        <f t="shared" si="2"/>
        <v>Player 158</v>
      </c>
      <c r="D159">
        <v>68.759843804956006</v>
      </c>
    </row>
    <row r="160" spans="1:4" x14ac:dyDescent="0.25">
      <c r="A160">
        <v>2664</v>
      </c>
      <c r="B160">
        <v>159</v>
      </c>
      <c r="C160" t="str">
        <f t="shared" si="2"/>
        <v>Player 159</v>
      </c>
      <c r="D160">
        <v>77.832910270430403</v>
      </c>
    </row>
    <row r="161" spans="1:4" x14ac:dyDescent="0.25">
      <c r="A161">
        <v>2678</v>
      </c>
      <c r="B161">
        <v>160</v>
      </c>
      <c r="C161" t="str">
        <f t="shared" si="2"/>
        <v>Player 160</v>
      </c>
      <c r="D161">
        <v>88.922973636295197</v>
      </c>
    </row>
    <row r="162" spans="1:4" x14ac:dyDescent="0.25">
      <c r="A162">
        <v>2679</v>
      </c>
      <c r="B162">
        <v>161</v>
      </c>
      <c r="C162" t="str">
        <f t="shared" si="2"/>
        <v>Player 161</v>
      </c>
      <c r="D162">
        <v>30.6883375087031</v>
      </c>
    </row>
    <row r="163" spans="1:4" x14ac:dyDescent="0.25">
      <c r="A163">
        <v>2685</v>
      </c>
      <c r="B163">
        <v>162</v>
      </c>
      <c r="C163" t="str">
        <f t="shared" si="2"/>
        <v>Player 162</v>
      </c>
      <c r="D163">
        <v>102.11105277415101</v>
      </c>
    </row>
    <row r="164" spans="1:4" x14ac:dyDescent="0.25">
      <c r="A164">
        <v>2686</v>
      </c>
      <c r="B164">
        <v>163</v>
      </c>
      <c r="C164" t="str">
        <f t="shared" si="2"/>
        <v>Player 163</v>
      </c>
      <c r="D164">
        <v>63.5505027453259</v>
      </c>
    </row>
    <row r="165" spans="1:4" x14ac:dyDescent="0.25">
      <c r="A165">
        <v>2687</v>
      </c>
      <c r="B165">
        <v>164</v>
      </c>
      <c r="C165" t="str">
        <f t="shared" si="2"/>
        <v>Player 164</v>
      </c>
      <c r="D165">
        <v>27.234850989748502</v>
      </c>
    </row>
    <row r="166" spans="1:4" x14ac:dyDescent="0.25">
      <c r="A166">
        <v>2693</v>
      </c>
      <c r="B166">
        <v>165</v>
      </c>
      <c r="C166" t="str">
        <f t="shared" si="2"/>
        <v>Player 165</v>
      </c>
      <c r="D166">
        <v>98.618266919821295</v>
      </c>
    </row>
    <row r="167" spans="1:4" x14ac:dyDescent="0.25">
      <c r="A167">
        <v>2707</v>
      </c>
      <c r="B167">
        <v>166</v>
      </c>
      <c r="C167" t="str">
        <f t="shared" si="2"/>
        <v>Player 166</v>
      </c>
      <c r="D167">
        <v>57.694997168627197</v>
      </c>
    </row>
    <row r="168" spans="1:4" x14ac:dyDescent="0.25">
      <c r="A168">
        <v>2733</v>
      </c>
      <c r="B168">
        <v>167</v>
      </c>
      <c r="C168" t="str">
        <f t="shared" si="2"/>
        <v>Player 167</v>
      </c>
      <c r="D168">
        <v>30.036749509505299</v>
      </c>
    </row>
    <row r="169" spans="1:4" x14ac:dyDescent="0.25">
      <c r="A169">
        <v>2734</v>
      </c>
      <c r="B169">
        <v>168</v>
      </c>
      <c r="C169" t="str">
        <f t="shared" si="2"/>
        <v>Player 168</v>
      </c>
      <c r="D169">
        <v>83.377903954325006</v>
      </c>
    </row>
    <row r="170" spans="1:4" x14ac:dyDescent="0.25">
      <c r="A170">
        <v>2757</v>
      </c>
      <c r="B170">
        <v>169</v>
      </c>
      <c r="C170" t="str">
        <f t="shared" si="2"/>
        <v>Player 169</v>
      </c>
      <c r="D170">
        <v>108.013135343364</v>
      </c>
    </row>
    <row r="171" spans="1:4" x14ac:dyDescent="0.25">
      <c r="A171">
        <v>2759</v>
      </c>
      <c r="B171">
        <v>170</v>
      </c>
      <c r="C171" t="str">
        <f t="shared" si="2"/>
        <v>Player 170</v>
      </c>
      <c r="D171">
        <v>108.775350941398</v>
      </c>
    </row>
    <row r="172" spans="1:4" x14ac:dyDescent="0.25">
      <c r="A172">
        <v>2761</v>
      </c>
      <c r="B172">
        <v>171</v>
      </c>
      <c r="C172" t="str">
        <f t="shared" si="2"/>
        <v>Player 171</v>
      </c>
      <c r="D172">
        <v>115.766347480897</v>
      </c>
    </row>
    <row r="173" spans="1:4" x14ac:dyDescent="0.25">
      <c r="A173">
        <v>2792</v>
      </c>
      <c r="B173">
        <v>172</v>
      </c>
      <c r="C173" t="str">
        <f t="shared" si="2"/>
        <v>Player 172</v>
      </c>
      <c r="D173">
        <v>106.770545976668</v>
      </c>
    </row>
    <row r="174" spans="1:4" x14ac:dyDescent="0.25">
      <c r="A174">
        <v>2802</v>
      </c>
      <c r="B174">
        <v>173</v>
      </c>
      <c r="C174" t="str">
        <f t="shared" si="2"/>
        <v>Player 173</v>
      </c>
      <c r="D174">
        <v>20.214091934547501</v>
      </c>
    </row>
    <row r="175" spans="1:4" x14ac:dyDescent="0.25">
      <c r="A175">
        <v>2810</v>
      </c>
      <c r="B175">
        <v>174</v>
      </c>
      <c r="C175" t="str">
        <f t="shared" si="2"/>
        <v>Player 174</v>
      </c>
      <c r="D175">
        <v>58.024116641338999</v>
      </c>
    </row>
    <row r="176" spans="1:4" x14ac:dyDescent="0.25">
      <c r="A176">
        <v>2816</v>
      </c>
      <c r="B176">
        <v>175</v>
      </c>
      <c r="C176" t="str">
        <f t="shared" si="2"/>
        <v>Player 175</v>
      </c>
      <c r="D176">
        <v>101.85425799055</v>
      </c>
    </row>
    <row r="177" spans="1:4" x14ac:dyDescent="0.25">
      <c r="A177">
        <v>2828</v>
      </c>
      <c r="B177">
        <v>176</v>
      </c>
      <c r="C177" t="str">
        <f t="shared" si="2"/>
        <v>Player 176</v>
      </c>
      <c r="D177">
        <v>56.625300599847399</v>
      </c>
    </row>
    <row r="178" spans="1:4" x14ac:dyDescent="0.25">
      <c r="A178">
        <v>2838</v>
      </c>
      <c r="B178">
        <v>177</v>
      </c>
      <c r="C178" t="str">
        <f t="shared" si="2"/>
        <v>Player 177</v>
      </c>
      <c r="D178">
        <v>80.154850637970597</v>
      </c>
    </row>
    <row r="179" spans="1:4" x14ac:dyDescent="0.25">
      <c r="A179">
        <v>2841</v>
      </c>
      <c r="B179">
        <v>178</v>
      </c>
      <c r="C179" t="str">
        <f t="shared" si="2"/>
        <v>Player 178</v>
      </c>
      <c r="D179">
        <v>80.631694737453202</v>
      </c>
    </row>
    <row r="180" spans="1:4" x14ac:dyDescent="0.25">
      <c r="A180">
        <v>2843</v>
      </c>
      <c r="B180">
        <v>179</v>
      </c>
      <c r="C180" t="str">
        <f t="shared" si="2"/>
        <v>Player 179</v>
      </c>
      <c r="D180">
        <v>56.502530403882297</v>
      </c>
    </row>
    <row r="181" spans="1:4" x14ac:dyDescent="0.25">
      <c r="A181">
        <v>2852</v>
      </c>
      <c r="B181">
        <v>180</v>
      </c>
      <c r="C181" t="str">
        <f t="shared" si="2"/>
        <v>Player 180</v>
      </c>
      <c r="D181">
        <v>110.44739272812799</v>
      </c>
    </row>
    <row r="182" spans="1:4" x14ac:dyDescent="0.25">
      <c r="A182">
        <v>2853</v>
      </c>
      <c r="B182">
        <v>181</v>
      </c>
      <c r="C182" t="str">
        <f t="shared" si="2"/>
        <v>Player 181</v>
      </c>
      <c r="D182">
        <v>70.322834538611701</v>
      </c>
    </row>
    <row r="183" spans="1:4" x14ac:dyDescent="0.25">
      <c r="A183">
        <v>2854</v>
      </c>
      <c r="B183">
        <v>182</v>
      </c>
      <c r="C183" t="str">
        <f t="shared" si="2"/>
        <v>Player 182</v>
      </c>
      <c r="D183">
        <v>66.478420593750002</v>
      </c>
    </row>
    <row r="184" spans="1:4" x14ac:dyDescent="0.25">
      <c r="A184">
        <v>2865</v>
      </c>
      <c r="B184">
        <v>183</v>
      </c>
      <c r="C184" t="str">
        <f t="shared" si="2"/>
        <v>Player 183</v>
      </c>
      <c r="D184">
        <v>119.751374566189</v>
      </c>
    </row>
    <row r="185" spans="1:4" x14ac:dyDescent="0.25">
      <c r="A185">
        <v>2887</v>
      </c>
      <c r="B185">
        <v>184</v>
      </c>
      <c r="C185" t="str">
        <f t="shared" si="2"/>
        <v>Player 184</v>
      </c>
      <c r="D185">
        <v>69.350036407261598</v>
      </c>
    </row>
    <row r="186" spans="1:4" x14ac:dyDescent="0.25">
      <c r="A186">
        <v>2895</v>
      </c>
      <c r="B186">
        <v>185</v>
      </c>
      <c r="C186" t="str">
        <f t="shared" si="2"/>
        <v>Player 185</v>
      </c>
      <c r="D186">
        <v>37.8398251928581</v>
      </c>
    </row>
    <row r="187" spans="1:4" x14ac:dyDescent="0.25">
      <c r="A187">
        <v>2899</v>
      </c>
      <c r="B187">
        <v>186</v>
      </c>
      <c r="C187" t="str">
        <f t="shared" si="2"/>
        <v>Player 186</v>
      </c>
      <c r="D187">
        <v>71.306942286343798</v>
      </c>
    </row>
    <row r="188" spans="1:4" x14ac:dyDescent="0.25">
      <c r="A188">
        <v>2906</v>
      </c>
      <c r="B188">
        <v>187</v>
      </c>
      <c r="C188" t="str">
        <f t="shared" si="2"/>
        <v>Player 187</v>
      </c>
      <c r="D188">
        <v>101.401673551993</v>
      </c>
    </row>
    <row r="189" spans="1:4" x14ac:dyDescent="0.25">
      <c r="A189">
        <v>2908</v>
      </c>
      <c r="B189">
        <v>188</v>
      </c>
      <c r="C189" t="str">
        <f t="shared" si="2"/>
        <v>Player 188</v>
      </c>
      <c r="D189">
        <v>97.686032689828096</v>
      </c>
    </row>
    <row r="190" spans="1:4" x14ac:dyDescent="0.25">
      <c r="A190">
        <v>2917</v>
      </c>
      <c r="B190">
        <v>189</v>
      </c>
      <c r="C190" t="str">
        <f t="shared" si="2"/>
        <v>Player 189</v>
      </c>
      <c r="D190">
        <v>98.858176510847102</v>
      </c>
    </row>
    <row r="191" spans="1:4" x14ac:dyDescent="0.25">
      <c r="A191">
        <v>2930</v>
      </c>
      <c r="B191">
        <v>190</v>
      </c>
      <c r="C191" t="str">
        <f t="shared" si="2"/>
        <v>Player 190</v>
      </c>
      <c r="D191">
        <v>90.802378399791095</v>
      </c>
    </row>
    <row r="192" spans="1:4" x14ac:dyDescent="0.25">
      <c r="A192">
        <v>2931</v>
      </c>
      <c r="B192">
        <v>191</v>
      </c>
      <c r="C192" t="str">
        <f t="shared" si="2"/>
        <v>Player 191</v>
      </c>
      <c r="D192">
        <v>45.421782906668803</v>
      </c>
    </row>
    <row r="193" spans="1:4" x14ac:dyDescent="0.25">
      <c r="A193">
        <v>2959</v>
      </c>
      <c r="B193">
        <v>192</v>
      </c>
      <c r="C193" t="str">
        <f t="shared" si="2"/>
        <v>Player 192</v>
      </c>
      <c r="D193">
        <v>106.208408584023</v>
      </c>
    </row>
    <row r="194" spans="1:4" x14ac:dyDescent="0.25">
      <c r="A194">
        <v>2970</v>
      </c>
      <c r="B194">
        <v>193</v>
      </c>
      <c r="C194" t="str">
        <f t="shared" si="2"/>
        <v>Player 193</v>
      </c>
      <c r="D194">
        <v>109.344346537626</v>
      </c>
    </row>
    <row r="195" spans="1:4" x14ac:dyDescent="0.25">
      <c r="A195">
        <v>2976</v>
      </c>
      <c r="B195">
        <v>194</v>
      </c>
      <c r="C195" t="str">
        <f t="shared" ref="C195:C258" si="3">"Player "&amp;TEXT(B195,"000")</f>
        <v>Player 194</v>
      </c>
      <c r="D195">
        <v>39.4152696618549</v>
      </c>
    </row>
    <row r="196" spans="1:4" x14ac:dyDescent="0.25">
      <c r="A196">
        <v>2986</v>
      </c>
      <c r="B196">
        <v>195</v>
      </c>
      <c r="C196" t="str">
        <f t="shared" si="3"/>
        <v>Player 195</v>
      </c>
      <c r="D196">
        <v>33.045563655139297</v>
      </c>
    </row>
    <row r="197" spans="1:4" x14ac:dyDescent="0.25">
      <c r="A197">
        <v>2990</v>
      </c>
      <c r="B197">
        <v>196</v>
      </c>
      <c r="C197" t="str">
        <f t="shared" si="3"/>
        <v>Player 196</v>
      </c>
      <c r="D197">
        <v>117.56049685891099</v>
      </c>
    </row>
    <row r="198" spans="1:4" x14ac:dyDescent="0.25">
      <c r="A198">
        <v>2994</v>
      </c>
      <c r="B198">
        <v>197</v>
      </c>
      <c r="C198" t="str">
        <f t="shared" si="3"/>
        <v>Player 197</v>
      </c>
      <c r="D198">
        <v>106.832396365036</v>
      </c>
    </row>
    <row r="199" spans="1:4" x14ac:dyDescent="0.25">
      <c r="A199">
        <v>2997</v>
      </c>
      <c r="B199">
        <v>198</v>
      </c>
      <c r="C199" t="str">
        <f t="shared" si="3"/>
        <v>Player 198</v>
      </c>
      <c r="D199">
        <v>109.323614720994</v>
      </c>
    </row>
    <row r="200" spans="1:4" x14ac:dyDescent="0.25">
      <c r="A200">
        <v>2998</v>
      </c>
      <c r="B200">
        <v>199</v>
      </c>
      <c r="C200" t="str">
        <f t="shared" si="3"/>
        <v>Player 199</v>
      </c>
      <c r="D200">
        <v>108.637638462439</v>
      </c>
    </row>
    <row r="201" spans="1:4" x14ac:dyDescent="0.25">
      <c r="A201">
        <v>3000</v>
      </c>
      <c r="B201">
        <v>200</v>
      </c>
      <c r="C201" t="str">
        <f t="shared" si="3"/>
        <v>Player 200</v>
      </c>
      <c r="D201">
        <v>74.168682403372799</v>
      </c>
    </row>
    <row r="202" spans="1:4" x14ac:dyDescent="0.25">
      <c r="A202">
        <v>3026</v>
      </c>
      <c r="B202">
        <v>201</v>
      </c>
      <c r="C202" t="str">
        <f t="shared" si="3"/>
        <v>Player 201</v>
      </c>
      <c r="D202">
        <v>84.640173666579898</v>
      </c>
    </row>
    <row r="203" spans="1:4" x14ac:dyDescent="0.25">
      <c r="A203">
        <v>3027</v>
      </c>
      <c r="B203">
        <v>202</v>
      </c>
      <c r="C203" t="str">
        <f t="shared" si="3"/>
        <v>Player 202</v>
      </c>
      <c r="D203">
        <v>74.536285213364096</v>
      </c>
    </row>
    <row r="204" spans="1:4" x14ac:dyDescent="0.25">
      <c r="A204">
        <v>3047</v>
      </c>
      <c r="B204">
        <v>203</v>
      </c>
      <c r="C204" t="str">
        <f t="shared" si="3"/>
        <v>Player 203</v>
      </c>
      <c r="D204">
        <v>25.120634919032899</v>
      </c>
    </row>
    <row r="205" spans="1:4" x14ac:dyDescent="0.25">
      <c r="A205">
        <v>3048</v>
      </c>
      <c r="B205">
        <v>204</v>
      </c>
      <c r="C205" t="str">
        <f t="shared" si="3"/>
        <v>Player 204</v>
      </c>
      <c r="D205">
        <v>94.550308535277196</v>
      </c>
    </row>
    <row r="206" spans="1:4" x14ac:dyDescent="0.25">
      <c r="A206">
        <v>3049</v>
      </c>
      <c r="B206">
        <v>205</v>
      </c>
      <c r="C206" t="str">
        <f t="shared" si="3"/>
        <v>Player 205</v>
      </c>
      <c r="D206">
        <v>70.533203333588006</v>
      </c>
    </row>
    <row r="207" spans="1:4" x14ac:dyDescent="0.25">
      <c r="A207">
        <v>3060</v>
      </c>
      <c r="B207">
        <v>206</v>
      </c>
      <c r="C207" t="str">
        <f t="shared" si="3"/>
        <v>Player 206</v>
      </c>
      <c r="D207">
        <v>84.770907479022895</v>
      </c>
    </row>
    <row r="208" spans="1:4" x14ac:dyDescent="0.25">
      <c r="A208">
        <v>3062</v>
      </c>
      <c r="B208">
        <v>207</v>
      </c>
      <c r="C208" t="str">
        <f t="shared" si="3"/>
        <v>Player 207</v>
      </c>
      <c r="D208">
        <v>70.263980497553504</v>
      </c>
    </row>
    <row r="209" spans="1:4" x14ac:dyDescent="0.25">
      <c r="A209">
        <v>3065</v>
      </c>
      <c r="B209">
        <v>208</v>
      </c>
      <c r="C209" t="str">
        <f t="shared" si="3"/>
        <v>Player 208</v>
      </c>
      <c r="D209">
        <v>69.181132232245602</v>
      </c>
    </row>
    <row r="210" spans="1:4" x14ac:dyDescent="0.25">
      <c r="A210">
        <v>3079</v>
      </c>
      <c r="B210">
        <v>209</v>
      </c>
      <c r="C210" t="str">
        <f t="shared" si="3"/>
        <v>Player 209</v>
      </c>
      <c r="D210">
        <v>37.1789109477766</v>
      </c>
    </row>
    <row r="211" spans="1:4" x14ac:dyDescent="0.25">
      <c r="A211">
        <v>3082</v>
      </c>
      <c r="B211">
        <v>210</v>
      </c>
      <c r="C211" t="str">
        <f t="shared" si="3"/>
        <v>Player 210</v>
      </c>
      <c r="D211">
        <v>47.871371514114898</v>
      </c>
    </row>
    <row r="212" spans="1:4" x14ac:dyDescent="0.25">
      <c r="A212">
        <v>3105</v>
      </c>
      <c r="B212">
        <v>211</v>
      </c>
      <c r="C212" t="str">
        <f t="shared" si="3"/>
        <v>Player 211</v>
      </c>
      <c r="D212">
        <v>35.885269194395498</v>
      </c>
    </row>
    <row r="213" spans="1:4" x14ac:dyDescent="0.25">
      <c r="A213">
        <v>3116</v>
      </c>
      <c r="B213">
        <v>212</v>
      </c>
      <c r="C213" t="str">
        <f t="shared" si="3"/>
        <v>Player 212</v>
      </c>
      <c r="D213">
        <v>39.566629562534203</v>
      </c>
    </row>
    <row r="214" spans="1:4" x14ac:dyDescent="0.25">
      <c r="A214">
        <v>3125</v>
      </c>
      <c r="B214">
        <v>213</v>
      </c>
      <c r="C214" t="str">
        <f t="shared" si="3"/>
        <v>Player 213</v>
      </c>
      <c r="D214">
        <v>117.29773804203001</v>
      </c>
    </row>
    <row r="215" spans="1:4" x14ac:dyDescent="0.25">
      <c r="A215">
        <v>3136</v>
      </c>
      <c r="B215">
        <v>214</v>
      </c>
      <c r="C215" t="str">
        <f t="shared" si="3"/>
        <v>Player 214</v>
      </c>
      <c r="D215">
        <v>35.311344577219799</v>
      </c>
    </row>
    <row r="216" spans="1:4" x14ac:dyDescent="0.25">
      <c r="A216">
        <v>3141</v>
      </c>
      <c r="B216">
        <v>215</v>
      </c>
      <c r="C216" t="str">
        <f t="shared" si="3"/>
        <v>Player 215</v>
      </c>
      <c r="D216">
        <v>46.9270424305207</v>
      </c>
    </row>
    <row r="217" spans="1:4" x14ac:dyDescent="0.25">
      <c r="A217">
        <v>3143</v>
      </c>
      <c r="B217">
        <v>216</v>
      </c>
      <c r="C217" t="str">
        <f t="shared" si="3"/>
        <v>Player 216</v>
      </c>
      <c r="D217">
        <v>79.058965773858404</v>
      </c>
    </row>
    <row r="218" spans="1:4" x14ac:dyDescent="0.25">
      <c r="A218">
        <v>3156</v>
      </c>
      <c r="B218">
        <v>217</v>
      </c>
      <c r="C218" t="str">
        <f t="shared" si="3"/>
        <v>Player 217</v>
      </c>
      <c r="D218">
        <v>81.017857623664099</v>
      </c>
    </row>
    <row r="219" spans="1:4" x14ac:dyDescent="0.25">
      <c r="A219">
        <v>3180</v>
      </c>
      <c r="B219">
        <v>218</v>
      </c>
      <c r="C219" t="str">
        <f t="shared" si="3"/>
        <v>Player 218</v>
      </c>
      <c r="D219">
        <v>35.397412974382902</v>
      </c>
    </row>
    <row r="220" spans="1:4" x14ac:dyDescent="0.25">
      <c r="A220">
        <v>3190</v>
      </c>
      <c r="B220">
        <v>219</v>
      </c>
      <c r="C220" t="str">
        <f t="shared" si="3"/>
        <v>Player 219</v>
      </c>
      <c r="D220">
        <v>99.371742578521193</v>
      </c>
    </row>
    <row r="221" spans="1:4" x14ac:dyDescent="0.25">
      <c r="A221">
        <v>3192</v>
      </c>
      <c r="B221">
        <v>220</v>
      </c>
      <c r="C221" t="str">
        <f t="shared" si="3"/>
        <v>Player 220</v>
      </c>
      <c r="D221">
        <v>98.520286791282501</v>
      </c>
    </row>
    <row r="222" spans="1:4" x14ac:dyDescent="0.25">
      <c r="A222">
        <v>3193</v>
      </c>
      <c r="B222">
        <v>221</v>
      </c>
      <c r="C222" t="str">
        <f t="shared" si="3"/>
        <v>Player 221</v>
      </c>
      <c r="D222">
        <v>43.731770420389097</v>
      </c>
    </row>
    <row r="223" spans="1:4" x14ac:dyDescent="0.25">
      <c r="A223">
        <v>3200</v>
      </c>
      <c r="B223">
        <v>222</v>
      </c>
      <c r="C223" t="str">
        <f t="shared" si="3"/>
        <v>Player 222</v>
      </c>
      <c r="D223">
        <v>48.866630267546</v>
      </c>
    </row>
    <row r="224" spans="1:4" x14ac:dyDescent="0.25">
      <c r="A224">
        <v>3204</v>
      </c>
      <c r="B224">
        <v>223</v>
      </c>
      <c r="C224" t="str">
        <f t="shared" si="3"/>
        <v>Player 223</v>
      </c>
      <c r="D224">
        <v>113.798786545949</v>
      </c>
    </row>
    <row r="225" spans="1:4" x14ac:dyDescent="0.25">
      <c r="A225">
        <v>3205</v>
      </c>
      <c r="B225">
        <v>224</v>
      </c>
      <c r="C225" t="str">
        <f t="shared" si="3"/>
        <v>Player 224</v>
      </c>
      <c r="D225">
        <v>102.56714459794701</v>
      </c>
    </row>
    <row r="226" spans="1:4" x14ac:dyDescent="0.25">
      <c r="A226">
        <v>3219</v>
      </c>
      <c r="B226">
        <v>225</v>
      </c>
      <c r="C226" t="str">
        <f t="shared" si="3"/>
        <v>Player 225</v>
      </c>
      <c r="D226">
        <v>89.779703306252301</v>
      </c>
    </row>
    <row r="227" spans="1:4" x14ac:dyDescent="0.25">
      <c r="A227">
        <v>3243</v>
      </c>
      <c r="B227">
        <v>226</v>
      </c>
      <c r="C227" t="str">
        <f t="shared" si="3"/>
        <v>Player 226</v>
      </c>
      <c r="D227">
        <v>28.22332215106</v>
      </c>
    </row>
    <row r="228" spans="1:4" x14ac:dyDescent="0.25">
      <c r="A228">
        <v>3255</v>
      </c>
      <c r="B228">
        <v>227</v>
      </c>
      <c r="C228" t="str">
        <f t="shared" si="3"/>
        <v>Player 227</v>
      </c>
      <c r="D228">
        <v>61.826408090257502</v>
      </c>
    </row>
    <row r="229" spans="1:4" x14ac:dyDescent="0.25">
      <c r="A229">
        <v>3327</v>
      </c>
      <c r="B229">
        <v>228</v>
      </c>
      <c r="C229" t="str">
        <f t="shared" si="3"/>
        <v>Player 228</v>
      </c>
      <c r="D229">
        <v>75.930187207682707</v>
      </c>
    </row>
    <row r="230" spans="1:4" x14ac:dyDescent="0.25">
      <c r="A230">
        <v>3336</v>
      </c>
      <c r="B230">
        <v>229</v>
      </c>
      <c r="C230" t="str">
        <f t="shared" si="3"/>
        <v>Player 229</v>
      </c>
      <c r="D230">
        <v>38.741128798377602</v>
      </c>
    </row>
    <row r="231" spans="1:4" x14ac:dyDescent="0.25">
      <c r="A231">
        <v>3368</v>
      </c>
      <c r="B231">
        <v>230</v>
      </c>
      <c r="C231" t="str">
        <f t="shared" si="3"/>
        <v>Player 230</v>
      </c>
      <c r="D231">
        <v>64.822658210822397</v>
      </c>
    </row>
    <row r="232" spans="1:4" x14ac:dyDescent="0.25">
      <c r="A232">
        <v>3371</v>
      </c>
      <c r="B232">
        <v>231</v>
      </c>
      <c r="C232" t="str">
        <f t="shared" si="3"/>
        <v>Player 231</v>
      </c>
      <c r="D232">
        <v>80.102587748868999</v>
      </c>
    </row>
    <row r="233" spans="1:4" x14ac:dyDescent="0.25">
      <c r="A233">
        <v>3385</v>
      </c>
      <c r="B233">
        <v>232</v>
      </c>
      <c r="C233" t="str">
        <f t="shared" si="3"/>
        <v>Player 232</v>
      </c>
      <c r="D233">
        <v>52.737668011539903</v>
      </c>
    </row>
    <row r="234" spans="1:4" x14ac:dyDescent="0.25">
      <c r="A234">
        <v>3393</v>
      </c>
      <c r="B234">
        <v>233</v>
      </c>
      <c r="C234" t="str">
        <f t="shared" si="3"/>
        <v>Player 233</v>
      </c>
      <c r="D234">
        <v>98.094481895048702</v>
      </c>
    </row>
    <row r="235" spans="1:4" x14ac:dyDescent="0.25">
      <c r="A235">
        <v>3427</v>
      </c>
      <c r="B235">
        <v>234</v>
      </c>
      <c r="C235" t="str">
        <f t="shared" si="3"/>
        <v>Player 234</v>
      </c>
      <c r="D235">
        <v>104.04495816388</v>
      </c>
    </row>
    <row r="236" spans="1:4" x14ac:dyDescent="0.25">
      <c r="A236">
        <v>3433</v>
      </c>
      <c r="B236">
        <v>235</v>
      </c>
      <c r="C236" t="str">
        <f t="shared" si="3"/>
        <v>Player 235</v>
      </c>
      <c r="D236">
        <v>52.360946943407001</v>
      </c>
    </row>
    <row r="237" spans="1:4" x14ac:dyDescent="0.25">
      <c r="A237">
        <v>3443</v>
      </c>
      <c r="B237">
        <v>236</v>
      </c>
      <c r="C237" t="str">
        <f t="shared" si="3"/>
        <v>Player 236</v>
      </c>
      <c r="D237">
        <v>103.865715449245</v>
      </c>
    </row>
    <row r="238" spans="1:4" x14ac:dyDescent="0.25">
      <c r="A238">
        <v>3454</v>
      </c>
      <c r="B238">
        <v>237</v>
      </c>
      <c r="C238" t="str">
        <f t="shared" si="3"/>
        <v>Player 237</v>
      </c>
      <c r="D238">
        <v>30.3576566103015</v>
      </c>
    </row>
    <row r="239" spans="1:4" x14ac:dyDescent="0.25">
      <c r="A239">
        <v>3472</v>
      </c>
      <c r="B239">
        <v>238</v>
      </c>
      <c r="C239" t="str">
        <f t="shared" si="3"/>
        <v>Player 238</v>
      </c>
      <c r="D239">
        <v>103.772909862265</v>
      </c>
    </row>
    <row r="240" spans="1:4" x14ac:dyDescent="0.25">
      <c r="A240">
        <v>3479</v>
      </c>
      <c r="B240">
        <v>239</v>
      </c>
      <c r="C240" t="str">
        <f t="shared" si="3"/>
        <v>Player 239</v>
      </c>
      <c r="D240">
        <v>35.275043166761598</v>
      </c>
    </row>
    <row r="241" spans="1:4" x14ac:dyDescent="0.25">
      <c r="A241">
        <v>3482</v>
      </c>
      <c r="B241">
        <v>240</v>
      </c>
      <c r="C241" t="str">
        <f t="shared" si="3"/>
        <v>Player 240</v>
      </c>
      <c r="D241">
        <v>28.292715250972599</v>
      </c>
    </row>
    <row r="242" spans="1:4" x14ac:dyDescent="0.25">
      <c r="A242">
        <v>3489</v>
      </c>
      <c r="B242">
        <v>241</v>
      </c>
      <c r="C242" t="str">
        <f t="shared" si="3"/>
        <v>Player 241</v>
      </c>
      <c r="D242">
        <v>84.177540444101098</v>
      </c>
    </row>
    <row r="243" spans="1:4" x14ac:dyDescent="0.25">
      <c r="A243">
        <v>3491</v>
      </c>
      <c r="B243">
        <v>242</v>
      </c>
      <c r="C243" t="str">
        <f t="shared" si="3"/>
        <v>Player 242</v>
      </c>
      <c r="D243">
        <v>67.1937365755294</v>
      </c>
    </row>
    <row r="244" spans="1:4" x14ac:dyDescent="0.25">
      <c r="A244">
        <v>3502</v>
      </c>
      <c r="B244">
        <v>243</v>
      </c>
      <c r="C244" t="str">
        <f t="shared" si="3"/>
        <v>Player 243</v>
      </c>
      <c r="D244">
        <v>110.78906004128299</v>
      </c>
    </row>
    <row r="245" spans="1:4" x14ac:dyDescent="0.25">
      <c r="A245">
        <v>3504</v>
      </c>
      <c r="B245">
        <v>244</v>
      </c>
      <c r="C245" t="str">
        <f t="shared" si="3"/>
        <v>Player 244</v>
      </c>
      <c r="D245">
        <v>56.318919609084901</v>
      </c>
    </row>
    <row r="246" spans="1:4" x14ac:dyDescent="0.25">
      <c r="A246">
        <v>3511</v>
      </c>
      <c r="B246">
        <v>245</v>
      </c>
      <c r="C246" t="str">
        <f t="shared" si="3"/>
        <v>Player 245</v>
      </c>
      <c r="D246">
        <v>48.715226343762801</v>
      </c>
    </row>
    <row r="247" spans="1:4" x14ac:dyDescent="0.25">
      <c r="A247">
        <v>3539</v>
      </c>
      <c r="B247">
        <v>246</v>
      </c>
      <c r="C247" t="str">
        <f t="shared" si="3"/>
        <v>Player 246</v>
      </c>
      <c r="D247">
        <v>70.073490614419796</v>
      </c>
    </row>
    <row r="248" spans="1:4" x14ac:dyDescent="0.25">
      <c r="A248">
        <v>3551</v>
      </c>
      <c r="B248">
        <v>247</v>
      </c>
      <c r="C248" t="str">
        <f t="shared" si="3"/>
        <v>Player 247</v>
      </c>
      <c r="D248">
        <v>65.594618576866097</v>
      </c>
    </row>
    <row r="249" spans="1:4" x14ac:dyDescent="0.25">
      <c r="A249">
        <v>3557</v>
      </c>
      <c r="B249">
        <v>248</v>
      </c>
      <c r="C249" t="str">
        <f t="shared" si="3"/>
        <v>Player 248</v>
      </c>
      <c r="D249">
        <v>54.4428046217188</v>
      </c>
    </row>
    <row r="250" spans="1:4" x14ac:dyDescent="0.25">
      <c r="A250">
        <v>3558</v>
      </c>
      <c r="B250">
        <v>249</v>
      </c>
      <c r="C250" t="str">
        <f t="shared" si="3"/>
        <v>Player 249</v>
      </c>
      <c r="D250">
        <v>89.374129869832799</v>
      </c>
    </row>
    <row r="251" spans="1:4" x14ac:dyDescent="0.25">
      <c r="A251">
        <v>3560</v>
      </c>
      <c r="B251">
        <v>250</v>
      </c>
      <c r="C251" t="str">
        <f t="shared" si="3"/>
        <v>Player 250</v>
      </c>
      <c r="D251">
        <v>95.956183391390795</v>
      </c>
    </row>
    <row r="252" spans="1:4" x14ac:dyDescent="0.25">
      <c r="A252">
        <v>3568</v>
      </c>
      <c r="B252">
        <v>251</v>
      </c>
      <c r="C252" t="str">
        <f t="shared" si="3"/>
        <v>Player 251</v>
      </c>
      <c r="D252">
        <v>105.298396903013</v>
      </c>
    </row>
    <row r="253" spans="1:4" x14ac:dyDescent="0.25">
      <c r="A253">
        <v>3590</v>
      </c>
      <c r="B253">
        <v>252</v>
      </c>
      <c r="C253" t="str">
        <f t="shared" si="3"/>
        <v>Player 252</v>
      </c>
      <c r="D253">
        <v>117.28566047103401</v>
      </c>
    </row>
    <row r="254" spans="1:4" x14ac:dyDescent="0.25">
      <c r="A254">
        <v>3593</v>
      </c>
      <c r="B254">
        <v>253</v>
      </c>
      <c r="C254" t="str">
        <f t="shared" si="3"/>
        <v>Player 253</v>
      </c>
      <c r="D254">
        <v>46.665619213250402</v>
      </c>
    </row>
    <row r="255" spans="1:4" x14ac:dyDescent="0.25">
      <c r="A255">
        <v>3612</v>
      </c>
      <c r="B255">
        <v>254</v>
      </c>
      <c r="C255" t="str">
        <f t="shared" si="3"/>
        <v>Player 254</v>
      </c>
      <c r="D255">
        <v>91.609348248996099</v>
      </c>
    </row>
    <row r="256" spans="1:4" x14ac:dyDescent="0.25">
      <c r="A256">
        <v>3635</v>
      </c>
      <c r="B256">
        <v>255</v>
      </c>
      <c r="C256" t="str">
        <f t="shared" si="3"/>
        <v>Player 255</v>
      </c>
      <c r="D256">
        <v>59.425823549574503</v>
      </c>
    </row>
    <row r="257" spans="1:4" x14ac:dyDescent="0.25">
      <c r="A257">
        <v>3645</v>
      </c>
      <c r="B257">
        <v>256</v>
      </c>
      <c r="C257" t="str">
        <f t="shared" si="3"/>
        <v>Player 256</v>
      </c>
      <c r="D257">
        <v>87.708197195110799</v>
      </c>
    </row>
    <row r="258" spans="1:4" x14ac:dyDescent="0.25">
      <c r="A258">
        <v>3674</v>
      </c>
      <c r="B258">
        <v>257</v>
      </c>
      <c r="C258" t="str">
        <f t="shared" si="3"/>
        <v>Player 257</v>
      </c>
      <c r="D258">
        <v>67.598169034921995</v>
      </c>
    </row>
    <row r="259" spans="1:4" x14ac:dyDescent="0.25">
      <c r="A259">
        <v>3681</v>
      </c>
      <c r="B259">
        <v>258</v>
      </c>
      <c r="C259" t="str">
        <f t="shared" ref="C259:C322" si="4">"Player "&amp;TEXT(B259,"000")</f>
        <v>Player 258</v>
      </c>
      <c r="D259">
        <v>119.377310276793</v>
      </c>
    </row>
    <row r="260" spans="1:4" x14ac:dyDescent="0.25">
      <c r="A260">
        <v>3693</v>
      </c>
      <c r="B260">
        <v>259</v>
      </c>
      <c r="C260" t="str">
        <f t="shared" si="4"/>
        <v>Player 259</v>
      </c>
      <c r="D260">
        <v>92.890213579074995</v>
      </c>
    </row>
    <row r="261" spans="1:4" x14ac:dyDescent="0.25">
      <c r="A261">
        <v>3695</v>
      </c>
      <c r="B261">
        <v>260</v>
      </c>
      <c r="C261" t="str">
        <f t="shared" si="4"/>
        <v>Player 260</v>
      </c>
      <c r="D261">
        <v>115.249130043432</v>
      </c>
    </row>
    <row r="262" spans="1:4" x14ac:dyDescent="0.25">
      <c r="A262">
        <v>3703</v>
      </c>
      <c r="B262">
        <v>261</v>
      </c>
      <c r="C262" t="str">
        <f t="shared" si="4"/>
        <v>Player 261</v>
      </c>
      <c r="D262">
        <v>103.496954948118</v>
      </c>
    </row>
    <row r="263" spans="1:4" x14ac:dyDescent="0.25">
      <c r="A263">
        <v>3708</v>
      </c>
      <c r="B263">
        <v>262</v>
      </c>
      <c r="C263" t="str">
        <f t="shared" si="4"/>
        <v>Player 262</v>
      </c>
      <c r="D263">
        <v>110.290101116337</v>
      </c>
    </row>
    <row r="264" spans="1:4" x14ac:dyDescent="0.25">
      <c r="A264">
        <v>3712</v>
      </c>
      <c r="B264">
        <v>263</v>
      </c>
      <c r="C264" t="str">
        <f t="shared" si="4"/>
        <v>Player 263</v>
      </c>
      <c r="D264">
        <v>101.441919721467</v>
      </c>
    </row>
    <row r="265" spans="1:4" x14ac:dyDescent="0.25">
      <c r="A265">
        <v>3713</v>
      </c>
      <c r="B265">
        <v>264</v>
      </c>
      <c r="C265" t="str">
        <f t="shared" si="4"/>
        <v>Player 264</v>
      </c>
      <c r="D265">
        <v>65.915913037591096</v>
      </c>
    </row>
    <row r="266" spans="1:4" x14ac:dyDescent="0.25">
      <c r="A266">
        <v>3717</v>
      </c>
      <c r="B266">
        <v>265</v>
      </c>
      <c r="C266" t="str">
        <f t="shared" si="4"/>
        <v>Player 265</v>
      </c>
      <c r="D266">
        <v>45.178845334688397</v>
      </c>
    </row>
    <row r="267" spans="1:4" x14ac:dyDescent="0.25">
      <c r="A267">
        <v>3731</v>
      </c>
      <c r="B267">
        <v>266</v>
      </c>
      <c r="C267" t="str">
        <f t="shared" si="4"/>
        <v>Player 266</v>
      </c>
      <c r="D267">
        <v>57.032017545052199</v>
      </c>
    </row>
    <row r="268" spans="1:4" x14ac:dyDescent="0.25">
      <c r="A268">
        <v>3733</v>
      </c>
      <c r="B268">
        <v>267</v>
      </c>
      <c r="C268" t="str">
        <f t="shared" si="4"/>
        <v>Player 267</v>
      </c>
      <c r="D268">
        <v>22.023623263994999</v>
      </c>
    </row>
    <row r="269" spans="1:4" x14ac:dyDescent="0.25">
      <c r="A269">
        <v>3734</v>
      </c>
      <c r="B269">
        <v>268</v>
      </c>
      <c r="C269" t="str">
        <f t="shared" si="4"/>
        <v>Player 268</v>
      </c>
      <c r="D269">
        <v>72.399316746466695</v>
      </c>
    </row>
    <row r="270" spans="1:4" x14ac:dyDescent="0.25">
      <c r="A270">
        <v>3738</v>
      </c>
      <c r="B270">
        <v>269</v>
      </c>
      <c r="C270" t="str">
        <f t="shared" si="4"/>
        <v>Player 269</v>
      </c>
      <c r="D270">
        <v>70.505780027040799</v>
      </c>
    </row>
    <row r="271" spans="1:4" x14ac:dyDescent="0.25">
      <c r="A271">
        <v>3739</v>
      </c>
      <c r="B271">
        <v>270</v>
      </c>
      <c r="C271" t="str">
        <f t="shared" si="4"/>
        <v>Player 270</v>
      </c>
      <c r="D271">
        <v>72.525046483048797</v>
      </c>
    </row>
    <row r="272" spans="1:4" x14ac:dyDescent="0.25">
      <c r="A272">
        <v>3744</v>
      </c>
      <c r="B272">
        <v>271</v>
      </c>
      <c r="C272" t="str">
        <f t="shared" si="4"/>
        <v>Player 271</v>
      </c>
      <c r="D272">
        <v>117.403122497206</v>
      </c>
    </row>
    <row r="273" spans="1:4" x14ac:dyDescent="0.25">
      <c r="A273">
        <v>3745</v>
      </c>
      <c r="B273">
        <v>272</v>
      </c>
      <c r="C273" t="str">
        <f t="shared" si="4"/>
        <v>Player 272</v>
      </c>
      <c r="D273">
        <v>111.145400345483</v>
      </c>
    </row>
    <row r="274" spans="1:4" x14ac:dyDescent="0.25">
      <c r="A274">
        <v>3747</v>
      </c>
      <c r="B274">
        <v>273</v>
      </c>
      <c r="C274" t="str">
        <f t="shared" si="4"/>
        <v>Player 273</v>
      </c>
      <c r="D274">
        <v>36.171277833010798</v>
      </c>
    </row>
    <row r="275" spans="1:4" x14ac:dyDescent="0.25">
      <c r="A275">
        <v>3779</v>
      </c>
      <c r="B275">
        <v>274</v>
      </c>
      <c r="C275" t="str">
        <f t="shared" si="4"/>
        <v>Player 274</v>
      </c>
      <c r="D275">
        <v>56.888252155588901</v>
      </c>
    </row>
    <row r="276" spans="1:4" x14ac:dyDescent="0.25">
      <c r="A276">
        <v>3782</v>
      </c>
      <c r="B276">
        <v>275</v>
      </c>
      <c r="C276" t="str">
        <f t="shared" si="4"/>
        <v>Player 275</v>
      </c>
      <c r="D276">
        <v>62.395617946326098</v>
      </c>
    </row>
    <row r="277" spans="1:4" x14ac:dyDescent="0.25">
      <c r="A277">
        <v>3786</v>
      </c>
      <c r="B277">
        <v>276</v>
      </c>
      <c r="C277" t="str">
        <f t="shared" si="4"/>
        <v>Player 276</v>
      </c>
      <c r="D277">
        <v>56.053291785164703</v>
      </c>
    </row>
    <row r="278" spans="1:4" x14ac:dyDescent="0.25">
      <c r="A278">
        <v>3790</v>
      </c>
      <c r="B278">
        <v>277</v>
      </c>
      <c r="C278" t="str">
        <f t="shared" si="4"/>
        <v>Player 277</v>
      </c>
      <c r="D278">
        <v>99.849596360391303</v>
      </c>
    </row>
    <row r="279" spans="1:4" x14ac:dyDescent="0.25">
      <c r="A279">
        <v>3797</v>
      </c>
      <c r="B279">
        <v>278</v>
      </c>
      <c r="C279" t="str">
        <f t="shared" si="4"/>
        <v>Player 278</v>
      </c>
      <c r="D279">
        <v>72.403766986758598</v>
      </c>
    </row>
    <row r="280" spans="1:4" x14ac:dyDescent="0.25">
      <c r="A280">
        <v>3806</v>
      </c>
      <c r="B280">
        <v>279</v>
      </c>
      <c r="C280" t="str">
        <f t="shared" si="4"/>
        <v>Player 279</v>
      </c>
      <c r="D280">
        <v>77.209981697162505</v>
      </c>
    </row>
    <row r="281" spans="1:4" x14ac:dyDescent="0.25">
      <c r="A281">
        <v>3811</v>
      </c>
      <c r="B281">
        <v>280</v>
      </c>
      <c r="C281" t="str">
        <f t="shared" si="4"/>
        <v>Player 280</v>
      </c>
      <c r="D281">
        <v>105.301355898792</v>
      </c>
    </row>
    <row r="282" spans="1:4" x14ac:dyDescent="0.25">
      <c r="A282">
        <v>3814</v>
      </c>
      <c r="B282">
        <v>281</v>
      </c>
      <c r="C282" t="str">
        <f t="shared" si="4"/>
        <v>Player 281</v>
      </c>
      <c r="D282">
        <v>100.592815341535</v>
      </c>
    </row>
    <row r="283" spans="1:4" x14ac:dyDescent="0.25">
      <c r="A283">
        <v>3824</v>
      </c>
      <c r="B283">
        <v>282</v>
      </c>
      <c r="C283" t="str">
        <f t="shared" si="4"/>
        <v>Player 282</v>
      </c>
      <c r="D283">
        <v>33.221152282029898</v>
      </c>
    </row>
    <row r="284" spans="1:4" x14ac:dyDescent="0.25">
      <c r="A284">
        <v>3832</v>
      </c>
      <c r="B284">
        <v>283</v>
      </c>
      <c r="C284" t="str">
        <f t="shared" si="4"/>
        <v>Player 283</v>
      </c>
      <c r="D284">
        <v>91.391458408363405</v>
      </c>
    </row>
    <row r="285" spans="1:4" x14ac:dyDescent="0.25">
      <c r="A285">
        <v>3838</v>
      </c>
      <c r="B285">
        <v>284</v>
      </c>
      <c r="C285" t="str">
        <f t="shared" si="4"/>
        <v>Player 284</v>
      </c>
      <c r="D285">
        <v>63.543612890203498</v>
      </c>
    </row>
    <row r="286" spans="1:4" x14ac:dyDescent="0.25">
      <c r="A286">
        <v>3839</v>
      </c>
      <c r="B286">
        <v>285</v>
      </c>
      <c r="C286" t="str">
        <f t="shared" si="4"/>
        <v>Player 285</v>
      </c>
      <c r="D286">
        <v>49.464890306249998</v>
      </c>
    </row>
    <row r="287" spans="1:4" x14ac:dyDescent="0.25">
      <c r="A287">
        <v>3849</v>
      </c>
      <c r="B287">
        <v>286</v>
      </c>
      <c r="C287" t="str">
        <f t="shared" si="4"/>
        <v>Player 286</v>
      </c>
      <c r="D287">
        <v>25.001882090218601</v>
      </c>
    </row>
    <row r="288" spans="1:4" x14ac:dyDescent="0.25">
      <c r="A288">
        <v>3869</v>
      </c>
      <c r="B288">
        <v>287</v>
      </c>
      <c r="C288" t="str">
        <f t="shared" si="4"/>
        <v>Player 287</v>
      </c>
      <c r="D288">
        <v>68.724956034545102</v>
      </c>
    </row>
    <row r="289" spans="1:4" x14ac:dyDescent="0.25">
      <c r="A289">
        <v>3871</v>
      </c>
      <c r="B289">
        <v>288</v>
      </c>
      <c r="C289" t="str">
        <f t="shared" si="4"/>
        <v>Player 288</v>
      </c>
      <c r="D289">
        <v>55.543668072453102</v>
      </c>
    </row>
    <row r="290" spans="1:4" x14ac:dyDescent="0.25">
      <c r="A290">
        <v>3872</v>
      </c>
      <c r="B290">
        <v>289</v>
      </c>
      <c r="C290" t="str">
        <f t="shared" si="4"/>
        <v>Player 289</v>
      </c>
      <c r="D290">
        <v>45.151303967639997</v>
      </c>
    </row>
    <row r="291" spans="1:4" x14ac:dyDescent="0.25">
      <c r="A291">
        <v>3878</v>
      </c>
      <c r="B291">
        <v>290</v>
      </c>
      <c r="C291" t="str">
        <f t="shared" si="4"/>
        <v>Player 290</v>
      </c>
      <c r="D291">
        <v>89.467172959695702</v>
      </c>
    </row>
    <row r="292" spans="1:4" x14ac:dyDescent="0.25">
      <c r="A292">
        <v>3891</v>
      </c>
      <c r="B292">
        <v>291</v>
      </c>
      <c r="C292" t="str">
        <f t="shared" si="4"/>
        <v>Player 291</v>
      </c>
      <c r="D292">
        <v>96.948538731558699</v>
      </c>
    </row>
    <row r="293" spans="1:4" x14ac:dyDescent="0.25">
      <c r="A293">
        <v>3898</v>
      </c>
      <c r="B293">
        <v>292</v>
      </c>
      <c r="C293" t="str">
        <f t="shared" si="4"/>
        <v>Player 292</v>
      </c>
      <c r="D293">
        <v>44.478951902942399</v>
      </c>
    </row>
    <row r="294" spans="1:4" x14ac:dyDescent="0.25">
      <c r="A294">
        <v>3911</v>
      </c>
      <c r="B294">
        <v>293</v>
      </c>
      <c r="C294" t="str">
        <f t="shared" si="4"/>
        <v>Player 293</v>
      </c>
      <c r="D294">
        <v>24.944743667934699</v>
      </c>
    </row>
    <row r="295" spans="1:4" x14ac:dyDescent="0.25">
      <c r="A295">
        <v>3914</v>
      </c>
      <c r="B295">
        <v>294</v>
      </c>
      <c r="C295" t="str">
        <f t="shared" si="4"/>
        <v>Player 294</v>
      </c>
      <c r="D295">
        <v>104.87527005652299</v>
      </c>
    </row>
    <row r="296" spans="1:4" x14ac:dyDescent="0.25">
      <c r="A296">
        <v>3923</v>
      </c>
      <c r="B296">
        <v>295</v>
      </c>
      <c r="C296" t="str">
        <f t="shared" si="4"/>
        <v>Player 295</v>
      </c>
      <c r="D296">
        <v>20.995974120430301</v>
      </c>
    </row>
    <row r="297" spans="1:4" x14ac:dyDescent="0.25">
      <c r="A297">
        <v>3931</v>
      </c>
      <c r="B297">
        <v>296</v>
      </c>
      <c r="C297" t="str">
        <f t="shared" si="4"/>
        <v>Player 296</v>
      </c>
      <c r="D297">
        <v>113.711249392147</v>
      </c>
    </row>
    <row r="298" spans="1:4" x14ac:dyDescent="0.25">
      <c r="A298">
        <v>3950</v>
      </c>
      <c r="B298">
        <v>297</v>
      </c>
      <c r="C298" t="str">
        <f t="shared" si="4"/>
        <v>Player 297</v>
      </c>
      <c r="D298">
        <v>82.761987398270506</v>
      </c>
    </row>
    <row r="299" spans="1:4" x14ac:dyDescent="0.25">
      <c r="A299">
        <v>3961</v>
      </c>
      <c r="B299">
        <v>298</v>
      </c>
      <c r="C299" t="str">
        <f t="shared" si="4"/>
        <v>Player 298</v>
      </c>
      <c r="D299">
        <v>52.184663520131998</v>
      </c>
    </row>
    <row r="300" spans="1:4" x14ac:dyDescent="0.25">
      <c r="A300">
        <v>3967</v>
      </c>
      <c r="B300">
        <v>299</v>
      </c>
      <c r="C300" t="str">
        <f t="shared" si="4"/>
        <v>Player 299</v>
      </c>
      <c r="D300">
        <v>44.6477909576736</v>
      </c>
    </row>
    <row r="301" spans="1:4" x14ac:dyDescent="0.25">
      <c r="A301">
        <v>3975</v>
      </c>
      <c r="B301">
        <v>300</v>
      </c>
      <c r="C301" t="str">
        <f t="shared" si="4"/>
        <v>Player 300</v>
      </c>
      <c r="D301">
        <v>20.900566426447501</v>
      </c>
    </row>
    <row r="302" spans="1:4" x14ac:dyDescent="0.25">
      <c r="A302">
        <v>3976</v>
      </c>
      <c r="B302">
        <v>301</v>
      </c>
      <c r="C302" t="str">
        <f t="shared" si="4"/>
        <v>Player 301</v>
      </c>
      <c r="D302">
        <v>43.547141701087703</v>
      </c>
    </row>
    <row r="303" spans="1:4" x14ac:dyDescent="0.25">
      <c r="A303">
        <v>4005</v>
      </c>
      <c r="B303">
        <v>302</v>
      </c>
      <c r="C303" t="str">
        <f t="shared" si="4"/>
        <v>Player 302</v>
      </c>
      <c r="D303">
        <v>33.772830151714103</v>
      </c>
    </row>
    <row r="304" spans="1:4" x14ac:dyDescent="0.25">
      <c r="A304">
        <v>4009</v>
      </c>
      <c r="B304">
        <v>303</v>
      </c>
      <c r="C304" t="str">
        <f t="shared" si="4"/>
        <v>Player 303</v>
      </c>
      <c r="D304">
        <v>81.216622072314493</v>
      </c>
    </row>
    <row r="305" spans="1:4" x14ac:dyDescent="0.25">
      <c r="A305">
        <v>4030</v>
      </c>
      <c r="B305">
        <v>304</v>
      </c>
      <c r="C305" t="str">
        <f t="shared" si="4"/>
        <v>Player 304</v>
      </c>
      <c r="D305">
        <v>36.654558859380103</v>
      </c>
    </row>
    <row r="306" spans="1:4" x14ac:dyDescent="0.25">
      <c r="A306">
        <v>4051</v>
      </c>
      <c r="B306">
        <v>305</v>
      </c>
      <c r="C306" t="str">
        <f t="shared" si="4"/>
        <v>Player 305</v>
      </c>
      <c r="D306">
        <v>72.862983753661894</v>
      </c>
    </row>
    <row r="307" spans="1:4" x14ac:dyDescent="0.25">
      <c r="A307">
        <v>4072</v>
      </c>
      <c r="B307">
        <v>306</v>
      </c>
      <c r="C307" t="str">
        <f t="shared" si="4"/>
        <v>Player 306</v>
      </c>
      <c r="D307">
        <v>79.011642234446995</v>
      </c>
    </row>
    <row r="308" spans="1:4" x14ac:dyDescent="0.25">
      <c r="A308">
        <v>4073</v>
      </c>
      <c r="B308">
        <v>307</v>
      </c>
      <c r="C308" t="str">
        <f t="shared" si="4"/>
        <v>Player 307</v>
      </c>
      <c r="D308">
        <v>49.8041698346914</v>
      </c>
    </row>
    <row r="309" spans="1:4" x14ac:dyDescent="0.25">
      <c r="A309">
        <v>4086</v>
      </c>
      <c r="B309">
        <v>308</v>
      </c>
      <c r="C309" t="str">
        <f t="shared" si="4"/>
        <v>Player 308</v>
      </c>
      <c r="D309">
        <v>23.5064949018718</v>
      </c>
    </row>
    <row r="310" spans="1:4" x14ac:dyDescent="0.25">
      <c r="A310">
        <v>4099</v>
      </c>
      <c r="B310">
        <v>309</v>
      </c>
      <c r="C310" t="str">
        <f t="shared" si="4"/>
        <v>Player 309</v>
      </c>
      <c r="D310">
        <v>23.725388061419601</v>
      </c>
    </row>
    <row r="311" spans="1:4" x14ac:dyDescent="0.25">
      <c r="A311">
        <v>4104</v>
      </c>
      <c r="B311">
        <v>310</v>
      </c>
      <c r="C311" t="str">
        <f t="shared" si="4"/>
        <v>Player 310</v>
      </c>
      <c r="D311">
        <v>22.634733219391698</v>
      </c>
    </row>
    <row r="312" spans="1:4" x14ac:dyDescent="0.25">
      <c r="A312">
        <v>4108</v>
      </c>
      <c r="B312">
        <v>311</v>
      </c>
      <c r="C312" t="str">
        <f t="shared" si="4"/>
        <v>Player 311</v>
      </c>
      <c r="D312">
        <v>93.912466713654595</v>
      </c>
    </row>
    <row r="313" spans="1:4" x14ac:dyDescent="0.25">
      <c r="A313">
        <v>4124</v>
      </c>
      <c r="B313">
        <v>312</v>
      </c>
      <c r="C313" t="str">
        <f t="shared" si="4"/>
        <v>Player 312</v>
      </c>
      <c r="D313">
        <v>51.8009704814298</v>
      </c>
    </row>
    <row r="314" spans="1:4" x14ac:dyDescent="0.25">
      <c r="A314">
        <v>4141</v>
      </c>
      <c r="B314">
        <v>313</v>
      </c>
      <c r="C314" t="str">
        <f t="shared" si="4"/>
        <v>Player 313</v>
      </c>
      <c r="D314">
        <v>99.630018596766305</v>
      </c>
    </row>
    <row r="315" spans="1:4" x14ac:dyDescent="0.25">
      <c r="A315">
        <v>4147</v>
      </c>
      <c r="B315">
        <v>314</v>
      </c>
      <c r="C315" t="str">
        <f t="shared" si="4"/>
        <v>Player 314</v>
      </c>
      <c r="D315">
        <v>63.173282384284903</v>
      </c>
    </row>
    <row r="316" spans="1:4" x14ac:dyDescent="0.25">
      <c r="A316">
        <v>4152</v>
      </c>
      <c r="B316">
        <v>315</v>
      </c>
      <c r="C316" t="str">
        <f t="shared" si="4"/>
        <v>Player 315</v>
      </c>
      <c r="D316">
        <v>65.299810082996302</v>
      </c>
    </row>
    <row r="317" spans="1:4" x14ac:dyDescent="0.25">
      <c r="A317">
        <v>4157</v>
      </c>
      <c r="B317">
        <v>316</v>
      </c>
      <c r="C317" t="str">
        <f t="shared" si="4"/>
        <v>Player 316</v>
      </c>
      <c r="D317">
        <v>71.288260250957293</v>
      </c>
    </row>
    <row r="318" spans="1:4" x14ac:dyDescent="0.25">
      <c r="A318">
        <v>4170</v>
      </c>
      <c r="B318">
        <v>317</v>
      </c>
      <c r="C318" t="str">
        <f t="shared" si="4"/>
        <v>Player 317</v>
      </c>
      <c r="D318">
        <v>91.303145637510397</v>
      </c>
    </row>
    <row r="319" spans="1:4" x14ac:dyDescent="0.25">
      <c r="A319">
        <v>4177</v>
      </c>
      <c r="B319">
        <v>318</v>
      </c>
      <c r="C319" t="str">
        <f t="shared" si="4"/>
        <v>Player 318</v>
      </c>
      <c r="D319">
        <v>47.350286582970703</v>
      </c>
    </row>
    <row r="320" spans="1:4" x14ac:dyDescent="0.25">
      <c r="A320">
        <v>4228</v>
      </c>
      <c r="B320">
        <v>319</v>
      </c>
      <c r="C320" t="str">
        <f t="shared" si="4"/>
        <v>Player 319</v>
      </c>
      <c r="D320">
        <v>32.158734953352599</v>
      </c>
    </row>
    <row r="321" spans="1:4" x14ac:dyDescent="0.25">
      <c r="A321">
        <v>4242</v>
      </c>
      <c r="B321">
        <v>320</v>
      </c>
      <c r="C321" t="str">
        <f t="shared" si="4"/>
        <v>Player 320</v>
      </c>
      <c r="D321">
        <v>75.605733519146099</v>
      </c>
    </row>
    <row r="322" spans="1:4" x14ac:dyDescent="0.25">
      <c r="A322">
        <v>4266</v>
      </c>
      <c r="B322">
        <v>321</v>
      </c>
      <c r="C322" t="str">
        <f t="shared" si="4"/>
        <v>Player 321</v>
      </c>
      <c r="D322">
        <v>52.697762324273903</v>
      </c>
    </row>
    <row r="323" spans="1:4" x14ac:dyDescent="0.25">
      <c r="A323">
        <v>4267</v>
      </c>
      <c r="B323">
        <v>322</v>
      </c>
      <c r="C323" t="str">
        <f t="shared" ref="C323:C386" si="5">"Player "&amp;TEXT(B323,"000")</f>
        <v>Player 322</v>
      </c>
      <c r="D323">
        <v>64.249131366803695</v>
      </c>
    </row>
    <row r="324" spans="1:4" x14ac:dyDescent="0.25">
      <c r="A324">
        <v>4304</v>
      </c>
      <c r="B324">
        <v>323</v>
      </c>
      <c r="C324" t="str">
        <f t="shared" si="5"/>
        <v>Player 323</v>
      </c>
      <c r="D324">
        <v>84.694670833730498</v>
      </c>
    </row>
    <row r="325" spans="1:4" x14ac:dyDescent="0.25">
      <c r="A325">
        <v>4324</v>
      </c>
      <c r="B325">
        <v>324</v>
      </c>
      <c r="C325" t="str">
        <f t="shared" si="5"/>
        <v>Player 324</v>
      </c>
      <c r="D325">
        <v>69.412574114126997</v>
      </c>
    </row>
    <row r="326" spans="1:4" x14ac:dyDescent="0.25">
      <c r="A326">
        <v>4327</v>
      </c>
      <c r="B326">
        <v>325</v>
      </c>
      <c r="C326" t="str">
        <f t="shared" si="5"/>
        <v>Player 325</v>
      </c>
      <c r="D326">
        <v>82.027881710084202</v>
      </c>
    </row>
    <row r="327" spans="1:4" x14ac:dyDescent="0.25">
      <c r="A327">
        <v>4330</v>
      </c>
      <c r="B327">
        <v>326</v>
      </c>
      <c r="C327" t="str">
        <f t="shared" si="5"/>
        <v>Player 326</v>
      </c>
      <c r="D327">
        <v>74.420000211362705</v>
      </c>
    </row>
    <row r="328" spans="1:4" x14ac:dyDescent="0.25">
      <c r="A328">
        <v>4335</v>
      </c>
      <c r="B328">
        <v>327</v>
      </c>
      <c r="C328" t="str">
        <f t="shared" si="5"/>
        <v>Player 327</v>
      </c>
      <c r="D328">
        <v>93.979637193609904</v>
      </c>
    </row>
    <row r="329" spans="1:4" x14ac:dyDescent="0.25">
      <c r="A329">
        <v>4343</v>
      </c>
      <c r="B329">
        <v>328</v>
      </c>
      <c r="C329" t="str">
        <f t="shared" si="5"/>
        <v>Player 328</v>
      </c>
      <c r="D329">
        <v>90.593661771162004</v>
      </c>
    </row>
    <row r="330" spans="1:4" x14ac:dyDescent="0.25">
      <c r="A330">
        <v>4345</v>
      </c>
      <c r="B330">
        <v>329</v>
      </c>
      <c r="C330" t="str">
        <f t="shared" si="5"/>
        <v>Player 329</v>
      </c>
      <c r="D330">
        <v>73.4189891808619</v>
      </c>
    </row>
    <row r="331" spans="1:4" x14ac:dyDescent="0.25">
      <c r="A331">
        <v>4354</v>
      </c>
      <c r="B331">
        <v>330</v>
      </c>
      <c r="C331" t="str">
        <f t="shared" si="5"/>
        <v>Player 330</v>
      </c>
      <c r="D331">
        <v>87.890302085970603</v>
      </c>
    </row>
    <row r="332" spans="1:4" x14ac:dyDescent="0.25">
      <c r="A332">
        <v>4368</v>
      </c>
      <c r="B332">
        <v>331</v>
      </c>
      <c r="C332" t="str">
        <f t="shared" si="5"/>
        <v>Player 331</v>
      </c>
      <c r="D332">
        <v>107.35596022726099</v>
      </c>
    </row>
    <row r="333" spans="1:4" x14ac:dyDescent="0.25">
      <c r="A333">
        <v>4373</v>
      </c>
      <c r="B333">
        <v>332</v>
      </c>
      <c r="C333" t="str">
        <f t="shared" si="5"/>
        <v>Player 332</v>
      </c>
      <c r="D333">
        <v>63.227128778816798</v>
      </c>
    </row>
    <row r="334" spans="1:4" x14ac:dyDescent="0.25">
      <c r="A334">
        <v>4374</v>
      </c>
      <c r="B334">
        <v>333</v>
      </c>
      <c r="C334" t="str">
        <f t="shared" si="5"/>
        <v>Player 333</v>
      </c>
      <c r="D334">
        <v>61.276307274879301</v>
      </c>
    </row>
    <row r="335" spans="1:4" x14ac:dyDescent="0.25">
      <c r="A335">
        <v>4376</v>
      </c>
      <c r="B335">
        <v>334</v>
      </c>
      <c r="C335" t="str">
        <f t="shared" si="5"/>
        <v>Player 334</v>
      </c>
      <c r="D335">
        <v>96.424562085237994</v>
      </c>
    </row>
    <row r="336" spans="1:4" x14ac:dyDescent="0.25">
      <c r="A336">
        <v>4385</v>
      </c>
      <c r="B336">
        <v>335</v>
      </c>
      <c r="C336" t="str">
        <f t="shared" si="5"/>
        <v>Player 335</v>
      </c>
      <c r="D336">
        <v>78.255383704199403</v>
      </c>
    </row>
    <row r="337" spans="1:4" x14ac:dyDescent="0.25">
      <c r="A337">
        <v>4391</v>
      </c>
      <c r="B337">
        <v>336</v>
      </c>
      <c r="C337" t="str">
        <f t="shared" si="5"/>
        <v>Player 336</v>
      </c>
      <c r="D337">
        <v>27.100678022258801</v>
      </c>
    </row>
    <row r="338" spans="1:4" x14ac:dyDescent="0.25">
      <c r="A338">
        <v>4394</v>
      </c>
      <c r="B338">
        <v>337</v>
      </c>
      <c r="C338" t="str">
        <f t="shared" si="5"/>
        <v>Player 337</v>
      </c>
      <c r="D338">
        <v>109.211201569108</v>
      </c>
    </row>
    <row r="339" spans="1:4" x14ac:dyDescent="0.25">
      <c r="A339">
        <v>4417</v>
      </c>
      <c r="B339">
        <v>338</v>
      </c>
      <c r="C339" t="str">
        <f t="shared" si="5"/>
        <v>Player 338</v>
      </c>
      <c r="D339">
        <v>23.078310223763999</v>
      </c>
    </row>
    <row r="340" spans="1:4" x14ac:dyDescent="0.25">
      <c r="A340">
        <v>4419</v>
      </c>
      <c r="B340">
        <v>339</v>
      </c>
      <c r="C340" t="str">
        <f t="shared" si="5"/>
        <v>Player 339</v>
      </c>
      <c r="D340">
        <v>94.839635620974306</v>
      </c>
    </row>
    <row r="341" spans="1:4" x14ac:dyDescent="0.25">
      <c r="A341">
        <v>4420</v>
      </c>
      <c r="B341">
        <v>340</v>
      </c>
      <c r="C341" t="str">
        <f t="shared" si="5"/>
        <v>Player 340</v>
      </c>
      <c r="D341">
        <v>95.879414270431198</v>
      </c>
    </row>
    <row r="342" spans="1:4" x14ac:dyDescent="0.25">
      <c r="A342">
        <v>4432</v>
      </c>
      <c r="B342">
        <v>341</v>
      </c>
      <c r="C342" t="str">
        <f t="shared" si="5"/>
        <v>Player 341</v>
      </c>
      <c r="D342">
        <v>115.311108528193</v>
      </c>
    </row>
    <row r="343" spans="1:4" x14ac:dyDescent="0.25">
      <c r="A343">
        <v>4436</v>
      </c>
      <c r="B343">
        <v>342</v>
      </c>
      <c r="C343" t="str">
        <f t="shared" si="5"/>
        <v>Player 342</v>
      </c>
      <c r="D343">
        <v>25.413440840231999</v>
      </c>
    </row>
    <row r="344" spans="1:4" x14ac:dyDescent="0.25">
      <c r="A344">
        <v>4440</v>
      </c>
      <c r="B344">
        <v>343</v>
      </c>
      <c r="C344" t="str">
        <f t="shared" si="5"/>
        <v>Player 343</v>
      </c>
      <c r="D344">
        <v>79.685686078449095</v>
      </c>
    </row>
    <row r="345" spans="1:4" x14ac:dyDescent="0.25">
      <c r="A345">
        <v>4444</v>
      </c>
      <c r="B345">
        <v>344</v>
      </c>
      <c r="C345" t="str">
        <f t="shared" si="5"/>
        <v>Player 344</v>
      </c>
      <c r="D345">
        <v>62.784057062705202</v>
      </c>
    </row>
    <row r="346" spans="1:4" x14ac:dyDescent="0.25">
      <c r="A346">
        <v>4446</v>
      </c>
      <c r="B346">
        <v>345</v>
      </c>
      <c r="C346" t="str">
        <f t="shared" si="5"/>
        <v>Player 345</v>
      </c>
      <c r="D346">
        <v>53.0632954859542</v>
      </c>
    </row>
    <row r="347" spans="1:4" x14ac:dyDescent="0.25">
      <c r="A347">
        <v>4472</v>
      </c>
      <c r="B347">
        <v>346</v>
      </c>
      <c r="C347" t="str">
        <f t="shared" si="5"/>
        <v>Player 346</v>
      </c>
      <c r="D347">
        <v>29.031856029907299</v>
      </c>
    </row>
    <row r="348" spans="1:4" x14ac:dyDescent="0.25">
      <c r="A348">
        <v>4476</v>
      </c>
      <c r="B348">
        <v>347</v>
      </c>
      <c r="C348" t="str">
        <f t="shared" si="5"/>
        <v>Player 347</v>
      </c>
      <c r="D348">
        <v>76.265411967130902</v>
      </c>
    </row>
    <row r="349" spans="1:4" x14ac:dyDescent="0.25">
      <c r="A349">
        <v>4486</v>
      </c>
      <c r="B349">
        <v>348</v>
      </c>
      <c r="C349" t="str">
        <f t="shared" si="5"/>
        <v>Player 348</v>
      </c>
      <c r="D349">
        <v>67.904072567461299</v>
      </c>
    </row>
    <row r="350" spans="1:4" x14ac:dyDescent="0.25">
      <c r="A350">
        <v>4490</v>
      </c>
      <c r="B350">
        <v>349</v>
      </c>
      <c r="C350" t="str">
        <f t="shared" si="5"/>
        <v>Player 349</v>
      </c>
      <c r="D350">
        <v>30.455445815102401</v>
      </c>
    </row>
    <row r="351" spans="1:4" x14ac:dyDescent="0.25">
      <c r="A351">
        <v>4506</v>
      </c>
      <c r="B351">
        <v>350</v>
      </c>
      <c r="C351" t="str">
        <f t="shared" si="5"/>
        <v>Player 350</v>
      </c>
      <c r="D351">
        <v>81.248950709708296</v>
      </c>
    </row>
    <row r="352" spans="1:4" x14ac:dyDescent="0.25">
      <c r="A352">
        <v>4507</v>
      </c>
      <c r="B352">
        <v>351</v>
      </c>
      <c r="C352" t="str">
        <f t="shared" si="5"/>
        <v>Player 351</v>
      </c>
      <c r="D352">
        <v>93.795312025293796</v>
      </c>
    </row>
    <row r="353" spans="1:4" x14ac:dyDescent="0.25">
      <c r="A353">
        <v>4510</v>
      </c>
      <c r="B353">
        <v>352</v>
      </c>
      <c r="C353" t="str">
        <f t="shared" si="5"/>
        <v>Player 352</v>
      </c>
      <c r="D353">
        <v>96.727830105364802</v>
      </c>
    </row>
    <row r="354" spans="1:4" x14ac:dyDescent="0.25">
      <c r="A354">
        <v>4517</v>
      </c>
      <c r="B354">
        <v>353</v>
      </c>
      <c r="C354" t="str">
        <f t="shared" si="5"/>
        <v>Player 353</v>
      </c>
      <c r="D354">
        <v>110.537318826242</v>
      </c>
    </row>
    <row r="355" spans="1:4" x14ac:dyDescent="0.25">
      <c r="A355">
        <v>4530</v>
      </c>
      <c r="B355">
        <v>354</v>
      </c>
      <c r="C355" t="str">
        <f t="shared" si="5"/>
        <v>Player 354</v>
      </c>
      <c r="D355">
        <v>60.9470741888777</v>
      </c>
    </row>
    <row r="356" spans="1:4" x14ac:dyDescent="0.25">
      <c r="A356">
        <v>4531</v>
      </c>
      <c r="B356">
        <v>355</v>
      </c>
      <c r="C356" t="str">
        <f t="shared" si="5"/>
        <v>Player 355</v>
      </c>
      <c r="D356">
        <v>115.307276862213</v>
      </c>
    </row>
    <row r="357" spans="1:4" x14ac:dyDescent="0.25">
      <c r="A357">
        <v>4556</v>
      </c>
      <c r="B357">
        <v>356</v>
      </c>
      <c r="C357" t="str">
        <f t="shared" si="5"/>
        <v>Player 356</v>
      </c>
      <c r="D357">
        <v>106.542940508268</v>
      </c>
    </row>
    <row r="358" spans="1:4" x14ac:dyDescent="0.25">
      <c r="A358">
        <v>4561</v>
      </c>
      <c r="B358">
        <v>357</v>
      </c>
      <c r="C358" t="str">
        <f t="shared" si="5"/>
        <v>Player 357</v>
      </c>
      <c r="D358">
        <v>49.650157102393898</v>
      </c>
    </row>
    <row r="359" spans="1:4" x14ac:dyDescent="0.25">
      <c r="A359">
        <v>4572</v>
      </c>
      <c r="B359">
        <v>358</v>
      </c>
      <c r="C359" t="str">
        <f t="shared" si="5"/>
        <v>Player 358</v>
      </c>
      <c r="D359">
        <v>35.9283037349458</v>
      </c>
    </row>
    <row r="360" spans="1:4" x14ac:dyDescent="0.25">
      <c r="A360">
        <v>4579</v>
      </c>
      <c r="B360">
        <v>359</v>
      </c>
      <c r="C360" t="str">
        <f t="shared" si="5"/>
        <v>Player 359</v>
      </c>
      <c r="D360">
        <v>63.5389396128013</v>
      </c>
    </row>
    <row r="361" spans="1:4" x14ac:dyDescent="0.25">
      <c r="A361">
        <v>4581</v>
      </c>
      <c r="B361">
        <v>360</v>
      </c>
      <c r="C361" t="str">
        <f t="shared" si="5"/>
        <v>Player 360</v>
      </c>
      <c r="D361">
        <v>60.189870795596597</v>
      </c>
    </row>
    <row r="362" spans="1:4" x14ac:dyDescent="0.25">
      <c r="A362">
        <v>4584</v>
      </c>
      <c r="B362">
        <v>361</v>
      </c>
      <c r="C362" t="str">
        <f t="shared" si="5"/>
        <v>Player 361</v>
      </c>
      <c r="D362">
        <v>77.571930533120394</v>
      </c>
    </row>
    <row r="363" spans="1:4" x14ac:dyDescent="0.25">
      <c r="A363">
        <v>4596</v>
      </c>
      <c r="B363">
        <v>362</v>
      </c>
      <c r="C363" t="str">
        <f t="shared" si="5"/>
        <v>Player 362</v>
      </c>
      <c r="D363">
        <v>78.338623232774793</v>
      </c>
    </row>
    <row r="364" spans="1:4" x14ac:dyDescent="0.25">
      <c r="A364">
        <v>4600</v>
      </c>
      <c r="B364">
        <v>363</v>
      </c>
      <c r="C364" t="str">
        <f t="shared" si="5"/>
        <v>Player 363</v>
      </c>
      <c r="D364">
        <v>94.998698437997504</v>
      </c>
    </row>
    <row r="365" spans="1:4" x14ac:dyDescent="0.25">
      <c r="A365">
        <v>4627</v>
      </c>
      <c r="B365">
        <v>364</v>
      </c>
      <c r="C365" t="str">
        <f t="shared" si="5"/>
        <v>Player 364</v>
      </c>
      <c r="D365">
        <v>70.988994820561004</v>
      </c>
    </row>
    <row r="366" spans="1:4" x14ac:dyDescent="0.25">
      <c r="A366">
        <v>4636</v>
      </c>
      <c r="B366">
        <v>365</v>
      </c>
      <c r="C366" t="str">
        <f t="shared" si="5"/>
        <v>Player 365</v>
      </c>
      <c r="D366">
        <v>30.482264094076498</v>
      </c>
    </row>
    <row r="367" spans="1:4" x14ac:dyDescent="0.25">
      <c r="A367">
        <v>4644</v>
      </c>
      <c r="B367">
        <v>366</v>
      </c>
      <c r="C367" t="str">
        <f t="shared" si="5"/>
        <v>Player 366</v>
      </c>
      <c r="D367">
        <v>105.82913355530999</v>
      </c>
    </row>
    <row r="368" spans="1:4" x14ac:dyDescent="0.25">
      <c r="A368">
        <v>4672</v>
      </c>
      <c r="B368">
        <v>367</v>
      </c>
      <c r="C368" t="str">
        <f t="shared" si="5"/>
        <v>Player 367</v>
      </c>
      <c r="D368">
        <v>50.976458318518702</v>
      </c>
    </row>
    <row r="369" spans="1:4" x14ac:dyDescent="0.25">
      <c r="A369">
        <v>4687</v>
      </c>
      <c r="B369">
        <v>368</v>
      </c>
      <c r="C369" t="str">
        <f t="shared" si="5"/>
        <v>Player 368</v>
      </c>
      <c r="D369">
        <v>117.12974603065901</v>
      </c>
    </row>
    <row r="370" spans="1:4" x14ac:dyDescent="0.25">
      <c r="A370">
        <v>4696</v>
      </c>
      <c r="B370">
        <v>369</v>
      </c>
      <c r="C370" t="str">
        <f t="shared" si="5"/>
        <v>Player 369</v>
      </c>
      <c r="D370">
        <v>31.786010867977001</v>
      </c>
    </row>
    <row r="371" spans="1:4" x14ac:dyDescent="0.25">
      <c r="A371">
        <v>4701</v>
      </c>
      <c r="B371">
        <v>370</v>
      </c>
      <c r="C371" t="str">
        <f t="shared" si="5"/>
        <v>Player 370</v>
      </c>
      <c r="D371">
        <v>115.82511722325</v>
      </c>
    </row>
    <row r="372" spans="1:4" x14ac:dyDescent="0.25">
      <c r="A372">
        <v>4709</v>
      </c>
      <c r="B372">
        <v>371</v>
      </c>
      <c r="C372" t="str">
        <f t="shared" si="5"/>
        <v>Player 371</v>
      </c>
      <c r="D372">
        <v>29.101180688251699</v>
      </c>
    </row>
    <row r="373" spans="1:4" x14ac:dyDescent="0.25">
      <c r="A373">
        <v>4719</v>
      </c>
      <c r="B373">
        <v>372</v>
      </c>
      <c r="C373" t="str">
        <f t="shared" si="5"/>
        <v>Player 372</v>
      </c>
      <c r="D373">
        <v>43.1036137947059</v>
      </c>
    </row>
    <row r="374" spans="1:4" x14ac:dyDescent="0.25">
      <c r="A374">
        <v>4735</v>
      </c>
      <c r="B374">
        <v>373</v>
      </c>
      <c r="C374" t="str">
        <f t="shared" si="5"/>
        <v>Player 373</v>
      </c>
      <c r="D374">
        <v>24.657994208654099</v>
      </c>
    </row>
    <row r="375" spans="1:4" x14ac:dyDescent="0.25">
      <c r="A375">
        <v>4744</v>
      </c>
      <c r="B375">
        <v>374</v>
      </c>
      <c r="C375" t="str">
        <f t="shared" si="5"/>
        <v>Player 374</v>
      </c>
      <c r="D375">
        <v>90.511314663899498</v>
      </c>
    </row>
    <row r="376" spans="1:4" x14ac:dyDescent="0.25">
      <c r="A376">
        <v>4748</v>
      </c>
      <c r="B376">
        <v>375</v>
      </c>
      <c r="C376" t="str">
        <f t="shared" si="5"/>
        <v>Player 375</v>
      </c>
      <c r="D376">
        <v>105.029873657179</v>
      </c>
    </row>
    <row r="377" spans="1:4" x14ac:dyDescent="0.25">
      <c r="A377">
        <v>4756</v>
      </c>
      <c r="B377">
        <v>376</v>
      </c>
      <c r="C377" t="str">
        <f t="shared" si="5"/>
        <v>Player 376</v>
      </c>
      <c r="D377">
        <v>63.407108181597998</v>
      </c>
    </row>
    <row r="378" spans="1:4" x14ac:dyDescent="0.25">
      <c r="A378">
        <v>4763</v>
      </c>
      <c r="B378">
        <v>377</v>
      </c>
      <c r="C378" t="str">
        <f t="shared" si="5"/>
        <v>Player 377</v>
      </c>
      <c r="D378">
        <v>112.852207504242</v>
      </c>
    </row>
    <row r="379" spans="1:4" x14ac:dyDescent="0.25">
      <c r="A379">
        <v>4766</v>
      </c>
      <c r="B379">
        <v>378</v>
      </c>
      <c r="C379" t="str">
        <f t="shared" si="5"/>
        <v>Player 378</v>
      </c>
      <c r="D379">
        <v>79.029907175559899</v>
      </c>
    </row>
    <row r="380" spans="1:4" x14ac:dyDescent="0.25">
      <c r="A380">
        <v>4769</v>
      </c>
      <c r="B380">
        <v>379</v>
      </c>
      <c r="C380" t="str">
        <f t="shared" si="5"/>
        <v>Player 379</v>
      </c>
      <c r="D380">
        <v>83.000713544652299</v>
      </c>
    </row>
    <row r="381" spans="1:4" x14ac:dyDescent="0.25">
      <c r="A381">
        <v>4775</v>
      </c>
      <c r="B381">
        <v>380</v>
      </c>
      <c r="C381" t="str">
        <f t="shared" si="5"/>
        <v>Player 380</v>
      </c>
      <c r="D381">
        <v>104.541920170076</v>
      </c>
    </row>
    <row r="382" spans="1:4" x14ac:dyDescent="0.25">
      <c r="A382">
        <v>4797</v>
      </c>
      <c r="B382">
        <v>381</v>
      </c>
      <c r="C382" t="str">
        <f t="shared" si="5"/>
        <v>Player 381</v>
      </c>
      <c r="D382">
        <v>49.680020505183798</v>
      </c>
    </row>
    <row r="383" spans="1:4" x14ac:dyDescent="0.25">
      <c r="A383">
        <v>4812</v>
      </c>
      <c r="B383">
        <v>382</v>
      </c>
      <c r="C383" t="str">
        <f t="shared" si="5"/>
        <v>Player 382</v>
      </c>
      <c r="D383">
        <v>55.426572132762502</v>
      </c>
    </row>
    <row r="384" spans="1:4" x14ac:dyDescent="0.25">
      <c r="A384">
        <v>4818</v>
      </c>
      <c r="B384">
        <v>383</v>
      </c>
      <c r="C384" t="str">
        <f t="shared" si="5"/>
        <v>Player 383</v>
      </c>
      <c r="D384">
        <v>110.595191919464</v>
      </c>
    </row>
    <row r="385" spans="1:4" x14ac:dyDescent="0.25">
      <c r="A385">
        <v>4840</v>
      </c>
      <c r="B385">
        <v>384</v>
      </c>
      <c r="C385" t="str">
        <f t="shared" si="5"/>
        <v>Player 384</v>
      </c>
      <c r="D385">
        <v>110.09634960387601</v>
      </c>
    </row>
    <row r="386" spans="1:4" x14ac:dyDescent="0.25">
      <c r="A386">
        <v>4843</v>
      </c>
      <c r="B386">
        <v>385</v>
      </c>
      <c r="C386" t="str">
        <f t="shared" si="5"/>
        <v>Player 385</v>
      </c>
      <c r="D386">
        <v>117.648277620087</v>
      </c>
    </row>
    <row r="387" spans="1:4" x14ac:dyDescent="0.25">
      <c r="A387">
        <v>4854</v>
      </c>
      <c r="B387">
        <v>386</v>
      </c>
      <c r="C387" t="str">
        <f t="shared" ref="C387:C450" si="6">"Player "&amp;TEXT(B387,"000")</f>
        <v>Player 386</v>
      </c>
      <c r="D387">
        <v>110.183831644167</v>
      </c>
    </row>
    <row r="388" spans="1:4" x14ac:dyDescent="0.25">
      <c r="A388">
        <v>4863</v>
      </c>
      <c r="B388">
        <v>387</v>
      </c>
      <c r="C388" t="str">
        <f t="shared" si="6"/>
        <v>Player 387</v>
      </c>
      <c r="D388">
        <v>32.737203603335999</v>
      </c>
    </row>
    <row r="389" spans="1:4" x14ac:dyDescent="0.25">
      <c r="A389">
        <v>4876</v>
      </c>
      <c r="B389">
        <v>388</v>
      </c>
      <c r="C389" t="str">
        <f t="shared" si="6"/>
        <v>Player 388</v>
      </c>
      <c r="D389">
        <v>102.37242861369801</v>
      </c>
    </row>
    <row r="390" spans="1:4" x14ac:dyDescent="0.25">
      <c r="A390">
        <v>4890</v>
      </c>
      <c r="B390">
        <v>389</v>
      </c>
      <c r="C390" t="str">
        <f t="shared" si="6"/>
        <v>Player 389</v>
      </c>
      <c r="D390">
        <v>60.983847810959404</v>
      </c>
    </row>
    <row r="391" spans="1:4" x14ac:dyDescent="0.25">
      <c r="A391">
        <v>4900</v>
      </c>
      <c r="B391">
        <v>390</v>
      </c>
      <c r="C391" t="str">
        <f t="shared" si="6"/>
        <v>Player 390</v>
      </c>
      <c r="D391">
        <v>119.080135594593</v>
      </c>
    </row>
    <row r="392" spans="1:4" x14ac:dyDescent="0.25">
      <c r="A392">
        <v>4913</v>
      </c>
      <c r="B392">
        <v>391</v>
      </c>
      <c r="C392" t="str">
        <f t="shared" si="6"/>
        <v>Player 391</v>
      </c>
      <c r="D392">
        <v>67.228096432880093</v>
      </c>
    </row>
    <row r="393" spans="1:4" x14ac:dyDescent="0.25">
      <c r="A393">
        <v>4925</v>
      </c>
      <c r="B393">
        <v>392</v>
      </c>
      <c r="C393" t="str">
        <f t="shared" si="6"/>
        <v>Player 392</v>
      </c>
      <c r="D393">
        <v>75.383608250221997</v>
      </c>
    </row>
    <row r="394" spans="1:4" x14ac:dyDescent="0.25">
      <c r="A394">
        <v>4943</v>
      </c>
      <c r="B394">
        <v>393</v>
      </c>
      <c r="C394" t="str">
        <f t="shared" si="6"/>
        <v>Player 393</v>
      </c>
      <c r="D394">
        <v>72.977491525679795</v>
      </c>
    </row>
    <row r="395" spans="1:4" x14ac:dyDescent="0.25">
      <c r="A395">
        <v>4974</v>
      </c>
      <c r="B395">
        <v>394</v>
      </c>
      <c r="C395" t="str">
        <f t="shared" si="6"/>
        <v>Player 394</v>
      </c>
      <c r="D395">
        <v>52.173702985827703</v>
      </c>
    </row>
    <row r="396" spans="1:4" x14ac:dyDescent="0.25">
      <c r="A396">
        <v>4987</v>
      </c>
      <c r="B396">
        <v>395</v>
      </c>
      <c r="C396" t="str">
        <f t="shared" si="6"/>
        <v>Player 395</v>
      </c>
      <c r="D396">
        <v>27.502208889291801</v>
      </c>
    </row>
    <row r="397" spans="1:4" x14ac:dyDescent="0.25">
      <c r="A397">
        <v>5000</v>
      </c>
      <c r="B397">
        <v>396</v>
      </c>
      <c r="C397" t="str">
        <f t="shared" si="6"/>
        <v>Player 396</v>
      </c>
      <c r="D397">
        <v>109.565123040191</v>
      </c>
    </row>
    <row r="398" spans="1:4" x14ac:dyDescent="0.25">
      <c r="A398">
        <v>5014</v>
      </c>
      <c r="B398">
        <v>397</v>
      </c>
      <c r="C398" t="str">
        <f t="shared" si="6"/>
        <v>Player 397</v>
      </c>
      <c r="D398">
        <v>100.26758125262801</v>
      </c>
    </row>
    <row r="399" spans="1:4" x14ac:dyDescent="0.25">
      <c r="A399">
        <v>5018</v>
      </c>
      <c r="B399">
        <v>398</v>
      </c>
      <c r="C399" t="str">
        <f t="shared" si="6"/>
        <v>Player 398</v>
      </c>
      <c r="D399">
        <v>33.952678055966899</v>
      </c>
    </row>
    <row r="400" spans="1:4" x14ac:dyDescent="0.25">
      <c r="A400">
        <v>5021</v>
      </c>
      <c r="B400">
        <v>399</v>
      </c>
      <c r="C400" t="str">
        <f t="shared" si="6"/>
        <v>Player 399</v>
      </c>
      <c r="D400">
        <v>97.676827135007201</v>
      </c>
    </row>
    <row r="401" spans="1:4" x14ac:dyDescent="0.25">
      <c r="A401">
        <v>5033</v>
      </c>
      <c r="B401">
        <v>400</v>
      </c>
      <c r="C401" t="str">
        <f t="shared" si="6"/>
        <v>Player 400</v>
      </c>
      <c r="D401">
        <v>82.584666605061003</v>
      </c>
    </row>
    <row r="402" spans="1:4" x14ac:dyDescent="0.25">
      <c r="A402">
        <v>5061</v>
      </c>
      <c r="B402">
        <v>401</v>
      </c>
      <c r="C402" t="str">
        <f t="shared" si="6"/>
        <v>Player 401</v>
      </c>
      <c r="D402">
        <v>60.914378791762203</v>
      </c>
    </row>
    <row r="403" spans="1:4" x14ac:dyDescent="0.25">
      <c r="A403">
        <v>5070</v>
      </c>
      <c r="B403">
        <v>402</v>
      </c>
      <c r="C403" t="str">
        <f t="shared" si="6"/>
        <v>Player 402</v>
      </c>
      <c r="D403">
        <v>45.402114909556197</v>
      </c>
    </row>
    <row r="404" spans="1:4" x14ac:dyDescent="0.25">
      <c r="A404">
        <v>5079</v>
      </c>
      <c r="B404">
        <v>403</v>
      </c>
      <c r="C404" t="str">
        <f t="shared" si="6"/>
        <v>Player 403</v>
      </c>
      <c r="D404">
        <v>105.972878350223</v>
      </c>
    </row>
    <row r="405" spans="1:4" x14ac:dyDescent="0.25">
      <c r="A405">
        <v>5107</v>
      </c>
      <c r="B405">
        <v>404</v>
      </c>
      <c r="C405" t="str">
        <f t="shared" si="6"/>
        <v>Player 404</v>
      </c>
      <c r="D405">
        <v>90.018825929405295</v>
      </c>
    </row>
    <row r="406" spans="1:4" x14ac:dyDescent="0.25">
      <c r="A406">
        <v>5142</v>
      </c>
      <c r="B406">
        <v>405</v>
      </c>
      <c r="C406" t="str">
        <f t="shared" si="6"/>
        <v>Player 405</v>
      </c>
      <c r="D406">
        <v>74.773990946913599</v>
      </c>
    </row>
    <row r="407" spans="1:4" x14ac:dyDescent="0.25">
      <c r="A407">
        <v>5143</v>
      </c>
      <c r="B407">
        <v>406</v>
      </c>
      <c r="C407" t="str">
        <f t="shared" si="6"/>
        <v>Player 406</v>
      </c>
      <c r="D407">
        <v>80.956853389846401</v>
      </c>
    </row>
    <row r="408" spans="1:4" x14ac:dyDescent="0.25">
      <c r="A408">
        <v>5146</v>
      </c>
      <c r="B408">
        <v>407</v>
      </c>
      <c r="C408" t="str">
        <f t="shared" si="6"/>
        <v>Player 407</v>
      </c>
      <c r="D408">
        <v>29.106618208217999</v>
      </c>
    </row>
    <row r="409" spans="1:4" x14ac:dyDescent="0.25">
      <c r="A409">
        <v>5158</v>
      </c>
      <c r="B409">
        <v>408</v>
      </c>
      <c r="C409" t="str">
        <f t="shared" si="6"/>
        <v>Player 408</v>
      </c>
      <c r="D409">
        <v>67.391976091119105</v>
      </c>
    </row>
    <row r="410" spans="1:4" x14ac:dyDescent="0.25">
      <c r="A410">
        <v>5164</v>
      </c>
      <c r="B410">
        <v>409</v>
      </c>
      <c r="C410" t="str">
        <f t="shared" si="6"/>
        <v>Player 409</v>
      </c>
      <c r="D410">
        <v>39.3700292785702</v>
      </c>
    </row>
    <row r="411" spans="1:4" x14ac:dyDescent="0.25">
      <c r="A411">
        <v>5171</v>
      </c>
      <c r="B411">
        <v>410</v>
      </c>
      <c r="C411" t="str">
        <f t="shared" si="6"/>
        <v>Player 410</v>
      </c>
      <c r="D411">
        <v>40.838367900882503</v>
      </c>
    </row>
    <row r="412" spans="1:4" x14ac:dyDescent="0.25">
      <c r="A412">
        <v>5175</v>
      </c>
      <c r="B412">
        <v>411</v>
      </c>
      <c r="C412" t="str">
        <f t="shared" si="6"/>
        <v>Player 411</v>
      </c>
      <c r="D412">
        <v>86.130396228686607</v>
      </c>
    </row>
    <row r="413" spans="1:4" x14ac:dyDescent="0.25">
      <c r="A413">
        <v>5178</v>
      </c>
      <c r="B413">
        <v>412</v>
      </c>
      <c r="C413" t="str">
        <f t="shared" si="6"/>
        <v>Player 412</v>
      </c>
      <c r="D413">
        <v>111.125615183428</v>
      </c>
    </row>
    <row r="414" spans="1:4" x14ac:dyDescent="0.25">
      <c r="A414">
        <v>5186</v>
      </c>
      <c r="B414">
        <v>413</v>
      </c>
      <c r="C414" t="str">
        <f t="shared" si="6"/>
        <v>Player 413</v>
      </c>
      <c r="D414">
        <v>60.375661047834598</v>
      </c>
    </row>
    <row r="415" spans="1:4" x14ac:dyDescent="0.25">
      <c r="A415">
        <v>5188</v>
      </c>
      <c r="B415">
        <v>414</v>
      </c>
      <c r="C415" t="str">
        <f t="shared" si="6"/>
        <v>Player 414</v>
      </c>
      <c r="D415">
        <v>40.774927301219002</v>
      </c>
    </row>
    <row r="416" spans="1:4" x14ac:dyDescent="0.25">
      <c r="A416">
        <v>5199</v>
      </c>
      <c r="B416">
        <v>415</v>
      </c>
      <c r="C416" t="str">
        <f t="shared" si="6"/>
        <v>Player 415</v>
      </c>
      <c r="D416">
        <v>84.874693723665402</v>
      </c>
    </row>
    <row r="417" spans="1:4" x14ac:dyDescent="0.25">
      <c r="A417">
        <v>5206</v>
      </c>
      <c r="B417">
        <v>416</v>
      </c>
      <c r="C417" t="str">
        <f t="shared" si="6"/>
        <v>Player 416</v>
      </c>
      <c r="D417">
        <v>107.11870463503099</v>
      </c>
    </row>
    <row r="418" spans="1:4" x14ac:dyDescent="0.25">
      <c r="A418">
        <v>5208</v>
      </c>
      <c r="B418">
        <v>417</v>
      </c>
      <c r="C418" t="str">
        <f t="shared" si="6"/>
        <v>Player 417</v>
      </c>
      <c r="D418">
        <v>94.831880112248996</v>
      </c>
    </row>
    <row r="419" spans="1:4" x14ac:dyDescent="0.25">
      <c r="A419">
        <v>5212</v>
      </c>
      <c r="B419">
        <v>418</v>
      </c>
      <c r="C419" t="str">
        <f t="shared" si="6"/>
        <v>Player 418</v>
      </c>
      <c r="D419">
        <v>106.87572305365801</v>
      </c>
    </row>
    <row r="420" spans="1:4" x14ac:dyDescent="0.25">
      <c r="A420">
        <v>5218</v>
      </c>
      <c r="B420">
        <v>419</v>
      </c>
      <c r="C420" t="str">
        <f t="shared" si="6"/>
        <v>Player 419</v>
      </c>
      <c r="D420">
        <v>73.655467101079907</v>
      </c>
    </row>
    <row r="421" spans="1:4" x14ac:dyDescent="0.25">
      <c r="A421">
        <v>5225</v>
      </c>
      <c r="B421">
        <v>420</v>
      </c>
      <c r="C421" t="str">
        <f t="shared" si="6"/>
        <v>Player 420</v>
      </c>
      <c r="D421">
        <v>95.187624436919094</v>
      </c>
    </row>
    <row r="422" spans="1:4" x14ac:dyDescent="0.25">
      <c r="A422">
        <v>5227</v>
      </c>
      <c r="B422">
        <v>421</v>
      </c>
      <c r="C422" t="str">
        <f t="shared" si="6"/>
        <v>Player 421</v>
      </c>
      <c r="D422">
        <v>34.006455935893598</v>
      </c>
    </row>
    <row r="423" spans="1:4" x14ac:dyDescent="0.25">
      <c r="A423">
        <v>5234</v>
      </c>
      <c r="B423">
        <v>422</v>
      </c>
      <c r="C423" t="str">
        <f t="shared" si="6"/>
        <v>Player 422</v>
      </c>
      <c r="D423">
        <v>54.827461536319099</v>
      </c>
    </row>
    <row r="424" spans="1:4" x14ac:dyDescent="0.25">
      <c r="A424">
        <v>5243</v>
      </c>
      <c r="B424">
        <v>423</v>
      </c>
      <c r="C424" t="str">
        <f t="shared" si="6"/>
        <v>Player 423</v>
      </c>
      <c r="D424">
        <v>58.954916448152197</v>
      </c>
    </row>
    <row r="425" spans="1:4" x14ac:dyDescent="0.25">
      <c r="A425">
        <v>5249</v>
      </c>
      <c r="B425">
        <v>424</v>
      </c>
      <c r="C425" t="str">
        <f t="shared" si="6"/>
        <v>Player 424</v>
      </c>
      <c r="D425">
        <v>71.129574624603407</v>
      </c>
    </row>
    <row r="426" spans="1:4" x14ac:dyDescent="0.25">
      <c r="A426">
        <v>5261</v>
      </c>
      <c r="B426">
        <v>425</v>
      </c>
      <c r="C426" t="str">
        <f t="shared" si="6"/>
        <v>Player 425</v>
      </c>
      <c r="D426">
        <v>112.907636025682</v>
      </c>
    </row>
    <row r="427" spans="1:4" x14ac:dyDescent="0.25">
      <c r="A427">
        <v>5268</v>
      </c>
      <c r="B427">
        <v>426</v>
      </c>
      <c r="C427" t="str">
        <f t="shared" si="6"/>
        <v>Player 426</v>
      </c>
      <c r="D427">
        <v>107.429656022217</v>
      </c>
    </row>
    <row r="428" spans="1:4" x14ac:dyDescent="0.25">
      <c r="A428">
        <v>5282</v>
      </c>
      <c r="B428">
        <v>427</v>
      </c>
      <c r="C428" t="str">
        <f t="shared" si="6"/>
        <v>Player 427</v>
      </c>
      <c r="D428">
        <v>33.4525492289184</v>
      </c>
    </row>
    <row r="429" spans="1:4" x14ac:dyDescent="0.25">
      <c r="A429">
        <v>5289</v>
      </c>
      <c r="B429">
        <v>428</v>
      </c>
      <c r="C429" t="str">
        <f t="shared" si="6"/>
        <v>Player 428</v>
      </c>
      <c r="D429">
        <v>37.278965188246303</v>
      </c>
    </row>
    <row r="430" spans="1:4" x14ac:dyDescent="0.25">
      <c r="A430">
        <v>5297</v>
      </c>
      <c r="B430">
        <v>429</v>
      </c>
      <c r="C430" t="str">
        <f t="shared" si="6"/>
        <v>Player 429</v>
      </c>
      <c r="D430">
        <v>55.764054958891101</v>
      </c>
    </row>
    <row r="431" spans="1:4" x14ac:dyDescent="0.25">
      <c r="A431">
        <v>5300</v>
      </c>
      <c r="B431">
        <v>430</v>
      </c>
      <c r="C431" t="str">
        <f t="shared" si="6"/>
        <v>Player 430</v>
      </c>
      <c r="D431">
        <v>49.074386589067302</v>
      </c>
    </row>
    <row r="432" spans="1:4" x14ac:dyDescent="0.25">
      <c r="A432">
        <v>5312</v>
      </c>
      <c r="B432">
        <v>431</v>
      </c>
      <c r="C432" t="str">
        <f t="shared" si="6"/>
        <v>Player 431</v>
      </c>
      <c r="D432">
        <v>81.477095315626201</v>
      </c>
    </row>
    <row r="433" spans="1:4" x14ac:dyDescent="0.25">
      <c r="A433">
        <v>5324</v>
      </c>
      <c r="B433">
        <v>432</v>
      </c>
      <c r="C433" t="str">
        <f t="shared" si="6"/>
        <v>Player 432</v>
      </c>
      <c r="D433">
        <v>110.277604776454</v>
      </c>
    </row>
    <row r="434" spans="1:4" x14ac:dyDescent="0.25">
      <c r="A434">
        <v>5330</v>
      </c>
      <c r="B434">
        <v>433</v>
      </c>
      <c r="C434" t="str">
        <f t="shared" si="6"/>
        <v>Player 433</v>
      </c>
      <c r="D434">
        <v>116.229154167258</v>
      </c>
    </row>
    <row r="435" spans="1:4" x14ac:dyDescent="0.25">
      <c r="A435">
        <v>5360</v>
      </c>
      <c r="B435">
        <v>434</v>
      </c>
      <c r="C435" t="str">
        <f t="shared" si="6"/>
        <v>Player 434</v>
      </c>
      <c r="D435">
        <v>85.360295253522594</v>
      </c>
    </row>
    <row r="436" spans="1:4" x14ac:dyDescent="0.25">
      <c r="A436">
        <v>5363</v>
      </c>
      <c r="B436">
        <v>435</v>
      </c>
      <c r="C436" t="str">
        <f t="shared" si="6"/>
        <v>Player 435</v>
      </c>
      <c r="D436">
        <v>103.81592014010801</v>
      </c>
    </row>
    <row r="437" spans="1:4" x14ac:dyDescent="0.25">
      <c r="A437">
        <v>5380</v>
      </c>
      <c r="B437">
        <v>436</v>
      </c>
      <c r="C437" t="str">
        <f t="shared" si="6"/>
        <v>Player 436</v>
      </c>
      <c r="D437">
        <v>72.520220023079702</v>
      </c>
    </row>
    <row r="438" spans="1:4" x14ac:dyDescent="0.25">
      <c r="A438">
        <v>5389</v>
      </c>
      <c r="B438">
        <v>437</v>
      </c>
      <c r="C438" t="str">
        <f t="shared" si="6"/>
        <v>Player 437</v>
      </c>
      <c r="D438">
        <v>40.832694686003897</v>
      </c>
    </row>
    <row r="439" spans="1:4" x14ac:dyDescent="0.25">
      <c r="A439">
        <v>5413</v>
      </c>
      <c r="B439">
        <v>438</v>
      </c>
      <c r="C439" t="str">
        <f t="shared" si="6"/>
        <v>Player 438</v>
      </c>
      <c r="D439">
        <v>72.468841209347701</v>
      </c>
    </row>
    <row r="440" spans="1:4" x14ac:dyDescent="0.25">
      <c r="A440">
        <v>5422</v>
      </c>
      <c r="B440">
        <v>439</v>
      </c>
      <c r="C440" t="str">
        <f t="shared" si="6"/>
        <v>Player 439</v>
      </c>
      <c r="D440">
        <v>75.508260143765099</v>
      </c>
    </row>
    <row r="441" spans="1:4" x14ac:dyDescent="0.25">
      <c r="A441">
        <v>5426</v>
      </c>
      <c r="B441">
        <v>440</v>
      </c>
      <c r="C441" t="str">
        <f t="shared" si="6"/>
        <v>Player 440</v>
      </c>
      <c r="D441">
        <v>94.245756421355594</v>
      </c>
    </row>
    <row r="442" spans="1:4" x14ac:dyDescent="0.25">
      <c r="A442">
        <v>5432</v>
      </c>
      <c r="B442">
        <v>441</v>
      </c>
      <c r="C442" t="str">
        <f t="shared" si="6"/>
        <v>Player 441</v>
      </c>
      <c r="D442">
        <v>41.988298970734903</v>
      </c>
    </row>
    <row r="443" spans="1:4" x14ac:dyDescent="0.25">
      <c r="A443">
        <v>5433</v>
      </c>
      <c r="B443">
        <v>442</v>
      </c>
      <c r="C443" t="str">
        <f t="shared" si="6"/>
        <v>Player 442</v>
      </c>
      <c r="D443">
        <v>56.8310382086731</v>
      </c>
    </row>
    <row r="444" spans="1:4" x14ac:dyDescent="0.25">
      <c r="A444">
        <v>5451</v>
      </c>
      <c r="B444">
        <v>443</v>
      </c>
      <c r="C444" t="str">
        <f t="shared" si="6"/>
        <v>Player 443</v>
      </c>
      <c r="D444">
        <v>56.402746921456597</v>
      </c>
    </row>
    <row r="445" spans="1:4" x14ac:dyDescent="0.25">
      <c r="A445">
        <v>5452</v>
      </c>
      <c r="B445">
        <v>444</v>
      </c>
      <c r="C445" t="str">
        <f t="shared" si="6"/>
        <v>Player 444</v>
      </c>
      <c r="D445">
        <v>115.94395957411599</v>
      </c>
    </row>
    <row r="446" spans="1:4" x14ac:dyDescent="0.25">
      <c r="A446">
        <v>5465</v>
      </c>
      <c r="B446">
        <v>445</v>
      </c>
      <c r="C446" t="str">
        <f t="shared" si="6"/>
        <v>Player 445</v>
      </c>
      <c r="D446">
        <v>64.394496032671896</v>
      </c>
    </row>
    <row r="447" spans="1:4" x14ac:dyDescent="0.25">
      <c r="A447">
        <v>5468</v>
      </c>
      <c r="B447">
        <v>446</v>
      </c>
      <c r="C447" t="str">
        <f t="shared" si="6"/>
        <v>Player 446</v>
      </c>
      <c r="D447">
        <v>95.509396729814597</v>
      </c>
    </row>
    <row r="448" spans="1:4" x14ac:dyDescent="0.25">
      <c r="A448">
        <v>5488</v>
      </c>
      <c r="B448">
        <v>447</v>
      </c>
      <c r="C448" t="str">
        <f t="shared" si="6"/>
        <v>Player 447</v>
      </c>
      <c r="D448">
        <v>95.081138137443901</v>
      </c>
    </row>
    <row r="449" spans="1:4" x14ac:dyDescent="0.25">
      <c r="A449">
        <v>5491</v>
      </c>
      <c r="B449">
        <v>448</v>
      </c>
      <c r="C449" t="str">
        <f t="shared" si="6"/>
        <v>Player 448</v>
      </c>
      <c r="D449">
        <v>46.554418480324102</v>
      </c>
    </row>
    <row r="450" spans="1:4" x14ac:dyDescent="0.25">
      <c r="A450">
        <v>5492</v>
      </c>
      <c r="B450">
        <v>449</v>
      </c>
      <c r="C450" t="str">
        <f t="shared" si="6"/>
        <v>Player 449</v>
      </c>
      <c r="D450">
        <v>77.186968937173205</v>
      </c>
    </row>
    <row r="451" spans="1:4" x14ac:dyDescent="0.25">
      <c r="A451">
        <v>5493</v>
      </c>
      <c r="B451">
        <v>450</v>
      </c>
      <c r="C451" t="str">
        <f t="shared" ref="C451:C514" si="7">"Player "&amp;TEXT(B451,"000")</f>
        <v>Player 450</v>
      </c>
      <c r="D451">
        <v>109.430289331864</v>
      </c>
    </row>
    <row r="452" spans="1:4" x14ac:dyDescent="0.25">
      <c r="A452">
        <v>5495</v>
      </c>
      <c r="B452">
        <v>451</v>
      </c>
      <c r="C452" t="str">
        <f t="shared" si="7"/>
        <v>Player 451</v>
      </c>
      <c r="D452">
        <v>67.519771945694899</v>
      </c>
    </row>
    <row r="453" spans="1:4" x14ac:dyDescent="0.25">
      <c r="A453">
        <v>5496</v>
      </c>
      <c r="B453">
        <v>452</v>
      </c>
      <c r="C453" t="str">
        <f t="shared" si="7"/>
        <v>Player 452</v>
      </c>
      <c r="D453">
        <v>114.51175073425399</v>
      </c>
    </row>
    <row r="454" spans="1:4" x14ac:dyDescent="0.25">
      <c r="A454">
        <v>5499</v>
      </c>
      <c r="B454">
        <v>453</v>
      </c>
      <c r="C454" t="str">
        <f t="shared" si="7"/>
        <v>Player 453</v>
      </c>
      <c r="D454">
        <v>41.4458229324161</v>
      </c>
    </row>
    <row r="455" spans="1:4" x14ac:dyDescent="0.25">
      <c r="A455">
        <v>5524</v>
      </c>
      <c r="B455">
        <v>454</v>
      </c>
      <c r="C455" t="str">
        <f t="shared" si="7"/>
        <v>Player 454</v>
      </c>
      <c r="D455">
        <v>27.415910577403</v>
      </c>
    </row>
    <row r="456" spans="1:4" x14ac:dyDescent="0.25">
      <c r="A456">
        <v>5530</v>
      </c>
      <c r="B456">
        <v>455</v>
      </c>
      <c r="C456" t="str">
        <f t="shared" si="7"/>
        <v>Player 455</v>
      </c>
      <c r="D456">
        <v>109.14538731447399</v>
      </c>
    </row>
    <row r="457" spans="1:4" x14ac:dyDescent="0.25">
      <c r="A457">
        <v>5544</v>
      </c>
      <c r="B457">
        <v>456</v>
      </c>
      <c r="C457" t="str">
        <f t="shared" si="7"/>
        <v>Player 456</v>
      </c>
      <c r="D457">
        <v>104.768119796221</v>
      </c>
    </row>
    <row r="458" spans="1:4" x14ac:dyDescent="0.25">
      <c r="A458">
        <v>5548</v>
      </c>
      <c r="B458">
        <v>457</v>
      </c>
      <c r="C458" t="str">
        <f t="shared" si="7"/>
        <v>Player 457</v>
      </c>
      <c r="D458">
        <v>119.25898759338401</v>
      </c>
    </row>
    <row r="459" spans="1:4" x14ac:dyDescent="0.25">
      <c r="A459">
        <v>5555</v>
      </c>
      <c r="B459">
        <v>458</v>
      </c>
      <c r="C459" t="str">
        <f t="shared" si="7"/>
        <v>Player 458</v>
      </c>
      <c r="D459">
        <v>87.939348811242596</v>
      </c>
    </row>
    <row r="460" spans="1:4" x14ac:dyDescent="0.25">
      <c r="A460">
        <v>5611</v>
      </c>
      <c r="B460">
        <v>459</v>
      </c>
      <c r="C460" t="str">
        <f t="shared" si="7"/>
        <v>Player 459</v>
      </c>
      <c r="D460">
        <v>113.668792666714</v>
      </c>
    </row>
    <row r="461" spans="1:4" x14ac:dyDescent="0.25">
      <c r="A461">
        <v>5612</v>
      </c>
      <c r="B461">
        <v>460</v>
      </c>
      <c r="C461" t="str">
        <f t="shared" si="7"/>
        <v>Player 460</v>
      </c>
      <c r="D461">
        <v>102.694902508411</v>
      </c>
    </row>
    <row r="462" spans="1:4" x14ac:dyDescent="0.25">
      <c r="A462">
        <v>5621</v>
      </c>
      <c r="B462">
        <v>461</v>
      </c>
      <c r="C462" t="str">
        <f t="shared" si="7"/>
        <v>Player 461</v>
      </c>
      <c r="D462">
        <v>104.442633312008</v>
      </c>
    </row>
    <row r="463" spans="1:4" x14ac:dyDescent="0.25">
      <c r="A463">
        <v>5632</v>
      </c>
      <c r="B463">
        <v>462</v>
      </c>
      <c r="C463" t="str">
        <f t="shared" si="7"/>
        <v>Player 462</v>
      </c>
      <c r="D463">
        <v>76.914157045426805</v>
      </c>
    </row>
    <row r="464" spans="1:4" x14ac:dyDescent="0.25">
      <c r="A464">
        <v>5636</v>
      </c>
      <c r="B464">
        <v>463</v>
      </c>
      <c r="C464" t="str">
        <f t="shared" si="7"/>
        <v>Player 463</v>
      </c>
      <c r="D464">
        <v>58.236459791671003</v>
      </c>
    </row>
    <row r="465" spans="1:4" x14ac:dyDescent="0.25">
      <c r="A465">
        <v>5637</v>
      </c>
      <c r="B465">
        <v>464</v>
      </c>
      <c r="C465" t="str">
        <f t="shared" si="7"/>
        <v>Player 464</v>
      </c>
      <c r="D465">
        <v>113.45580725432799</v>
      </c>
    </row>
    <row r="466" spans="1:4" x14ac:dyDescent="0.25">
      <c r="A466">
        <v>5642</v>
      </c>
      <c r="B466">
        <v>465</v>
      </c>
      <c r="C466" t="str">
        <f t="shared" si="7"/>
        <v>Player 465</v>
      </c>
      <c r="D466">
        <v>63.211717561589403</v>
      </c>
    </row>
    <row r="467" spans="1:4" x14ac:dyDescent="0.25">
      <c r="A467">
        <v>5658</v>
      </c>
      <c r="B467">
        <v>466</v>
      </c>
      <c r="C467" t="str">
        <f t="shared" si="7"/>
        <v>Player 466</v>
      </c>
      <c r="D467">
        <v>73.881936724966906</v>
      </c>
    </row>
    <row r="468" spans="1:4" x14ac:dyDescent="0.25">
      <c r="A468">
        <v>5662</v>
      </c>
      <c r="B468">
        <v>467</v>
      </c>
      <c r="C468" t="str">
        <f t="shared" si="7"/>
        <v>Player 467</v>
      </c>
      <c r="D468">
        <v>64.611430712518697</v>
      </c>
    </row>
    <row r="469" spans="1:4" x14ac:dyDescent="0.25">
      <c r="A469">
        <v>5670</v>
      </c>
      <c r="B469">
        <v>468</v>
      </c>
      <c r="C469" t="str">
        <f t="shared" si="7"/>
        <v>Player 468</v>
      </c>
      <c r="D469">
        <v>76.4818313960197</v>
      </c>
    </row>
    <row r="470" spans="1:4" x14ac:dyDescent="0.25">
      <c r="A470">
        <v>5673</v>
      </c>
      <c r="B470">
        <v>469</v>
      </c>
      <c r="C470" t="str">
        <f t="shared" si="7"/>
        <v>Player 469</v>
      </c>
      <c r="D470">
        <v>67.050507899232699</v>
      </c>
    </row>
    <row r="471" spans="1:4" x14ac:dyDescent="0.25">
      <c r="A471">
        <v>5719</v>
      </c>
      <c r="B471">
        <v>470</v>
      </c>
      <c r="C471" t="str">
        <f t="shared" si="7"/>
        <v>Player 470</v>
      </c>
      <c r="D471">
        <v>24.796755857947499</v>
      </c>
    </row>
    <row r="472" spans="1:4" x14ac:dyDescent="0.25">
      <c r="A472">
        <v>5729</v>
      </c>
      <c r="B472">
        <v>471</v>
      </c>
      <c r="C472" t="str">
        <f t="shared" si="7"/>
        <v>Player 471</v>
      </c>
      <c r="D472">
        <v>108.204818600769</v>
      </c>
    </row>
    <row r="473" spans="1:4" x14ac:dyDescent="0.25">
      <c r="A473">
        <v>5735</v>
      </c>
      <c r="B473">
        <v>472</v>
      </c>
      <c r="C473" t="str">
        <f t="shared" si="7"/>
        <v>Player 472</v>
      </c>
      <c r="D473">
        <v>64.4393818915769</v>
      </c>
    </row>
    <row r="474" spans="1:4" x14ac:dyDescent="0.25">
      <c r="A474">
        <v>5736</v>
      </c>
      <c r="B474">
        <v>473</v>
      </c>
      <c r="C474" t="str">
        <f t="shared" si="7"/>
        <v>Player 473</v>
      </c>
      <c r="D474">
        <v>78.894364850734803</v>
      </c>
    </row>
    <row r="475" spans="1:4" x14ac:dyDescent="0.25">
      <c r="A475">
        <v>5737</v>
      </c>
      <c r="B475">
        <v>474</v>
      </c>
      <c r="C475" t="str">
        <f t="shared" si="7"/>
        <v>Player 474</v>
      </c>
      <c r="D475">
        <v>33.918780275798703</v>
      </c>
    </row>
    <row r="476" spans="1:4" x14ac:dyDescent="0.25">
      <c r="A476">
        <v>5748</v>
      </c>
      <c r="B476">
        <v>475</v>
      </c>
      <c r="C476" t="str">
        <f t="shared" si="7"/>
        <v>Player 475</v>
      </c>
      <c r="D476">
        <v>20.338784798263902</v>
      </c>
    </row>
    <row r="477" spans="1:4" x14ac:dyDescent="0.25">
      <c r="A477">
        <v>5752</v>
      </c>
      <c r="B477">
        <v>476</v>
      </c>
      <c r="C477" t="str">
        <f t="shared" si="7"/>
        <v>Player 476</v>
      </c>
      <c r="D477">
        <v>44.529009364364299</v>
      </c>
    </row>
    <row r="478" spans="1:4" x14ac:dyDescent="0.25">
      <c r="A478">
        <v>5757</v>
      </c>
      <c r="B478">
        <v>477</v>
      </c>
      <c r="C478" t="str">
        <f t="shared" si="7"/>
        <v>Player 477</v>
      </c>
      <c r="D478">
        <v>90.458603213334996</v>
      </c>
    </row>
    <row r="479" spans="1:4" x14ac:dyDescent="0.25">
      <c r="A479">
        <v>5777</v>
      </c>
      <c r="B479">
        <v>478</v>
      </c>
      <c r="C479" t="str">
        <f t="shared" si="7"/>
        <v>Player 478</v>
      </c>
      <c r="D479">
        <v>29.9194530112878</v>
      </c>
    </row>
    <row r="480" spans="1:4" x14ac:dyDescent="0.25">
      <c r="A480">
        <v>5780</v>
      </c>
      <c r="B480">
        <v>479</v>
      </c>
      <c r="C480" t="str">
        <f t="shared" si="7"/>
        <v>Player 479</v>
      </c>
      <c r="D480">
        <v>110.888744038646</v>
      </c>
    </row>
    <row r="481" spans="1:4" x14ac:dyDescent="0.25">
      <c r="A481">
        <v>5784</v>
      </c>
      <c r="B481">
        <v>480</v>
      </c>
      <c r="C481" t="str">
        <f t="shared" si="7"/>
        <v>Player 480</v>
      </c>
      <c r="D481">
        <v>41.502256935618398</v>
      </c>
    </row>
    <row r="482" spans="1:4" x14ac:dyDescent="0.25">
      <c r="A482">
        <v>5804</v>
      </c>
      <c r="B482">
        <v>481</v>
      </c>
      <c r="C482" t="str">
        <f t="shared" si="7"/>
        <v>Player 481</v>
      </c>
      <c r="D482">
        <v>40.459361429177498</v>
      </c>
    </row>
    <row r="483" spans="1:4" x14ac:dyDescent="0.25">
      <c r="A483">
        <v>5809</v>
      </c>
      <c r="B483">
        <v>482</v>
      </c>
      <c r="C483" t="str">
        <f t="shared" si="7"/>
        <v>Player 482</v>
      </c>
      <c r="D483">
        <v>38.150796162149497</v>
      </c>
    </row>
    <row r="484" spans="1:4" x14ac:dyDescent="0.25">
      <c r="A484">
        <v>5820</v>
      </c>
      <c r="B484">
        <v>483</v>
      </c>
      <c r="C484" t="str">
        <f t="shared" si="7"/>
        <v>Player 483</v>
      </c>
      <c r="D484">
        <v>21.3981712971364</v>
      </c>
    </row>
    <row r="485" spans="1:4" x14ac:dyDescent="0.25">
      <c r="A485">
        <v>5835</v>
      </c>
      <c r="B485">
        <v>484</v>
      </c>
      <c r="C485" t="str">
        <f t="shared" si="7"/>
        <v>Player 484</v>
      </c>
      <c r="D485">
        <v>97.180546847823393</v>
      </c>
    </row>
    <row r="486" spans="1:4" x14ac:dyDescent="0.25">
      <c r="A486">
        <v>5846</v>
      </c>
      <c r="B486">
        <v>485</v>
      </c>
      <c r="C486" t="str">
        <f t="shared" si="7"/>
        <v>Player 485</v>
      </c>
      <c r="D486">
        <v>107.503453124525</v>
      </c>
    </row>
    <row r="487" spans="1:4" x14ac:dyDescent="0.25">
      <c r="A487">
        <v>5849</v>
      </c>
      <c r="B487">
        <v>486</v>
      </c>
      <c r="C487" t="str">
        <f t="shared" si="7"/>
        <v>Player 486</v>
      </c>
      <c r="D487">
        <v>81.4162702616198</v>
      </c>
    </row>
    <row r="488" spans="1:4" x14ac:dyDescent="0.25">
      <c r="A488">
        <v>5854</v>
      </c>
      <c r="B488">
        <v>487</v>
      </c>
      <c r="C488" t="str">
        <f t="shared" si="7"/>
        <v>Player 487</v>
      </c>
      <c r="D488">
        <v>38.819998167986199</v>
      </c>
    </row>
    <row r="489" spans="1:4" x14ac:dyDescent="0.25">
      <c r="A489">
        <v>5858</v>
      </c>
      <c r="B489">
        <v>488</v>
      </c>
      <c r="C489" t="str">
        <f t="shared" si="7"/>
        <v>Player 488</v>
      </c>
      <c r="D489">
        <v>48.527799694087904</v>
      </c>
    </row>
    <row r="490" spans="1:4" x14ac:dyDescent="0.25">
      <c r="A490">
        <v>5859</v>
      </c>
      <c r="B490">
        <v>489</v>
      </c>
      <c r="C490" t="str">
        <f t="shared" si="7"/>
        <v>Player 489</v>
      </c>
      <c r="D490">
        <v>67.592669736496305</v>
      </c>
    </row>
    <row r="491" spans="1:4" x14ac:dyDescent="0.25">
      <c r="A491">
        <v>5869</v>
      </c>
      <c r="B491">
        <v>490</v>
      </c>
      <c r="C491" t="str">
        <f t="shared" si="7"/>
        <v>Player 490</v>
      </c>
      <c r="D491">
        <v>115.43459516233</v>
      </c>
    </row>
    <row r="492" spans="1:4" x14ac:dyDescent="0.25">
      <c r="A492">
        <v>5887</v>
      </c>
      <c r="B492">
        <v>491</v>
      </c>
      <c r="C492" t="str">
        <f t="shared" si="7"/>
        <v>Player 491</v>
      </c>
      <c r="D492">
        <v>44.735137181774199</v>
      </c>
    </row>
    <row r="493" spans="1:4" x14ac:dyDescent="0.25">
      <c r="A493">
        <v>5892</v>
      </c>
      <c r="B493">
        <v>492</v>
      </c>
      <c r="C493" t="str">
        <f t="shared" si="7"/>
        <v>Player 492</v>
      </c>
      <c r="D493">
        <v>93.164590391988796</v>
      </c>
    </row>
    <row r="494" spans="1:4" x14ac:dyDescent="0.25">
      <c r="A494">
        <v>5893</v>
      </c>
      <c r="B494">
        <v>493</v>
      </c>
      <c r="C494" t="str">
        <f t="shared" si="7"/>
        <v>Player 493</v>
      </c>
      <c r="D494">
        <v>63.944822329292002</v>
      </c>
    </row>
    <row r="495" spans="1:4" x14ac:dyDescent="0.25">
      <c r="A495">
        <v>5910</v>
      </c>
      <c r="B495">
        <v>494</v>
      </c>
      <c r="C495" t="str">
        <f t="shared" si="7"/>
        <v>Player 494</v>
      </c>
      <c r="D495">
        <v>49.784734836002102</v>
      </c>
    </row>
    <row r="496" spans="1:4" x14ac:dyDescent="0.25">
      <c r="A496">
        <v>5911</v>
      </c>
      <c r="B496">
        <v>495</v>
      </c>
      <c r="C496" t="str">
        <f t="shared" si="7"/>
        <v>Player 495</v>
      </c>
      <c r="D496">
        <v>65.591593702211298</v>
      </c>
    </row>
    <row r="497" spans="1:4" x14ac:dyDescent="0.25">
      <c r="A497">
        <v>5926</v>
      </c>
      <c r="B497">
        <v>496</v>
      </c>
      <c r="C497" t="str">
        <f t="shared" si="7"/>
        <v>Player 496</v>
      </c>
      <c r="D497">
        <v>27.120671754123201</v>
      </c>
    </row>
    <row r="498" spans="1:4" x14ac:dyDescent="0.25">
      <c r="A498">
        <v>5931</v>
      </c>
      <c r="B498">
        <v>497</v>
      </c>
      <c r="C498" t="str">
        <f t="shared" si="7"/>
        <v>Player 497</v>
      </c>
      <c r="D498">
        <v>99.868737093036202</v>
      </c>
    </row>
    <row r="499" spans="1:4" x14ac:dyDescent="0.25">
      <c r="A499">
        <v>5944</v>
      </c>
      <c r="B499">
        <v>498</v>
      </c>
      <c r="C499" t="str">
        <f t="shared" si="7"/>
        <v>Player 498</v>
      </c>
      <c r="D499">
        <v>44.3301927982967</v>
      </c>
    </row>
    <row r="500" spans="1:4" x14ac:dyDescent="0.25">
      <c r="A500">
        <v>5946</v>
      </c>
      <c r="B500">
        <v>499</v>
      </c>
      <c r="C500" t="str">
        <f t="shared" si="7"/>
        <v>Player 499</v>
      </c>
      <c r="D500">
        <v>92.541212319297003</v>
      </c>
    </row>
    <row r="501" spans="1:4" x14ac:dyDescent="0.25">
      <c r="A501">
        <v>5964</v>
      </c>
      <c r="B501">
        <v>500</v>
      </c>
      <c r="C501" t="str">
        <f t="shared" si="7"/>
        <v>Player 500</v>
      </c>
      <c r="D501">
        <v>26.834837144819399</v>
      </c>
    </row>
    <row r="502" spans="1:4" x14ac:dyDescent="0.25">
      <c r="A502">
        <v>5968</v>
      </c>
      <c r="B502">
        <v>501</v>
      </c>
      <c r="C502" t="str">
        <f t="shared" si="7"/>
        <v>Player 501</v>
      </c>
      <c r="D502">
        <v>115.509855616568</v>
      </c>
    </row>
    <row r="503" spans="1:4" x14ac:dyDescent="0.25">
      <c r="A503">
        <v>5971</v>
      </c>
      <c r="B503">
        <v>502</v>
      </c>
      <c r="C503" t="str">
        <f t="shared" si="7"/>
        <v>Player 502</v>
      </c>
      <c r="D503">
        <v>39.301498540569803</v>
      </c>
    </row>
    <row r="504" spans="1:4" x14ac:dyDescent="0.25">
      <c r="A504">
        <v>5973</v>
      </c>
      <c r="B504">
        <v>503</v>
      </c>
      <c r="C504" t="str">
        <f t="shared" si="7"/>
        <v>Player 503</v>
      </c>
      <c r="D504">
        <v>108.274207620708</v>
      </c>
    </row>
    <row r="505" spans="1:4" x14ac:dyDescent="0.25">
      <c r="A505">
        <v>5976</v>
      </c>
      <c r="B505">
        <v>504</v>
      </c>
      <c r="C505" t="str">
        <f t="shared" si="7"/>
        <v>Player 504</v>
      </c>
      <c r="D505">
        <v>100.947320961543</v>
      </c>
    </row>
    <row r="506" spans="1:4" x14ac:dyDescent="0.25">
      <c r="A506">
        <v>5980</v>
      </c>
      <c r="B506">
        <v>505</v>
      </c>
      <c r="C506" t="str">
        <f t="shared" si="7"/>
        <v>Player 505</v>
      </c>
      <c r="D506">
        <v>116.785992408141</v>
      </c>
    </row>
    <row r="507" spans="1:4" x14ac:dyDescent="0.25">
      <c r="A507">
        <v>6029</v>
      </c>
      <c r="B507">
        <v>506</v>
      </c>
      <c r="C507" t="str">
        <f t="shared" si="7"/>
        <v>Player 506</v>
      </c>
      <c r="D507">
        <v>67.789066094574906</v>
      </c>
    </row>
    <row r="508" spans="1:4" x14ac:dyDescent="0.25">
      <c r="A508">
        <v>6031</v>
      </c>
      <c r="B508">
        <v>507</v>
      </c>
      <c r="C508" t="str">
        <f t="shared" si="7"/>
        <v>Player 507</v>
      </c>
      <c r="D508">
        <v>92.739729384595094</v>
      </c>
    </row>
    <row r="509" spans="1:4" x14ac:dyDescent="0.25">
      <c r="A509">
        <v>6051</v>
      </c>
      <c r="B509">
        <v>508</v>
      </c>
      <c r="C509" t="str">
        <f t="shared" si="7"/>
        <v>Player 508</v>
      </c>
      <c r="D509">
        <v>57.071065703778402</v>
      </c>
    </row>
    <row r="510" spans="1:4" x14ac:dyDescent="0.25">
      <c r="A510">
        <v>6052</v>
      </c>
      <c r="B510">
        <v>509</v>
      </c>
      <c r="C510" t="str">
        <f t="shared" si="7"/>
        <v>Player 509</v>
      </c>
      <c r="D510">
        <v>38.436823801969297</v>
      </c>
    </row>
    <row r="511" spans="1:4" x14ac:dyDescent="0.25">
      <c r="A511">
        <v>6056</v>
      </c>
      <c r="B511">
        <v>510</v>
      </c>
      <c r="C511" t="str">
        <f t="shared" si="7"/>
        <v>Player 510</v>
      </c>
      <c r="D511">
        <v>64.307593293344794</v>
      </c>
    </row>
    <row r="512" spans="1:4" x14ac:dyDescent="0.25">
      <c r="A512">
        <v>6063</v>
      </c>
      <c r="B512">
        <v>511</v>
      </c>
      <c r="C512" t="str">
        <f t="shared" si="7"/>
        <v>Player 511</v>
      </c>
      <c r="D512">
        <v>36.574901538845403</v>
      </c>
    </row>
    <row r="513" spans="1:4" x14ac:dyDescent="0.25">
      <c r="A513">
        <v>6073</v>
      </c>
      <c r="B513">
        <v>512</v>
      </c>
      <c r="C513" t="str">
        <f t="shared" si="7"/>
        <v>Player 512</v>
      </c>
      <c r="D513">
        <v>118.204462278638</v>
      </c>
    </row>
    <row r="514" spans="1:4" x14ac:dyDescent="0.25">
      <c r="A514">
        <v>6083</v>
      </c>
      <c r="B514">
        <v>513</v>
      </c>
      <c r="C514" t="str">
        <f t="shared" si="7"/>
        <v>Player 513</v>
      </c>
      <c r="D514">
        <v>29.624649114071602</v>
      </c>
    </row>
    <row r="515" spans="1:4" x14ac:dyDescent="0.25">
      <c r="A515">
        <v>6088</v>
      </c>
      <c r="B515">
        <v>514</v>
      </c>
      <c r="C515" t="str">
        <f t="shared" ref="C515:C578" si="8">"Player "&amp;TEXT(B515,"000")</f>
        <v>Player 514</v>
      </c>
      <c r="D515">
        <v>78.921172345261994</v>
      </c>
    </row>
    <row r="516" spans="1:4" x14ac:dyDescent="0.25">
      <c r="A516">
        <v>6104</v>
      </c>
      <c r="B516">
        <v>515</v>
      </c>
      <c r="C516" t="str">
        <f t="shared" si="8"/>
        <v>Player 515</v>
      </c>
      <c r="D516">
        <v>82.646385525405506</v>
      </c>
    </row>
    <row r="517" spans="1:4" x14ac:dyDescent="0.25">
      <c r="A517">
        <v>6109</v>
      </c>
      <c r="B517">
        <v>516</v>
      </c>
      <c r="C517" t="str">
        <f t="shared" si="8"/>
        <v>Player 516</v>
      </c>
      <c r="D517">
        <v>73.807954287405394</v>
      </c>
    </row>
    <row r="518" spans="1:4" x14ac:dyDescent="0.25">
      <c r="A518">
        <v>6115</v>
      </c>
      <c r="B518">
        <v>517</v>
      </c>
      <c r="C518" t="str">
        <f t="shared" si="8"/>
        <v>Player 517</v>
      </c>
      <c r="D518">
        <v>86.218588571183304</v>
      </c>
    </row>
    <row r="519" spans="1:4" x14ac:dyDescent="0.25">
      <c r="A519">
        <v>6116</v>
      </c>
      <c r="B519">
        <v>518</v>
      </c>
      <c r="C519" t="str">
        <f t="shared" si="8"/>
        <v>Player 518</v>
      </c>
      <c r="D519">
        <v>31.618077501188999</v>
      </c>
    </row>
    <row r="520" spans="1:4" x14ac:dyDescent="0.25">
      <c r="A520">
        <v>6122</v>
      </c>
      <c r="B520">
        <v>519</v>
      </c>
      <c r="C520" t="str">
        <f t="shared" si="8"/>
        <v>Player 519</v>
      </c>
      <c r="D520">
        <v>75.501852420529104</v>
      </c>
    </row>
    <row r="521" spans="1:4" x14ac:dyDescent="0.25">
      <c r="A521">
        <v>6124</v>
      </c>
      <c r="B521">
        <v>520</v>
      </c>
      <c r="C521" t="str">
        <f t="shared" si="8"/>
        <v>Player 520</v>
      </c>
      <c r="D521">
        <v>48.721257112736097</v>
      </c>
    </row>
    <row r="522" spans="1:4" x14ac:dyDescent="0.25">
      <c r="A522">
        <v>6126</v>
      </c>
      <c r="B522">
        <v>521</v>
      </c>
      <c r="C522" t="str">
        <f t="shared" si="8"/>
        <v>Player 521</v>
      </c>
      <c r="D522">
        <v>114.017606330105</v>
      </c>
    </row>
    <row r="523" spans="1:4" x14ac:dyDescent="0.25">
      <c r="A523">
        <v>6134</v>
      </c>
      <c r="B523">
        <v>522</v>
      </c>
      <c r="C523" t="str">
        <f t="shared" si="8"/>
        <v>Player 522</v>
      </c>
      <c r="D523">
        <v>96.207165343972505</v>
      </c>
    </row>
    <row r="524" spans="1:4" x14ac:dyDescent="0.25">
      <c r="A524">
        <v>6142</v>
      </c>
      <c r="B524">
        <v>523</v>
      </c>
      <c r="C524" t="str">
        <f t="shared" si="8"/>
        <v>Player 523</v>
      </c>
      <c r="D524">
        <v>117.25144821597399</v>
      </c>
    </row>
    <row r="525" spans="1:4" x14ac:dyDescent="0.25">
      <c r="A525">
        <v>6161</v>
      </c>
      <c r="B525">
        <v>524</v>
      </c>
      <c r="C525" t="str">
        <f t="shared" si="8"/>
        <v>Player 524</v>
      </c>
      <c r="D525">
        <v>23.7556069740189</v>
      </c>
    </row>
    <row r="526" spans="1:4" x14ac:dyDescent="0.25">
      <c r="A526">
        <v>6172</v>
      </c>
      <c r="B526">
        <v>525</v>
      </c>
      <c r="C526" t="str">
        <f t="shared" si="8"/>
        <v>Player 525</v>
      </c>
      <c r="D526">
        <v>48.513317518070799</v>
      </c>
    </row>
    <row r="527" spans="1:4" x14ac:dyDescent="0.25">
      <c r="A527">
        <v>6177</v>
      </c>
      <c r="B527">
        <v>526</v>
      </c>
      <c r="C527" t="str">
        <f t="shared" si="8"/>
        <v>Player 526</v>
      </c>
      <c r="D527">
        <v>39.5422586638349</v>
      </c>
    </row>
    <row r="528" spans="1:4" x14ac:dyDescent="0.25">
      <c r="A528">
        <v>6182</v>
      </c>
      <c r="B528">
        <v>527</v>
      </c>
      <c r="C528" t="str">
        <f t="shared" si="8"/>
        <v>Player 527</v>
      </c>
      <c r="D528">
        <v>21.115458731183001</v>
      </c>
    </row>
    <row r="529" spans="1:4" x14ac:dyDescent="0.25">
      <c r="A529">
        <v>6188</v>
      </c>
      <c r="B529">
        <v>528</v>
      </c>
      <c r="C529" t="str">
        <f t="shared" si="8"/>
        <v>Player 528</v>
      </c>
      <c r="D529">
        <v>44.232573024632103</v>
      </c>
    </row>
    <row r="530" spans="1:4" x14ac:dyDescent="0.25">
      <c r="A530">
        <v>6191</v>
      </c>
      <c r="B530">
        <v>529</v>
      </c>
      <c r="C530" t="str">
        <f t="shared" si="8"/>
        <v>Player 529</v>
      </c>
      <c r="D530">
        <v>87.877598352042895</v>
      </c>
    </row>
    <row r="531" spans="1:4" x14ac:dyDescent="0.25">
      <c r="A531">
        <v>6222</v>
      </c>
      <c r="B531">
        <v>530</v>
      </c>
      <c r="C531" t="str">
        <f t="shared" si="8"/>
        <v>Player 530</v>
      </c>
      <c r="D531">
        <v>43.108892213456798</v>
      </c>
    </row>
    <row r="532" spans="1:4" x14ac:dyDescent="0.25">
      <c r="A532">
        <v>6232</v>
      </c>
      <c r="B532">
        <v>531</v>
      </c>
      <c r="C532" t="str">
        <f t="shared" si="8"/>
        <v>Player 531</v>
      </c>
      <c r="D532">
        <v>70.900344548261799</v>
      </c>
    </row>
    <row r="533" spans="1:4" x14ac:dyDescent="0.25">
      <c r="A533">
        <v>6237</v>
      </c>
      <c r="B533">
        <v>532</v>
      </c>
      <c r="C533" t="str">
        <f t="shared" si="8"/>
        <v>Player 532</v>
      </c>
      <c r="D533">
        <v>108.781811496499</v>
      </c>
    </row>
    <row r="534" spans="1:4" x14ac:dyDescent="0.25">
      <c r="A534">
        <v>6240</v>
      </c>
      <c r="B534">
        <v>533</v>
      </c>
      <c r="C534" t="str">
        <f t="shared" si="8"/>
        <v>Player 533</v>
      </c>
      <c r="D534">
        <v>89.375792034907505</v>
      </c>
    </row>
    <row r="535" spans="1:4" x14ac:dyDescent="0.25">
      <c r="A535">
        <v>6249</v>
      </c>
      <c r="B535">
        <v>534</v>
      </c>
      <c r="C535" t="str">
        <f t="shared" si="8"/>
        <v>Player 534</v>
      </c>
      <c r="D535">
        <v>59.462906990603102</v>
      </c>
    </row>
    <row r="536" spans="1:4" x14ac:dyDescent="0.25">
      <c r="A536">
        <v>6256</v>
      </c>
      <c r="B536">
        <v>535</v>
      </c>
      <c r="C536" t="str">
        <f t="shared" si="8"/>
        <v>Player 535</v>
      </c>
      <c r="D536">
        <v>57.246893891210803</v>
      </c>
    </row>
    <row r="537" spans="1:4" x14ac:dyDescent="0.25">
      <c r="A537">
        <v>6258</v>
      </c>
      <c r="B537">
        <v>536</v>
      </c>
      <c r="C537" t="str">
        <f t="shared" si="8"/>
        <v>Player 536</v>
      </c>
      <c r="D537">
        <v>65.573581400848397</v>
      </c>
    </row>
    <row r="538" spans="1:4" x14ac:dyDescent="0.25">
      <c r="A538">
        <v>6276</v>
      </c>
      <c r="B538">
        <v>537</v>
      </c>
      <c r="C538" t="str">
        <f t="shared" si="8"/>
        <v>Player 537</v>
      </c>
      <c r="D538">
        <v>37.704144105990601</v>
      </c>
    </row>
    <row r="539" spans="1:4" x14ac:dyDescent="0.25">
      <c r="A539">
        <v>6287</v>
      </c>
      <c r="B539">
        <v>538</v>
      </c>
      <c r="C539" t="str">
        <f t="shared" si="8"/>
        <v>Player 538</v>
      </c>
      <c r="D539">
        <v>83.400076741598795</v>
      </c>
    </row>
    <row r="540" spans="1:4" x14ac:dyDescent="0.25">
      <c r="A540">
        <v>6293</v>
      </c>
      <c r="B540">
        <v>539</v>
      </c>
      <c r="C540" t="str">
        <f t="shared" si="8"/>
        <v>Player 539</v>
      </c>
      <c r="D540">
        <v>56.4152819104605</v>
      </c>
    </row>
    <row r="541" spans="1:4" x14ac:dyDescent="0.25">
      <c r="A541">
        <v>6299</v>
      </c>
      <c r="B541">
        <v>540</v>
      </c>
      <c r="C541" t="str">
        <f t="shared" si="8"/>
        <v>Player 540</v>
      </c>
      <c r="D541">
        <v>105.236534926204</v>
      </c>
    </row>
    <row r="542" spans="1:4" x14ac:dyDescent="0.25">
      <c r="A542">
        <v>6301</v>
      </c>
      <c r="B542">
        <v>541</v>
      </c>
      <c r="C542" t="str">
        <f t="shared" si="8"/>
        <v>Player 541</v>
      </c>
      <c r="D542">
        <v>95.655266005781598</v>
      </c>
    </row>
    <row r="543" spans="1:4" x14ac:dyDescent="0.25">
      <c r="A543">
        <v>6305</v>
      </c>
      <c r="B543">
        <v>542</v>
      </c>
      <c r="C543" t="str">
        <f t="shared" si="8"/>
        <v>Player 542</v>
      </c>
      <c r="D543">
        <v>81.051316409216</v>
      </c>
    </row>
    <row r="544" spans="1:4" x14ac:dyDescent="0.25">
      <c r="A544">
        <v>6311</v>
      </c>
      <c r="B544">
        <v>543</v>
      </c>
      <c r="C544" t="str">
        <f t="shared" si="8"/>
        <v>Player 543</v>
      </c>
      <c r="D544">
        <v>56.420222264951597</v>
      </c>
    </row>
    <row r="545" spans="1:4" x14ac:dyDescent="0.25">
      <c r="A545">
        <v>6315</v>
      </c>
      <c r="B545">
        <v>544</v>
      </c>
      <c r="C545" t="str">
        <f t="shared" si="8"/>
        <v>Player 544</v>
      </c>
      <c r="D545">
        <v>40.993183167348398</v>
      </c>
    </row>
    <row r="546" spans="1:4" x14ac:dyDescent="0.25">
      <c r="A546">
        <v>6320</v>
      </c>
      <c r="B546">
        <v>545</v>
      </c>
      <c r="C546" t="str">
        <f t="shared" si="8"/>
        <v>Player 545</v>
      </c>
      <c r="D546">
        <v>97.615186410562202</v>
      </c>
    </row>
    <row r="547" spans="1:4" x14ac:dyDescent="0.25">
      <c r="A547">
        <v>6334</v>
      </c>
      <c r="B547">
        <v>546</v>
      </c>
      <c r="C547" t="str">
        <f t="shared" si="8"/>
        <v>Player 546</v>
      </c>
      <c r="D547">
        <v>68.640909899108607</v>
      </c>
    </row>
    <row r="548" spans="1:4" x14ac:dyDescent="0.25">
      <c r="A548">
        <v>6342</v>
      </c>
      <c r="B548">
        <v>547</v>
      </c>
      <c r="C548" t="str">
        <f t="shared" si="8"/>
        <v>Player 547</v>
      </c>
      <c r="D548">
        <v>42.475003817735697</v>
      </c>
    </row>
    <row r="549" spans="1:4" x14ac:dyDescent="0.25">
      <c r="A549">
        <v>6348</v>
      </c>
      <c r="B549">
        <v>548</v>
      </c>
      <c r="C549" t="str">
        <f t="shared" si="8"/>
        <v>Player 548</v>
      </c>
      <c r="D549">
        <v>39.5174615040006</v>
      </c>
    </row>
    <row r="550" spans="1:4" x14ac:dyDescent="0.25">
      <c r="A550">
        <v>6373</v>
      </c>
      <c r="B550">
        <v>549</v>
      </c>
      <c r="C550" t="str">
        <f t="shared" si="8"/>
        <v>Player 549</v>
      </c>
      <c r="D550">
        <v>36.540090450135899</v>
      </c>
    </row>
    <row r="551" spans="1:4" x14ac:dyDescent="0.25">
      <c r="A551">
        <v>6387</v>
      </c>
      <c r="B551">
        <v>550</v>
      </c>
      <c r="C551" t="str">
        <f t="shared" si="8"/>
        <v>Player 550</v>
      </c>
      <c r="D551">
        <v>97.716119620559496</v>
      </c>
    </row>
    <row r="552" spans="1:4" x14ac:dyDescent="0.25">
      <c r="A552">
        <v>6390</v>
      </c>
      <c r="B552">
        <v>551</v>
      </c>
      <c r="C552" t="str">
        <f t="shared" si="8"/>
        <v>Player 551</v>
      </c>
      <c r="D552">
        <v>42.898718530031097</v>
      </c>
    </row>
    <row r="553" spans="1:4" x14ac:dyDescent="0.25">
      <c r="A553">
        <v>6393</v>
      </c>
      <c r="B553">
        <v>552</v>
      </c>
      <c r="C553" t="str">
        <f t="shared" si="8"/>
        <v>Player 552</v>
      </c>
      <c r="D553">
        <v>72.664226352519705</v>
      </c>
    </row>
    <row r="554" spans="1:4" x14ac:dyDescent="0.25">
      <c r="A554">
        <v>6401</v>
      </c>
      <c r="B554">
        <v>553</v>
      </c>
      <c r="C554" t="str">
        <f t="shared" si="8"/>
        <v>Player 553</v>
      </c>
      <c r="D554">
        <v>65.154636097305598</v>
      </c>
    </row>
    <row r="555" spans="1:4" x14ac:dyDescent="0.25">
      <c r="A555">
        <v>6408</v>
      </c>
      <c r="B555">
        <v>554</v>
      </c>
      <c r="C555" t="str">
        <f t="shared" si="8"/>
        <v>Player 554</v>
      </c>
      <c r="D555">
        <v>77.961089922828293</v>
      </c>
    </row>
    <row r="556" spans="1:4" x14ac:dyDescent="0.25">
      <c r="A556">
        <v>6415</v>
      </c>
      <c r="B556">
        <v>555</v>
      </c>
      <c r="C556" t="str">
        <f t="shared" si="8"/>
        <v>Player 555</v>
      </c>
      <c r="D556">
        <v>107.715490037119</v>
      </c>
    </row>
    <row r="557" spans="1:4" x14ac:dyDescent="0.25">
      <c r="A557">
        <v>6423</v>
      </c>
      <c r="B557">
        <v>556</v>
      </c>
      <c r="C557" t="str">
        <f t="shared" si="8"/>
        <v>Player 556</v>
      </c>
      <c r="D557">
        <v>106.774739008173</v>
      </c>
    </row>
    <row r="558" spans="1:4" x14ac:dyDescent="0.25">
      <c r="A558">
        <v>6442</v>
      </c>
      <c r="B558">
        <v>557</v>
      </c>
      <c r="C558" t="str">
        <f t="shared" si="8"/>
        <v>Player 557</v>
      </c>
      <c r="D558">
        <v>65.107607182485907</v>
      </c>
    </row>
    <row r="559" spans="1:4" x14ac:dyDescent="0.25">
      <c r="A559">
        <v>6449</v>
      </c>
      <c r="B559">
        <v>558</v>
      </c>
      <c r="C559" t="str">
        <f t="shared" si="8"/>
        <v>Player 558</v>
      </c>
      <c r="D559">
        <v>21.536625073472301</v>
      </c>
    </row>
    <row r="560" spans="1:4" x14ac:dyDescent="0.25">
      <c r="A560">
        <v>6450</v>
      </c>
      <c r="B560">
        <v>559</v>
      </c>
      <c r="C560" t="str">
        <f t="shared" si="8"/>
        <v>Player 559</v>
      </c>
      <c r="D560">
        <v>62.644380571430297</v>
      </c>
    </row>
    <row r="561" spans="1:4" x14ac:dyDescent="0.25">
      <c r="A561">
        <v>6463</v>
      </c>
      <c r="B561">
        <v>560</v>
      </c>
      <c r="C561" t="str">
        <f t="shared" si="8"/>
        <v>Player 560</v>
      </c>
      <c r="D561">
        <v>80.619353742414006</v>
      </c>
    </row>
    <row r="562" spans="1:4" x14ac:dyDescent="0.25">
      <c r="A562">
        <v>6468</v>
      </c>
      <c r="B562">
        <v>561</v>
      </c>
      <c r="C562" t="str">
        <f t="shared" si="8"/>
        <v>Player 561</v>
      </c>
      <c r="D562">
        <v>75.776475909806095</v>
      </c>
    </row>
    <row r="563" spans="1:4" x14ac:dyDescent="0.25">
      <c r="A563">
        <v>6486</v>
      </c>
      <c r="B563">
        <v>562</v>
      </c>
      <c r="C563" t="str">
        <f t="shared" si="8"/>
        <v>Player 562</v>
      </c>
      <c r="D563">
        <v>85.133610580020502</v>
      </c>
    </row>
    <row r="564" spans="1:4" x14ac:dyDescent="0.25">
      <c r="A564">
        <v>6490</v>
      </c>
      <c r="B564">
        <v>563</v>
      </c>
      <c r="C564" t="str">
        <f t="shared" si="8"/>
        <v>Player 563</v>
      </c>
      <c r="D564">
        <v>35.407573247308299</v>
      </c>
    </row>
    <row r="565" spans="1:4" x14ac:dyDescent="0.25">
      <c r="A565">
        <v>6530</v>
      </c>
      <c r="B565">
        <v>564</v>
      </c>
      <c r="C565" t="str">
        <f t="shared" si="8"/>
        <v>Player 564</v>
      </c>
      <c r="D565">
        <v>84.653509878073194</v>
      </c>
    </row>
    <row r="566" spans="1:4" x14ac:dyDescent="0.25">
      <c r="A566">
        <v>6534</v>
      </c>
      <c r="B566">
        <v>565</v>
      </c>
      <c r="C566" t="str">
        <f t="shared" si="8"/>
        <v>Player 565</v>
      </c>
      <c r="D566">
        <v>38.265161874377199</v>
      </c>
    </row>
    <row r="567" spans="1:4" x14ac:dyDescent="0.25">
      <c r="A567">
        <v>6535</v>
      </c>
      <c r="B567">
        <v>566</v>
      </c>
      <c r="C567" t="str">
        <f t="shared" si="8"/>
        <v>Player 566</v>
      </c>
      <c r="D567">
        <v>95.052398069674894</v>
      </c>
    </row>
    <row r="568" spans="1:4" x14ac:dyDescent="0.25">
      <c r="A568">
        <v>6536</v>
      </c>
      <c r="B568">
        <v>567</v>
      </c>
      <c r="C568" t="str">
        <f t="shared" si="8"/>
        <v>Player 567</v>
      </c>
      <c r="D568">
        <v>53.908761326267999</v>
      </c>
    </row>
    <row r="569" spans="1:4" x14ac:dyDescent="0.25">
      <c r="A569">
        <v>6539</v>
      </c>
      <c r="B569">
        <v>568</v>
      </c>
      <c r="C569" t="str">
        <f t="shared" si="8"/>
        <v>Player 568</v>
      </c>
      <c r="D569">
        <v>90.989543338145296</v>
      </c>
    </row>
    <row r="570" spans="1:4" x14ac:dyDescent="0.25">
      <c r="A570">
        <v>6541</v>
      </c>
      <c r="B570">
        <v>569</v>
      </c>
      <c r="C570" t="str">
        <f t="shared" si="8"/>
        <v>Player 569</v>
      </c>
      <c r="D570">
        <v>24.7865598906107</v>
      </c>
    </row>
    <row r="571" spans="1:4" x14ac:dyDescent="0.25">
      <c r="A571">
        <v>6560</v>
      </c>
      <c r="B571">
        <v>570</v>
      </c>
      <c r="C571" t="str">
        <f t="shared" si="8"/>
        <v>Player 570</v>
      </c>
      <c r="D571">
        <v>60.786002559091301</v>
      </c>
    </row>
    <row r="572" spans="1:4" x14ac:dyDescent="0.25">
      <c r="A572">
        <v>6565</v>
      </c>
      <c r="B572">
        <v>571</v>
      </c>
      <c r="C572" t="str">
        <f t="shared" si="8"/>
        <v>Player 571</v>
      </c>
      <c r="D572">
        <v>90.503452226333195</v>
      </c>
    </row>
    <row r="573" spans="1:4" x14ac:dyDescent="0.25">
      <c r="A573">
        <v>6567</v>
      </c>
      <c r="B573">
        <v>572</v>
      </c>
      <c r="C573" t="str">
        <f t="shared" si="8"/>
        <v>Player 572</v>
      </c>
      <c r="D573">
        <v>42.687051633149402</v>
      </c>
    </row>
    <row r="574" spans="1:4" x14ac:dyDescent="0.25">
      <c r="A574">
        <v>6569</v>
      </c>
      <c r="B574">
        <v>573</v>
      </c>
      <c r="C574" t="str">
        <f t="shared" si="8"/>
        <v>Player 573</v>
      </c>
      <c r="D574">
        <v>99.528704479722194</v>
      </c>
    </row>
    <row r="575" spans="1:4" x14ac:dyDescent="0.25">
      <c r="A575">
        <v>6575</v>
      </c>
      <c r="B575">
        <v>574</v>
      </c>
      <c r="C575" t="str">
        <f t="shared" si="8"/>
        <v>Player 574</v>
      </c>
      <c r="D575">
        <v>83.077973310493206</v>
      </c>
    </row>
    <row r="576" spans="1:4" x14ac:dyDescent="0.25">
      <c r="A576">
        <v>6578</v>
      </c>
      <c r="B576">
        <v>575</v>
      </c>
      <c r="C576" t="str">
        <f t="shared" si="8"/>
        <v>Player 575</v>
      </c>
      <c r="D576">
        <v>78.7561772149798</v>
      </c>
    </row>
    <row r="577" spans="1:4" x14ac:dyDescent="0.25">
      <c r="A577">
        <v>6585</v>
      </c>
      <c r="B577">
        <v>576</v>
      </c>
      <c r="C577" t="str">
        <f t="shared" si="8"/>
        <v>Player 576</v>
      </c>
      <c r="D577">
        <v>55.354885420433703</v>
      </c>
    </row>
    <row r="578" spans="1:4" x14ac:dyDescent="0.25">
      <c r="A578">
        <v>6588</v>
      </c>
      <c r="B578">
        <v>577</v>
      </c>
      <c r="C578" t="str">
        <f t="shared" si="8"/>
        <v>Player 577</v>
      </c>
      <c r="D578">
        <v>68.245147038111696</v>
      </c>
    </row>
    <row r="579" spans="1:4" x14ac:dyDescent="0.25">
      <c r="A579">
        <v>6592</v>
      </c>
      <c r="B579">
        <v>578</v>
      </c>
      <c r="C579" t="str">
        <f t="shared" ref="C579:C642" si="9">"Player "&amp;TEXT(B579,"000")</f>
        <v>Player 578</v>
      </c>
      <c r="D579">
        <v>79.734930097785295</v>
      </c>
    </row>
    <row r="580" spans="1:4" x14ac:dyDescent="0.25">
      <c r="A580">
        <v>6596</v>
      </c>
      <c r="B580">
        <v>579</v>
      </c>
      <c r="C580" t="str">
        <f t="shared" si="9"/>
        <v>Player 579</v>
      </c>
      <c r="D580">
        <v>67.246211391488998</v>
      </c>
    </row>
    <row r="581" spans="1:4" x14ac:dyDescent="0.25">
      <c r="A581">
        <v>6600</v>
      </c>
      <c r="B581">
        <v>580</v>
      </c>
      <c r="C581" t="str">
        <f t="shared" si="9"/>
        <v>Player 580</v>
      </c>
      <c r="D581">
        <v>89.831332394056005</v>
      </c>
    </row>
    <row r="582" spans="1:4" x14ac:dyDescent="0.25">
      <c r="A582">
        <v>6618</v>
      </c>
      <c r="B582">
        <v>581</v>
      </c>
      <c r="C582" t="str">
        <f t="shared" si="9"/>
        <v>Player 581</v>
      </c>
      <c r="D582">
        <v>63.369693310695901</v>
      </c>
    </row>
    <row r="583" spans="1:4" x14ac:dyDescent="0.25">
      <c r="A583">
        <v>6622</v>
      </c>
      <c r="B583">
        <v>582</v>
      </c>
      <c r="C583" t="str">
        <f t="shared" si="9"/>
        <v>Player 582</v>
      </c>
      <c r="D583">
        <v>40.227318174202999</v>
      </c>
    </row>
    <row r="584" spans="1:4" x14ac:dyDescent="0.25">
      <c r="A584">
        <v>6625</v>
      </c>
      <c r="B584">
        <v>583</v>
      </c>
      <c r="C584" t="str">
        <f t="shared" si="9"/>
        <v>Player 583</v>
      </c>
      <c r="D584">
        <v>41.393378280104699</v>
      </c>
    </row>
    <row r="585" spans="1:4" x14ac:dyDescent="0.25">
      <c r="A585">
        <v>6644</v>
      </c>
      <c r="B585">
        <v>584</v>
      </c>
      <c r="C585" t="str">
        <f t="shared" si="9"/>
        <v>Player 584</v>
      </c>
      <c r="D585">
        <v>20.5803768842941</v>
      </c>
    </row>
    <row r="586" spans="1:4" x14ac:dyDescent="0.25">
      <c r="A586">
        <v>6645</v>
      </c>
      <c r="B586">
        <v>585</v>
      </c>
      <c r="C586" t="str">
        <f t="shared" si="9"/>
        <v>Player 585</v>
      </c>
      <c r="D586">
        <v>50.095771555867202</v>
      </c>
    </row>
    <row r="587" spans="1:4" x14ac:dyDescent="0.25">
      <c r="A587">
        <v>6675</v>
      </c>
      <c r="B587">
        <v>586</v>
      </c>
      <c r="C587" t="str">
        <f t="shared" si="9"/>
        <v>Player 586</v>
      </c>
      <c r="D587">
        <v>94.891764047851893</v>
      </c>
    </row>
    <row r="588" spans="1:4" x14ac:dyDescent="0.25">
      <c r="A588">
        <v>6691</v>
      </c>
      <c r="B588">
        <v>587</v>
      </c>
      <c r="C588" t="str">
        <f t="shared" si="9"/>
        <v>Player 587</v>
      </c>
      <c r="D588">
        <v>99.416270883760902</v>
      </c>
    </row>
    <row r="589" spans="1:4" x14ac:dyDescent="0.25">
      <c r="A589">
        <v>6699</v>
      </c>
      <c r="B589">
        <v>588</v>
      </c>
      <c r="C589" t="str">
        <f t="shared" si="9"/>
        <v>Player 588</v>
      </c>
      <c r="D589">
        <v>40.246754209575002</v>
      </c>
    </row>
    <row r="590" spans="1:4" x14ac:dyDescent="0.25">
      <c r="A590">
        <v>6713</v>
      </c>
      <c r="B590">
        <v>589</v>
      </c>
      <c r="C590" t="str">
        <f t="shared" si="9"/>
        <v>Player 589</v>
      </c>
      <c r="D590">
        <v>115.90439968714</v>
      </c>
    </row>
    <row r="591" spans="1:4" x14ac:dyDescent="0.25">
      <c r="A591">
        <v>6726</v>
      </c>
      <c r="B591">
        <v>590</v>
      </c>
      <c r="C591" t="str">
        <f t="shared" si="9"/>
        <v>Player 590</v>
      </c>
      <c r="D591">
        <v>70.240279348012606</v>
      </c>
    </row>
    <row r="592" spans="1:4" x14ac:dyDescent="0.25">
      <c r="A592">
        <v>6732</v>
      </c>
      <c r="B592">
        <v>591</v>
      </c>
      <c r="C592" t="str">
        <f t="shared" si="9"/>
        <v>Player 591</v>
      </c>
      <c r="D592">
        <v>111.69787490185</v>
      </c>
    </row>
    <row r="593" spans="1:4" x14ac:dyDescent="0.25">
      <c r="A593">
        <v>6734</v>
      </c>
      <c r="B593">
        <v>592</v>
      </c>
      <c r="C593" t="str">
        <f t="shared" si="9"/>
        <v>Player 592</v>
      </c>
      <c r="D593">
        <v>90.676528186163097</v>
      </c>
    </row>
    <row r="594" spans="1:4" x14ac:dyDescent="0.25">
      <c r="A594">
        <v>6742</v>
      </c>
      <c r="B594">
        <v>593</v>
      </c>
      <c r="C594" t="str">
        <f t="shared" si="9"/>
        <v>Player 593</v>
      </c>
      <c r="D594">
        <v>92.243342302241302</v>
      </c>
    </row>
    <row r="595" spans="1:4" x14ac:dyDescent="0.25">
      <c r="A595">
        <v>6745</v>
      </c>
      <c r="B595">
        <v>594</v>
      </c>
      <c r="C595" t="str">
        <f t="shared" si="9"/>
        <v>Player 594</v>
      </c>
      <c r="D595">
        <v>28.504362130607099</v>
      </c>
    </row>
    <row r="596" spans="1:4" x14ac:dyDescent="0.25">
      <c r="A596">
        <v>6750</v>
      </c>
      <c r="B596">
        <v>595</v>
      </c>
      <c r="C596" t="str">
        <f t="shared" si="9"/>
        <v>Player 595</v>
      </c>
      <c r="D596">
        <v>41.999112689693</v>
      </c>
    </row>
    <row r="597" spans="1:4" x14ac:dyDescent="0.25">
      <c r="A597">
        <v>6759</v>
      </c>
      <c r="B597">
        <v>596</v>
      </c>
      <c r="C597" t="str">
        <f t="shared" si="9"/>
        <v>Player 596</v>
      </c>
      <c r="D597">
        <v>20.8814833294472</v>
      </c>
    </row>
    <row r="598" spans="1:4" x14ac:dyDescent="0.25">
      <c r="A598">
        <v>6765</v>
      </c>
      <c r="B598">
        <v>597</v>
      </c>
      <c r="C598" t="str">
        <f t="shared" si="9"/>
        <v>Player 597</v>
      </c>
      <c r="D598">
        <v>91.612764047673707</v>
      </c>
    </row>
    <row r="599" spans="1:4" x14ac:dyDescent="0.25">
      <c r="A599">
        <v>6779</v>
      </c>
      <c r="B599">
        <v>598</v>
      </c>
      <c r="C599" t="str">
        <f t="shared" si="9"/>
        <v>Player 598</v>
      </c>
      <c r="D599">
        <v>54.443828842850998</v>
      </c>
    </row>
    <row r="600" spans="1:4" x14ac:dyDescent="0.25">
      <c r="A600">
        <v>6788</v>
      </c>
      <c r="B600">
        <v>599</v>
      </c>
      <c r="C600" t="str">
        <f t="shared" si="9"/>
        <v>Player 599</v>
      </c>
      <c r="D600">
        <v>98.665251607634602</v>
      </c>
    </row>
    <row r="601" spans="1:4" x14ac:dyDescent="0.25">
      <c r="A601">
        <v>6791</v>
      </c>
      <c r="B601">
        <v>600</v>
      </c>
      <c r="C601" t="str">
        <f t="shared" si="9"/>
        <v>Player 600</v>
      </c>
      <c r="D601">
        <v>53.893621993702602</v>
      </c>
    </row>
    <row r="602" spans="1:4" x14ac:dyDescent="0.25">
      <c r="A602">
        <v>6797</v>
      </c>
      <c r="B602">
        <v>601</v>
      </c>
      <c r="C602" t="str">
        <f t="shared" si="9"/>
        <v>Player 601</v>
      </c>
      <c r="D602">
        <v>101.933375229886</v>
      </c>
    </row>
    <row r="603" spans="1:4" x14ac:dyDescent="0.25">
      <c r="A603">
        <v>6801</v>
      </c>
      <c r="B603">
        <v>602</v>
      </c>
      <c r="C603" t="str">
        <f t="shared" si="9"/>
        <v>Player 602</v>
      </c>
      <c r="D603">
        <v>33.069825374831296</v>
      </c>
    </row>
    <row r="604" spans="1:4" x14ac:dyDescent="0.25">
      <c r="A604">
        <v>6811</v>
      </c>
      <c r="B604">
        <v>603</v>
      </c>
      <c r="C604" t="str">
        <f t="shared" si="9"/>
        <v>Player 603</v>
      </c>
      <c r="D604">
        <v>37.337315675750801</v>
      </c>
    </row>
    <row r="605" spans="1:4" x14ac:dyDescent="0.25">
      <c r="A605">
        <v>6854</v>
      </c>
      <c r="B605">
        <v>604</v>
      </c>
      <c r="C605" t="str">
        <f t="shared" si="9"/>
        <v>Player 604</v>
      </c>
      <c r="D605">
        <v>54.087653958393602</v>
      </c>
    </row>
    <row r="606" spans="1:4" x14ac:dyDescent="0.25">
      <c r="A606">
        <v>6855</v>
      </c>
      <c r="B606">
        <v>605</v>
      </c>
      <c r="C606" t="str">
        <f t="shared" si="9"/>
        <v>Player 605</v>
      </c>
      <c r="D606">
        <v>60.848738888227302</v>
      </c>
    </row>
    <row r="607" spans="1:4" x14ac:dyDescent="0.25">
      <c r="A607">
        <v>6864</v>
      </c>
      <c r="B607">
        <v>606</v>
      </c>
      <c r="C607" t="str">
        <f t="shared" si="9"/>
        <v>Player 606</v>
      </c>
      <c r="D607">
        <v>54.870281084297801</v>
      </c>
    </row>
    <row r="608" spans="1:4" x14ac:dyDescent="0.25">
      <c r="A608">
        <v>6870</v>
      </c>
      <c r="B608">
        <v>607</v>
      </c>
      <c r="C608" t="str">
        <f t="shared" si="9"/>
        <v>Player 607</v>
      </c>
      <c r="D608">
        <v>96.364703252321902</v>
      </c>
    </row>
    <row r="609" spans="1:4" x14ac:dyDescent="0.25">
      <c r="A609">
        <v>6878</v>
      </c>
      <c r="B609">
        <v>608</v>
      </c>
      <c r="C609" t="str">
        <f t="shared" si="9"/>
        <v>Player 608</v>
      </c>
      <c r="D609">
        <v>29.6951392626714</v>
      </c>
    </row>
    <row r="610" spans="1:4" x14ac:dyDescent="0.25">
      <c r="A610">
        <v>6881</v>
      </c>
      <c r="B610">
        <v>609</v>
      </c>
      <c r="C610" t="str">
        <f t="shared" si="9"/>
        <v>Player 609</v>
      </c>
      <c r="D610">
        <v>55.1217019638488</v>
      </c>
    </row>
    <row r="611" spans="1:4" x14ac:dyDescent="0.25">
      <c r="A611">
        <v>6892</v>
      </c>
      <c r="B611">
        <v>610</v>
      </c>
      <c r="C611" t="str">
        <f t="shared" si="9"/>
        <v>Player 610</v>
      </c>
      <c r="D611">
        <v>103.723999951545</v>
      </c>
    </row>
    <row r="612" spans="1:4" x14ac:dyDescent="0.25">
      <c r="A612">
        <v>6895</v>
      </c>
      <c r="B612">
        <v>611</v>
      </c>
      <c r="C612" t="str">
        <f t="shared" si="9"/>
        <v>Player 611</v>
      </c>
      <c r="D612">
        <v>26.679707726217199</v>
      </c>
    </row>
    <row r="613" spans="1:4" x14ac:dyDescent="0.25">
      <c r="A613">
        <v>6915</v>
      </c>
      <c r="B613">
        <v>612</v>
      </c>
      <c r="C613" t="str">
        <f t="shared" si="9"/>
        <v>Player 612</v>
      </c>
      <c r="D613">
        <v>114.234350767135</v>
      </c>
    </row>
    <row r="614" spans="1:4" x14ac:dyDescent="0.25">
      <c r="A614">
        <v>6917</v>
      </c>
      <c r="B614">
        <v>613</v>
      </c>
      <c r="C614" t="str">
        <f t="shared" si="9"/>
        <v>Player 613</v>
      </c>
      <c r="D614">
        <v>118.63168422720101</v>
      </c>
    </row>
    <row r="615" spans="1:4" x14ac:dyDescent="0.25">
      <c r="A615">
        <v>6919</v>
      </c>
      <c r="B615">
        <v>614</v>
      </c>
      <c r="C615" t="str">
        <f t="shared" si="9"/>
        <v>Player 614</v>
      </c>
      <c r="D615">
        <v>28.856817382508002</v>
      </c>
    </row>
    <row r="616" spans="1:4" x14ac:dyDescent="0.25">
      <c r="A616">
        <v>6949</v>
      </c>
      <c r="B616">
        <v>615</v>
      </c>
      <c r="C616" t="str">
        <f t="shared" si="9"/>
        <v>Player 615</v>
      </c>
      <c r="D616">
        <v>49.127252225573699</v>
      </c>
    </row>
    <row r="617" spans="1:4" x14ac:dyDescent="0.25">
      <c r="A617">
        <v>6951</v>
      </c>
      <c r="B617">
        <v>616</v>
      </c>
      <c r="C617" t="str">
        <f t="shared" si="9"/>
        <v>Player 616</v>
      </c>
      <c r="D617">
        <v>57.240066603535602</v>
      </c>
    </row>
    <row r="618" spans="1:4" x14ac:dyDescent="0.25">
      <c r="A618">
        <v>6959</v>
      </c>
      <c r="B618">
        <v>617</v>
      </c>
      <c r="C618" t="str">
        <f t="shared" si="9"/>
        <v>Player 617</v>
      </c>
      <c r="D618">
        <v>97.639136865272604</v>
      </c>
    </row>
    <row r="619" spans="1:4" x14ac:dyDescent="0.25">
      <c r="A619">
        <v>6966</v>
      </c>
      <c r="B619">
        <v>618</v>
      </c>
      <c r="C619" t="str">
        <f t="shared" si="9"/>
        <v>Player 618</v>
      </c>
      <c r="D619">
        <v>79.592681211673295</v>
      </c>
    </row>
    <row r="620" spans="1:4" x14ac:dyDescent="0.25">
      <c r="A620">
        <v>6971</v>
      </c>
      <c r="B620">
        <v>619</v>
      </c>
      <c r="C620" t="str">
        <f t="shared" si="9"/>
        <v>Player 619</v>
      </c>
      <c r="D620">
        <v>84.436570049256702</v>
      </c>
    </row>
    <row r="621" spans="1:4" x14ac:dyDescent="0.25">
      <c r="A621">
        <v>6975</v>
      </c>
      <c r="B621">
        <v>620</v>
      </c>
      <c r="C621" t="str">
        <f t="shared" si="9"/>
        <v>Player 620</v>
      </c>
      <c r="D621">
        <v>95.750982281850597</v>
      </c>
    </row>
    <row r="622" spans="1:4" x14ac:dyDescent="0.25">
      <c r="A622">
        <v>6977</v>
      </c>
      <c r="B622">
        <v>621</v>
      </c>
      <c r="C622" t="str">
        <f t="shared" si="9"/>
        <v>Player 621</v>
      </c>
      <c r="D622">
        <v>31.7978999437025</v>
      </c>
    </row>
    <row r="623" spans="1:4" x14ac:dyDescent="0.25">
      <c r="A623">
        <v>6984</v>
      </c>
      <c r="B623">
        <v>622</v>
      </c>
      <c r="C623" t="str">
        <f t="shared" si="9"/>
        <v>Player 622</v>
      </c>
      <c r="D623">
        <v>103.320945691026</v>
      </c>
    </row>
    <row r="624" spans="1:4" x14ac:dyDescent="0.25">
      <c r="A624">
        <v>6986</v>
      </c>
      <c r="B624">
        <v>623</v>
      </c>
      <c r="C624" t="str">
        <f t="shared" si="9"/>
        <v>Player 623</v>
      </c>
      <c r="D624">
        <v>90.5619804180144</v>
      </c>
    </row>
    <row r="625" spans="1:4" x14ac:dyDescent="0.25">
      <c r="A625">
        <v>6988</v>
      </c>
      <c r="B625">
        <v>624</v>
      </c>
      <c r="C625" t="str">
        <f t="shared" si="9"/>
        <v>Player 624</v>
      </c>
      <c r="D625">
        <v>77.734172519636999</v>
      </c>
    </row>
    <row r="626" spans="1:4" x14ac:dyDescent="0.25">
      <c r="A626">
        <v>6989</v>
      </c>
      <c r="B626">
        <v>625</v>
      </c>
      <c r="C626" t="str">
        <f t="shared" si="9"/>
        <v>Player 625</v>
      </c>
      <c r="D626">
        <v>108.973533478305</v>
      </c>
    </row>
    <row r="627" spans="1:4" x14ac:dyDescent="0.25">
      <c r="A627">
        <v>6997</v>
      </c>
      <c r="B627">
        <v>626</v>
      </c>
      <c r="C627" t="str">
        <f t="shared" si="9"/>
        <v>Player 626</v>
      </c>
      <c r="D627">
        <v>90.030635388380702</v>
      </c>
    </row>
    <row r="628" spans="1:4" x14ac:dyDescent="0.25">
      <c r="A628">
        <v>7002</v>
      </c>
      <c r="B628">
        <v>627</v>
      </c>
      <c r="C628" t="str">
        <f t="shared" si="9"/>
        <v>Player 627</v>
      </c>
      <c r="D628">
        <v>40.169996263102497</v>
      </c>
    </row>
    <row r="629" spans="1:4" x14ac:dyDescent="0.25">
      <c r="A629">
        <v>7015</v>
      </c>
      <c r="B629">
        <v>628</v>
      </c>
      <c r="C629" t="str">
        <f t="shared" si="9"/>
        <v>Player 628</v>
      </c>
      <c r="D629">
        <v>62.974538107566602</v>
      </c>
    </row>
    <row r="630" spans="1:4" x14ac:dyDescent="0.25">
      <c r="A630">
        <v>7016</v>
      </c>
      <c r="B630">
        <v>629</v>
      </c>
      <c r="C630" t="str">
        <f t="shared" si="9"/>
        <v>Player 629</v>
      </c>
      <c r="D630">
        <v>69.404286693573297</v>
      </c>
    </row>
    <row r="631" spans="1:4" x14ac:dyDescent="0.25">
      <c r="A631">
        <v>7019</v>
      </c>
      <c r="B631">
        <v>630</v>
      </c>
      <c r="C631" t="str">
        <f t="shared" si="9"/>
        <v>Player 630</v>
      </c>
      <c r="D631">
        <v>25.521762675040499</v>
      </c>
    </row>
    <row r="632" spans="1:4" x14ac:dyDescent="0.25">
      <c r="A632">
        <v>7024</v>
      </c>
      <c r="B632">
        <v>631</v>
      </c>
      <c r="C632" t="str">
        <f t="shared" si="9"/>
        <v>Player 631</v>
      </c>
      <c r="D632">
        <v>115.463751336005</v>
      </c>
    </row>
    <row r="633" spans="1:4" x14ac:dyDescent="0.25">
      <c r="A633">
        <v>7028</v>
      </c>
      <c r="B633">
        <v>632</v>
      </c>
      <c r="C633" t="str">
        <f t="shared" si="9"/>
        <v>Player 632</v>
      </c>
      <c r="D633">
        <v>32.857726079687801</v>
      </c>
    </row>
    <row r="634" spans="1:4" x14ac:dyDescent="0.25">
      <c r="A634">
        <v>7031</v>
      </c>
      <c r="B634">
        <v>633</v>
      </c>
      <c r="C634" t="str">
        <f t="shared" si="9"/>
        <v>Player 633</v>
      </c>
      <c r="D634">
        <v>89.746126722672599</v>
      </c>
    </row>
    <row r="635" spans="1:4" x14ac:dyDescent="0.25">
      <c r="A635">
        <v>7038</v>
      </c>
      <c r="B635">
        <v>634</v>
      </c>
      <c r="C635" t="str">
        <f t="shared" si="9"/>
        <v>Player 634</v>
      </c>
      <c r="D635">
        <v>70.623103609088005</v>
      </c>
    </row>
    <row r="636" spans="1:4" x14ac:dyDescent="0.25">
      <c r="A636">
        <v>7042</v>
      </c>
      <c r="B636">
        <v>635</v>
      </c>
      <c r="C636" t="str">
        <f t="shared" si="9"/>
        <v>Player 635</v>
      </c>
      <c r="D636">
        <v>22.563224988442201</v>
      </c>
    </row>
    <row r="637" spans="1:4" x14ac:dyDescent="0.25">
      <c r="A637">
        <v>7090</v>
      </c>
      <c r="B637">
        <v>636</v>
      </c>
      <c r="C637" t="str">
        <f t="shared" si="9"/>
        <v>Player 636</v>
      </c>
      <c r="D637">
        <v>112.474747586436</v>
      </c>
    </row>
    <row r="638" spans="1:4" x14ac:dyDescent="0.25">
      <c r="A638">
        <v>7102</v>
      </c>
      <c r="B638">
        <v>637</v>
      </c>
      <c r="C638" t="str">
        <f t="shared" si="9"/>
        <v>Player 637</v>
      </c>
      <c r="D638">
        <v>105.183680881893</v>
      </c>
    </row>
    <row r="639" spans="1:4" x14ac:dyDescent="0.25">
      <c r="A639">
        <v>7132</v>
      </c>
      <c r="B639">
        <v>638</v>
      </c>
      <c r="C639" t="str">
        <f t="shared" si="9"/>
        <v>Player 638</v>
      </c>
      <c r="D639">
        <v>72.425792790383497</v>
      </c>
    </row>
    <row r="640" spans="1:4" x14ac:dyDescent="0.25">
      <c r="A640">
        <v>7166</v>
      </c>
      <c r="B640">
        <v>639</v>
      </c>
      <c r="C640" t="str">
        <f t="shared" si="9"/>
        <v>Player 639</v>
      </c>
      <c r="D640">
        <v>42.8942336139445</v>
      </c>
    </row>
    <row r="641" spans="1:4" x14ac:dyDescent="0.25">
      <c r="A641">
        <v>7168</v>
      </c>
      <c r="B641">
        <v>640</v>
      </c>
      <c r="C641" t="str">
        <f t="shared" si="9"/>
        <v>Player 640</v>
      </c>
      <c r="D641">
        <v>32.1622890680094</v>
      </c>
    </row>
    <row r="642" spans="1:4" x14ac:dyDescent="0.25">
      <c r="A642">
        <v>7172</v>
      </c>
      <c r="B642">
        <v>641</v>
      </c>
      <c r="C642" t="str">
        <f t="shared" si="9"/>
        <v>Player 641</v>
      </c>
      <c r="D642">
        <v>56.339247943212598</v>
      </c>
    </row>
    <row r="643" spans="1:4" x14ac:dyDescent="0.25">
      <c r="A643">
        <v>7184</v>
      </c>
      <c r="B643">
        <v>642</v>
      </c>
      <c r="C643" t="str">
        <f t="shared" ref="C643:C706" si="10">"Player "&amp;TEXT(B643,"000")</f>
        <v>Player 642</v>
      </c>
      <c r="D643">
        <v>45.542828104609001</v>
      </c>
    </row>
    <row r="644" spans="1:4" x14ac:dyDescent="0.25">
      <c r="A644">
        <v>7190</v>
      </c>
      <c r="B644">
        <v>643</v>
      </c>
      <c r="C644" t="str">
        <f t="shared" si="10"/>
        <v>Player 643</v>
      </c>
      <c r="D644">
        <v>70.669120100629797</v>
      </c>
    </row>
    <row r="645" spans="1:4" x14ac:dyDescent="0.25">
      <c r="A645">
        <v>7197</v>
      </c>
      <c r="B645">
        <v>644</v>
      </c>
      <c r="C645" t="str">
        <f t="shared" si="10"/>
        <v>Player 644</v>
      </c>
      <c r="D645">
        <v>116.64092961234201</v>
      </c>
    </row>
    <row r="646" spans="1:4" x14ac:dyDescent="0.25">
      <c r="A646">
        <v>7229</v>
      </c>
      <c r="B646">
        <v>645</v>
      </c>
      <c r="C646" t="str">
        <f t="shared" si="10"/>
        <v>Player 645</v>
      </c>
      <c r="D646">
        <v>77.495349322964103</v>
      </c>
    </row>
    <row r="647" spans="1:4" x14ac:dyDescent="0.25">
      <c r="A647">
        <v>7233</v>
      </c>
      <c r="B647">
        <v>646</v>
      </c>
      <c r="C647" t="str">
        <f t="shared" si="10"/>
        <v>Player 646</v>
      </c>
      <c r="D647">
        <v>108.99310558900901</v>
      </c>
    </row>
    <row r="648" spans="1:4" x14ac:dyDescent="0.25">
      <c r="A648">
        <v>7235</v>
      </c>
      <c r="B648">
        <v>647</v>
      </c>
      <c r="C648" t="str">
        <f t="shared" si="10"/>
        <v>Player 647</v>
      </c>
      <c r="D648">
        <v>85.087883749577699</v>
      </c>
    </row>
    <row r="649" spans="1:4" x14ac:dyDescent="0.25">
      <c r="A649">
        <v>7238</v>
      </c>
      <c r="B649">
        <v>648</v>
      </c>
      <c r="C649" t="str">
        <f t="shared" si="10"/>
        <v>Player 648</v>
      </c>
      <c r="D649">
        <v>67.524652658720001</v>
      </c>
    </row>
    <row r="650" spans="1:4" x14ac:dyDescent="0.25">
      <c r="A650">
        <v>7241</v>
      </c>
      <c r="B650">
        <v>649</v>
      </c>
      <c r="C650" t="str">
        <f t="shared" si="10"/>
        <v>Player 649</v>
      </c>
      <c r="D650">
        <v>105.460756273337</v>
      </c>
    </row>
    <row r="651" spans="1:4" x14ac:dyDescent="0.25">
      <c r="A651">
        <v>7254</v>
      </c>
      <c r="B651">
        <v>650</v>
      </c>
      <c r="C651" t="str">
        <f t="shared" si="10"/>
        <v>Player 650</v>
      </c>
      <c r="D651">
        <v>67.136811017299706</v>
      </c>
    </row>
    <row r="652" spans="1:4" x14ac:dyDescent="0.25">
      <c r="A652">
        <v>7265</v>
      </c>
      <c r="B652">
        <v>651</v>
      </c>
      <c r="C652" t="str">
        <f t="shared" si="10"/>
        <v>Player 651</v>
      </c>
      <c r="D652">
        <v>106.862817051036</v>
      </c>
    </row>
    <row r="653" spans="1:4" x14ac:dyDescent="0.25">
      <c r="A653">
        <v>7269</v>
      </c>
      <c r="B653">
        <v>652</v>
      </c>
      <c r="C653" t="str">
        <f t="shared" si="10"/>
        <v>Player 652</v>
      </c>
      <c r="D653">
        <v>49.157676957576498</v>
      </c>
    </row>
    <row r="654" spans="1:4" x14ac:dyDescent="0.25">
      <c r="A654">
        <v>7278</v>
      </c>
      <c r="B654">
        <v>653</v>
      </c>
      <c r="C654" t="str">
        <f t="shared" si="10"/>
        <v>Player 653</v>
      </c>
      <c r="D654">
        <v>32.8813073762988</v>
      </c>
    </row>
    <row r="655" spans="1:4" x14ac:dyDescent="0.25">
      <c r="A655">
        <v>7283</v>
      </c>
      <c r="B655">
        <v>654</v>
      </c>
      <c r="C655" t="str">
        <f t="shared" si="10"/>
        <v>Player 654</v>
      </c>
      <c r="D655">
        <v>105.531446436293</v>
      </c>
    </row>
    <row r="656" spans="1:4" x14ac:dyDescent="0.25">
      <c r="A656">
        <v>7287</v>
      </c>
      <c r="B656">
        <v>655</v>
      </c>
      <c r="C656" t="str">
        <f t="shared" si="10"/>
        <v>Player 655</v>
      </c>
      <c r="D656">
        <v>78.741516379266599</v>
      </c>
    </row>
    <row r="657" spans="1:4" x14ac:dyDescent="0.25">
      <c r="A657">
        <v>7288</v>
      </c>
      <c r="B657">
        <v>656</v>
      </c>
      <c r="C657" t="str">
        <f t="shared" si="10"/>
        <v>Player 656</v>
      </c>
      <c r="D657">
        <v>108.90923982489601</v>
      </c>
    </row>
    <row r="658" spans="1:4" x14ac:dyDescent="0.25">
      <c r="A658">
        <v>7293</v>
      </c>
      <c r="B658">
        <v>657</v>
      </c>
      <c r="C658" t="str">
        <f t="shared" si="10"/>
        <v>Player 657</v>
      </c>
      <c r="D658">
        <v>113.782720699238</v>
      </c>
    </row>
    <row r="659" spans="1:4" x14ac:dyDescent="0.25">
      <c r="A659">
        <v>7295</v>
      </c>
      <c r="B659">
        <v>658</v>
      </c>
      <c r="C659" t="str">
        <f t="shared" si="10"/>
        <v>Player 658</v>
      </c>
      <c r="D659">
        <v>25.362839037144902</v>
      </c>
    </row>
    <row r="660" spans="1:4" x14ac:dyDescent="0.25">
      <c r="A660">
        <v>7303</v>
      </c>
      <c r="B660">
        <v>659</v>
      </c>
      <c r="C660" t="str">
        <f t="shared" si="10"/>
        <v>Player 659</v>
      </c>
      <c r="D660">
        <v>70.096930185886805</v>
      </c>
    </row>
    <row r="661" spans="1:4" x14ac:dyDescent="0.25">
      <c r="A661">
        <v>7313</v>
      </c>
      <c r="B661">
        <v>660</v>
      </c>
      <c r="C661" t="str">
        <f t="shared" si="10"/>
        <v>Player 660</v>
      </c>
      <c r="D661">
        <v>57.4964549074529</v>
      </c>
    </row>
    <row r="662" spans="1:4" x14ac:dyDescent="0.25">
      <c r="A662">
        <v>7316</v>
      </c>
      <c r="B662">
        <v>661</v>
      </c>
      <c r="C662" t="str">
        <f t="shared" si="10"/>
        <v>Player 661</v>
      </c>
      <c r="D662">
        <v>82.585839707011701</v>
      </c>
    </row>
    <row r="663" spans="1:4" x14ac:dyDescent="0.25">
      <c r="A663">
        <v>7320</v>
      </c>
      <c r="B663">
        <v>662</v>
      </c>
      <c r="C663" t="str">
        <f t="shared" si="10"/>
        <v>Player 662</v>
      </c>
      <c r="D663">
        <v>99.3591197202323</v>
      </c>
    </row>
    <row r="664" spans="1:4" x14ac:dyDescent="0.25">
      <c r="A664">
        <v>7327</v>
      </c>
      <c r="B664">
        <v>663</v>
      </c>
      <c r="C664" t="str">
        <f t="shared" si="10"/>
        <v>Player 663</v>
      </c>
      <c r="D664">
        <v>48.059021597436796</v>
      </c>
    </row>
    <row r="665" spans="1:4" x14ac:dyDescent="0.25">
      <c r="A665">
        <v>7331</v>
      </c>
      <c r="B665">
        <v>664</v>
      </c>
      <c r="C665" t="str">
        <f t="shared" si="10"/>
        <v>Player 664</v>
      </c>
      <c r="D665">
        <v>75.679838437317102</v>
      </c>
    </row>
    <row r="666" spans="1:4" x14ac:dyDescent="0.25">
      <c r="A666">
        <v>7359</v>
      </c>
      <c r="B666">
        <v>665</v>
      </c>
      <c r="C666" t="str">
        <f t="shared" si="10"/>
        <v>Player 665</v>
      </c>
      <c r="D666">
        <v>90.872857990489905</v>
      </c>
    </row>
    <row r="667" spans="1:4" x14ac:dyDescent="0.25">
      <c r="A667">
        <v>7371</v>
      </c>
      <c r="B667">
        <v>666</v>
      </c>
      <c r="C667" t="str">
        <f t="shared" si="10"/>
        <v>Player 666</v>
      </c>
      <c r="D667">
        <v>33.443108283573402</v>
      </c>
    </row>
    <row r="668" spans="1:4" x14ac:dyDescent="0.25">
      <c r="A668">
        <v>7374</v>
      </c>
      <c r="B668">
        <v>667</v>
      </c>
      <c r="C668" t="str">
        <f t="shared" si="10"/>
        <v>Player 667</v>
      </c>
      <c r="D668">
        <v>101.40669059512599</v>
      </c>
    </row>
    <row r="669" spans="1:4" x14ac:dyDescent="0.25">
      <c r="A669">
        <v>7376</v>
      </c>
      <c r="B669">
        <v>668</v>
      </c>
      <c r="C669" t="str">
        <f t="shared" si="10"/>
        <v>Player 668</v>
      </c>
      <c r="D669">
        <v>80.610959985297299</v>
      </c>
    </row>
    <row r="670" spans="1:4" x14ac:dyDescent="0.25">
      <c r="A670">
        <v>7396</v>
      </c>
      <c r="B670">
        <v>669</v>
      </c>
      <c r="C670" t="str">
        <f t="shared" si="10"/>
        <v>Player 669</v>
      </c>
      <c r="D670">
        <v>114.95374371136499</v>
      </c>
    </row>
    <row r="671" spans="1:4" x14ac:dyDescent="0.25">
      <c r="A671">
        <v>7413</v>
      </c>
      <c r="B671">
        <v>670</v>
      </c>
      <c r="C671" t="str">
        <f t="shared" si="10"/>
        <v>Player 670</v>
      </c>
      <c r="D671">
        <v>53.952891913069301</v>
      </c>
    </row>
    <row r="672" spans="1:4" x14ac:dyDescent="0.25">
      <c r="A672">
        <v>7420</v>
      </c>
      <c r="B672">
        <v>671</v>
      </c>
      <c r="C672" t="str">
        <f t="shared" si="10"/>
        <v>Player 671</v>
      </c>
      <c r="D672">
        <v>30.814594233719799</v>
      </c>
    </row>
    <row r="673" spans="1:4" x14ac:dyDescent="0.25">
      <c r="A673">
        <v>7439</v>
      </c>
      <c r="B673">
        <v>672</v>
      </c>
      <c r="C673" t="str">
        <f t="shared" si="10"/>
        <v>Player 672</v>
      </c>
      <c r="D673">
        <v>70.650120103692501</v>
      </c>
    </row>
    <row r="674" spans="1:4" x14ac:dyDescent="0.25">
      <c r="A674">
        <v>7456</v>
      </c>
      <c r="B674">
        <v>673</v>
      </c>
      <c r="C674" t="str">
        <f t="shared" si="10"/>
        <v>Player 673</v>
      </c>
      <c r="D674">
        <v>28.5810771709438</v>
      </c>
    </row>
    <row r="675" spans="1:4" x14ac:dyDescent="0.25">
      <c r="A675">
        <v>7457</v>
      </c>
      <c r="B675">
        <v>674</v>
      </c>
      <c r="C675" t="str">
        <f t="shared" si="10"/>
        <v>Player 674</v>
      </c>
      <c r="D675">
        <v>116.95265233240001</v>
      </c>
    </row>
    <row r="676" spans="1:4" x14ac:dyDescent="0.25">
      <c r="A676">
        <v>7469</v>
      </c>
      <c r="B676">
        <v>675</v>
      </c>
      <c r="C676" t="str">
        <f t="shared" si="10"/>
        <v>Player 675</v>
      </c>
      <c r="D676">
        <v>23.868495825719101</v>
      </c>
    </row>
    <row r="677" spans="1:4" x14ac:dyDescent="0.25">
      <c r="A677">
        <v>7484</v>
      </c>
      <c r="B677">
        <v>676</v>
      </c>
      <c r="C677" t="str">
        <f t="shared" si="10"/>
        <v>Player 676</v>
      </c>
      <c r="D677">
        <v>95.3503901107308</v>
      </c>
    </row>
    <row r="678" spans="1:4" x14ac:dyDescent="0.25">
      <c r="A678">
        <v>7490</v>
      </c>
      <c r="B678">
        <v>677</v>
      </c>
      <c r="C678" t="str">
        <f t="shared" si="10"/>
        <v>Player 677</v>
      </c>
      <c r="D678">
        <v>72.510239814224406</v>
      </c>
    </row>
    <row r="679" spans="1:4" x14ac:dyDescent="0.25">
      <c r="A679">
        <v>7493</v>
      </c>
      <c r="B679">
        <v>678</v>
      </c>
      <c r="C679" t="str">
        <f t="shared" si="10"/>
        <v>Player 678</v>
      </c>
      <c r="D679">
        <v>56.862065249828802</v>
      </c>
    </row>
    <row r="680" spans="1:4" x14ac:dyDescent="0.25">
      <c r="A680">
        <v>7506</v>
      </c>
      <c r="B680">
        <v>679</v>
      </c>
      <c r="C680" t="str">
        <f t="shared" si="10"/>
        <v>Player 679</v>
      </c>
      <c r="D680">
        <v>26.584216450865402</v>
      </c>
    </row>
    <row r="681" spans="1:4" x14ac:dyDescent="0.25">
      <c r="A681">
        <v>7514</v>
      </c>
      <c r="B681">
        <v>680</v>
      </c>
      <c r="C681" t="str">
        <f t="shared" si="10"/>
        <v>Player 680</v>
      </c>
      <c r="D681">
        <v>82.216692417360704</v>
      </c>
    </row>
    <row r="682" spans="1:4" x14ac:dyDescent="0.25">
      <c r="A682">
        <v>7528</v>
      </c>
      <c r="B682">
        <v>681</v>
      </c>
      <c r="C682" t="str">
        <f t="shared" si="10"/>
        <v>Player 681</v>
      </c>
      <c r="D682">
        <v>78.522032939095496</v>
      </c>
    </row>
    <row r="683" spans="1:4" x14ac:dyDescent="0.25">
      <c r="A683">
        <v>7530</v>
      </c>
      <c r="B683">
        <v>682</v>
      </c>
      <c r="C683" t="str">
        <f t="shared" si="10"/>
        <v>Player 682</v>
      </c>
      <c r="D683">
        <v>48.088327306759901</v>
      </c>
    </row>
    <row r="684" spans="1:4" x14ac:dyDescent="0.25">
      <c r="A684">
        <v>7541</v>
      </c>
      <c r="B684">
        <v>683</v>
      </c>
      <c r="C684" t="str">
        <f t="shared" si="10"/>
        <v>Player 683</v>
      </c>
      <c r="D684">
        <v>111.022170141031</v>
      </c>
    </row>
    <row r="685" spans="1:4" x14ac:dyDescent="0.25">
      <c r="A685">
        <v>7544</v>
      </c>
      <c r="B685">
        <v>684</v>
      </c>
      <c r="C685" t="str">
        <f t="shared" si="10"/>
        <v>Player 684</v>
      </c>
      <c r="D685">
        <v>50.411000734283597</v>
      </c>
    </row>
    <row r="686" spans="1:4" x14ac:dyDescent="0.25">
      <c r="A686">
        <v>7546</v>
      </c>
      <c r="B686">
        <v>685</v>
      </c>
      <c r="C686" t="str">
        <f t="shared" si="10"/>
        <v>Player 685</v>
      </c>
      <c r="D686">
        <v>64.972541059210599</v>
      </c>
    </row>
    <row r="687" spans="1:4" x14ac:dyDescent="0.25">
      <c r="A687">
        <v>7565</v>
      </c>
      <c r="B687">
        <v>686</v>
      </c>
      <c r="C687" t="str">
        <f t="shared" si="10"/>
        <v>Player 686</v>
      </c>
      <c r="D687">
        <v>74.376245591865498</v>
      </c>
    </row>
    <row r="688" spans="1:4" x14ac:dyDescent="0.25">
      <c r="A688">
        <v>7585</v>
      </c>
      <c r="B688">
        <v>687</v>
      </c>
      <c r="C688" t="str">
        <f t="shared" si="10"/>
        <v>Player 687</v>
      </c>
      <c r="D688">
        <v>30.0231878176286</v>
      </c>
    </row>
    <row r="689" spans="1:4" x14ac:dyDescent="0.25">
      <c r="A689">
        <v>7588</v>
      </c>
      <c r="B689">
        <v>688</v>
      </c>
      <c r="C689" t="str">
        <f t="shared" si="10"/>
        <v>Player 688</v>
      </c>
      <c r="D689">
        <v>113.216171921363</v>
      </c>
    </row>
    <row r="690" spans="1:4" x14ac:dyDescent="0.25">
      <c r="A690">
        <v>7600</v>
      </c>
      <c r="B690">
        <v>689</v>
      </c>
      <c r="C690" t="str">
        <f t="shared" si="10"/>
        <v>Player 689</v>
      </c>
      <c r="D690">
        <v>57.453615245104103</v>
      </c>
    </row>
    <row r="691" spans="1:4" x14ac:dyDescent="0.25">
      <c r="A691">
        <v>7614</v>
      </c>
      <c r="B691">
        <v>690</v>
      </c>
      <c r="C691" t="str">
        <f t="shared" si="10"/>
        <v>Player 690</v>
      </c>
      <c r="D691">
        <v>28.077921387434301</v>
      </c>
    </row>
    <row r="692" spans="1:4" x14ac:dyDescent="0.25">
      <c r="A692">
        <v>7616</v>
      </c>
      <c r="B692">
        <v>691</v>
      </c>
      <c r="C692" t="str">
        <f t="shared" si="10"/>
        <v>Player 691</v>
      </c>
      <c r="D692">
        <v>58.729117367532901</v>
      </c>
    </row>
    <row r="693" spans="1:4" x14ac:dyDescent="0.25">
      <c r="A693">
        <v>7617</v>
      </c>
      <c r="B693">
        <v>692</v>
      </c>
      <c r="C693" t="str">
        <f t="shared" si="10"/>
        <v>Player 692</v>
      </c>
      <c r="D693">
        <v>80.020254709257998</v>
      </c>
    </row>
    <row r="694" spans="1:4" x14ac:dyDescent="0.25">
      <c r="A694">
        <v>7619</v>
      </c>
      <c r="B694">
        <v>693</v>
      </c>
      <c r="C694" t="str">
        <f t="shared" si="10"/>
        <v>Player 693</v>
      </c>
      <c r="D694">
        <v>71.365267182132897</v>
      </c>
    </row>
    <row r="695" spans="1:4" x14ac:dyDescent="0.25">
      <c r="A695">
        <v>7645</v>
      </c>
      <c r="B695">
        <v>694</v>
      </c>
      <c r="C695" t="str">
        <f t="shared" si="10"/>
        <v>Player 694</v>
      </c>
      <c r="D695">
        <v>89.454197403727406</v>
      </c>
    </row>
    <row r="696" spans="1:4" x14ac:dyDescent="0.25">
      <c r="A696">
        <v>7655</v>
      </c>
      <c r="B696">
        <v>695</v>
      </c>
      <c r="C696" t="str">
        <f t="shared" si="10"/>
        <v>Player 695</v>
      </c>
      <c r="D696">
        <v>25.548394206790999</v>
      </c>
    </row>
    <row r="697" spans="1:4" x14ac:dyDescent="0.25">
      <c r="A697">
        <v>7665</v>
      </c>
      <c r="B697">
        <v>696</v>
      </c>
      <c r="C697" t="str">
        <f t="shared" si="10"/>
        <v>Player 696</v>
      </c>
      <c r="D697">
        <v>48.454061027205597</v>
      </c>
    </row>
    <row r="698" spans="1:4" x14ac:dyDescent="0.25">
      <c r="A698">
        <v>7668</v>
      </c>
      <c r="B698">
        <v>697</v>
      </c>
      <c r="C698" t="str">
        <f t="shared" si="10"/>
        <v>Player 697</v>
      </c>
      <c r="D698">
        <v>101.92305768401</v>
      </c>
    </row>
    <row r="699" spans="1:4" x14ac:dyDescent="0.25">
      <c r="A699">
        <v>7677</v>
      </c>
      <c r="B699">
        <v>698</v>
      </c>
      <c r="C699" t="str">
        <f t="shared" si="10"/>
        <v>Player 698</v>
      </c>
      <c r="D699">
        <v>27.989368779136001</v>
      </c>
    </row>
    <row r="700" spans="1:4" x14ac:dyDescent="0.25">
      <c r="A700">
        <v>7694</v>
      </c>
      <c r="B700">
        <v>699</v>
      </c>
      <c r="C700" t="str">
        <f t="shared" si="10"/>
        <v>Player 699</v>
      </c>
      <c r="D700">
        <v>105.548595469595</v>
      </c>
    </row>
    <row r="701" spans="1:4" x14ac:dyDescent="0.25">
      <c r="A701">
        <v>7704</v>
      </c>
      <c r="B701">
        <v>700</v>
      </c>
      <c r="C701" t="str">
        <f t="shared" si="10"/>
        <v>Player 700</v>
      </c>
      <c r="D701">
        <v>29.1896092077106</v>
      </c>
    </row>
    <row r="702" spans="1:4" x14ac:dyDescent="0.25">
      <c r="A702">
        <v>7709</v>
      </c>
      <c r="B702">
        <v>701</v>
      </c>
      <c r="C702" t="str">
        <f t="shared" si="10"/>
        <v>Player 701</v>
      </c>
      <c r="D702">
        <v>103.44542148916899</v>
      </c>
    </row>
    <row r="703" spans="1:4" x14ac:dyDescent="0.25">
      <c r="A703">
        <v>7731</v>
      </c>
      <c r="B703">
        <v>702</v>
      </c>
      <c r="C703" t="str">
        <f t="shared" si="10"/>
        <v>Player 702</v>
      </c>
      <c r="D703">
        <v>56.078840107872601</v>
      </c>
    </row>
    <row r="704" spans="1:4" x14ac:dyDescent="0.25">
      <c r="A704">
        <v>7736</v>
      </c>
      <c r="B704">
        <v>703</v>
      </c>
      <c r="C704" t="str">
        <f t="shared" si="10"/>
        <v>Player 703</v>
      </c>
      <c r="D704">
        <v>81.220906325721501</v>
      </c>
    </row>
    <row r="705" spans="1:4" x14ac:dyDescent="0.25">
      <c r="A705">
        <v>7738</v>
      </c>
      <c r="B705">
        <v>704</v>
      </c>
      <c r="C705" t="str">
        <f t="shared" si="10"/>
        <v>Player 704</v>
      </c>
      <c r="D705">
        <v>35.288711564799797</v>
      </c>
    </row>
    <row r="706" spans="1:4" x14ac:dyDescent="0.25">
      <c r="A706">
        <v>7748</v>
      </c>
      <c r="B706">
        <v>705</v>
      </c>
      <c r="C706" t="str">
        <f t="shared" si="10"/>
        <v>Player 705</v>
      </c>
      <c r="D706">
        <v>26.616872172518001</v>
      </c>
    </row>
    <row r="707" spans="1:4" x14ac:dyDescent="0.25">
      <c r="A707">
        <v>7767</v>
      </c>
      <c r="B707">
        <v>706</v>
      </c>
      <c r="C707" t="str">
        <f t="shared" ref="C707:C770" si="11">"Player "&amp;TEXT(B707,"000")</f>
        <v>Player 706</v>
      </c>
      <c r="D707">
        <v>41.593820402013499</v>
      </c>
    </row>
    <row r="708" spans="1:4" x14ac:dyDescent="0.25">
      <c r="A708">
        <v>7776</v>
      </c>
      <c r="B708">
        <v>707</v>
      </c>
      <c r="C708" t="str">
        <f t="shared" si="11"/>
        <v>Player 707</v>
      </c>
      <c r="D708">
        <v>32.785381790869501</v>
      </c>
    </row>
    <row r="709" spans="1:4" x14ac:dyDescent="0.25">
      <c r="A709">
        <v>7777</v>
      </c>
      <c r="B709">
        <v>708</v>
      </c>
      <c r="C709" t="str">
        <f t="shared" si="11"/>
        <v>Player 708</v>
      </c>
      <c r="D709">
        <v>51.240589767963101</v>
      </c>
    </row>
    <row r="710" spans="1:4" x14ac:dyDescent="0.25">
      <c r="A710">
        <v>7783</v>
      </c>
      <c r="B710">
        <v>709</v>
      </c>
      <c r="C710" t="str">
        <f t="shared" si="11"/>
        <v>Player 709</v>
      </c>
      <c r="D710">
        <v>71.438324651101993</v>
      </c>
    </row>
    <row r="711" spans="1:4" x14ac:dyDescent="0.25">
      <c r="A711">
        <v>7799</v>
      </c>
      <c r="B711">
        <v>710</v>
      </c>
      <c r="C711" t="str">
        <f t="shared" si="11"/>
        <v>Player 710</v>
      </c>
      <c r="D711">
        <v>78.875946356500904</v>
      </c>
    </row>
    <row r="712" spans="1:4" x14ac:dyDescent="0.25">
      <c r="A712">
        <v>7801</v>
      </c>
      <c r="B712">
        <v>711</v>
      </c>
      <c r="C712" t="str">
        <f t="shared" si="11"/>
        <v>Player 711</v>
      </c>
      <c r="D712">
        <v>98.986810737974295</v>
      </c>
    </row>
    <row r="713" spans="1:4" x14ac:dyDescent="0.25">
      <c r="A713">
        <v>7806</v>
      </c>
      <c r="B713">
        <v>712</v>
      </c>
      <c r="C713" t="str">
        <f t="shared" si="11"/>
        <v>Player 712</v>
      </c>
      <c r="D713">
        <v>85.623989324835804</v>
      </c>
    </row>
    <row r="714" spans="1:4" x14ac:dyDescent="0.25">
      <c r="A714">
        <v>7809</v>
      </c>
      <c r="B714">
        <v>713</v>
      </c>
      <c r="C714" t="str">
        <f t="shared" si="11"/>
        <v>Player 713</v>
      </c>
      <c r="D714">
        <v>80.875832512955299</v>
      </c>
    </row>
    <row r="715" spans="1:4" x14ac:dyDescent="0.25">
      <c r="A715">
        <v>7819</v>
      </c>
      <c r="B715">
        <v>714</v>
      </c>
      <c r="C715" t="str">
        <f t="shared" si="11"/>
        <v>Player 714</v>
      </c>
      <c r="D715">
        <v>61.178202748577398</v>
      </c>
    </row>
    <row r="716" spans="1:4" x14ac:dyDescent="0.25">
      <c r="A716">
        <v>7833</v>
      </c>
      <c r="B716">
        <v>715</v>
      </c>
      <c r="C716" t="str">
        <f t="shared" si="11"/>
        <v>Player 715</v>
      </c>
      <c r="D716">
        <v>67.380843496013796</v>
      </c>
    </row>
    <row r="717" spans="1:4" x14ac:dyDescent="0.25">
      <c r="A717">
        <v>7863</v>
      </c>
      <c r="B717">
        <v>716</v>
      </c>
      <c r="C717" t="str">
        <f t="shared" si="11"/>
        <v>Player 716</v>
      </c>
      <c r="D717">
        <v>61.452082939018098</v>
      </c>
    </row>
    <row r="718" spans="1:4" x14ac:dyDescent="0.25">
      <c r="A718">
        <v>7873</v>
      </c>
      <c r="B718">
        <v>717</v>
      </c>
      <c r="C718" t="str">
        <f t="shared" si="11"/>
        <v>Player 717</v>
      </c>
      <c r="D718">
        <v>104.216603006138</v>
      </c>
    </row>
    <row r="719" spans="1:4" x14ac:dyDescent="0.25">
      <c r="A719">
        <v>7881</v>
      </c>
      <c r="B719">
        <v>718</v>
      </c>
      <c r="C719" t="str">
        <f t="shared" si="11"/>
        <v>Player 718</v>
      </c>
      <c r="D719">
        <v>43.000045254839897</v>
      </c>
    </row>
    <row r="720" spans="1:4" x14ac:dyDescent="0.25">
      <c r="A720">
        <v>7882</v>
      </c>
      <c r="B720">
        <v>719</v>
      </c>
      <c r="C720" t="str">
        <f t="shared" si="11"/>
        <v>Player 719</v>
      </c>
      <c r="D720">
        <v>20.572093154196399</v>
      </c>
    </row>
    <row r="721" spans="1:4" x14ac:dyDescent="0.25">
      <c r="A721">
        <v>7891</v>
      </c>
      <c r="B721">
        <v>720</v>
      </c>
      <c r="C721" t="str">
        <f t="shared" si="11"/>
        <v>Player 720</v>
      </c>
      <c r="D721">
        <v>85.131989722623899</v>
      </c>
    </row>
    <row r="722" spans="1:4" x14ac:dyDescent="0.25">
      <c r="A722">
        <v>7892</v>
      </c>
      <c r="B722">
        <v>721</v>
      </c>
      <c r="C722" t="str">
        <f t="shared" si="11"/>
        <v>Player 721</v>
      </c>
      <c r="D722">
        <v>40.246218363883102</v>
      </c>
    </row>
    <row r="723" spans="1:4" x14ac:dyDescent="0.25">
      <c r="A723">
        <v>7893</v>
      </c>
      <c r="B723">
        <v>722</v>
      </c>
      <c r="C723" t="str">
        <f t="shared" si="11"/>
        <v>Player 722</v>
      </c>
      <c r="D723">
        <v>109.01151363098001</v>
      </c>
    </row>
    <row r="724" spans="1:4" x14ac:dyDescent="0.25">
      <c r="A724">
        <v>7898</v>
      </c>
      <c r="B724">
        <v>723</v>
      </c>
      <c r="C724" t="str">
        <f t="shared" si="11"/>
        <v>Player 723</v>
      </c>
      <c r="D724">
        <v>105.90463297066501</v>
      </c>
    </row>
    <row r="725" spans="1:4" x14ac:dyDescent="0.25">
      <c r="A725">
        <v>7905</v>
      </c>
      <c r="B725">
        <v>724</v>
      </c>
      <c r="C725" t="str">
        <f t="shared" si="11"/>
        <v>Player 724</v>
      </c>
      <c r="D725">
        <v>27.672737192820499</v>
      </c>
    </row>
    <row r="726" spans="1:4" x14ac:dyDescent="0.25">
      <c r="A726">
        <v>7910</v>
      </c>
      <c r="B726">
        <v>725</v>
      </c>
      <c r="C726" t="str">
        <f t="shared" si="11"/>
        <v>Player 725</v>
      </c>
      <c r="D726">
        <v>30.638840541407699</v>
      </c>
    </row>
    <row r="727" spans="1:4" x14ac:dyDescent="0.25">
      <c r="A727">
        <v>7937</v>
      </c>
      <c r="B727">
        <v>726</v>
      </c>
      <c r="C727" t="str">
        <f t="shared" si="11"/>
        <v>Player 726</v>
      </c>
      <c r="D727">
        <v>69.517159224666599</v>
      </c>
    </row>
    <row r="728" spans="1:4" x14ac:dyDescent="0.25">
      <c r="A728">
        <v>7938</v>
      </c>
      <c r="B728">
        <v>727</v>
      </c>
      <c r="C728" t="str">
        <f t="shared" si="11"/>
        <v>Player 727</v>
      </c>
      <c r="D728">
        <v>80.922266276935403</v>
      </c>
    </row>
    <row r="729" spans="1:4" x14ac:dyDescent="0.25">
      <c r="A729">
        <v>7941</v>
      </c>
      <c r="B729">
        <v>728</v>
      </c>
      <c r="C729" t="str">
        <f t="shared" si="11"/>
        <v>Player 728</v>
      </c>
      <c r="D729">
        <v>47.490833748223999</v>
      </c>
    </row>
    <row r="730" spans="1:4" x14ac:dyDescent="0.25">
      <c r="A730">
        <v>7943</v>
      </c>
      <c r="B730">
        <v>729</v>
      </c>
      <c r="C730" t="str">
        <f t="shared" si="11"/>
        <v>Player 729</v>
      </c>
      <c r="D730">
        <v>91.679771669936997</v>
      </c>
    </row>
    <row r="731" spans="1:4" x14ac:dyDescent="0.25">
      <c r="A731">
        <v>7944</v>
      </c>
      <c r="B731">
        <v>730</v>
      </c>
      <c r="C731" t="str">
        <f t="shared" si="11"/>
        <v>Player 730</v>
      </c>
      <c r="D731">
        <v>79.491602091887103</v>
      </c>
    </row>
    <row r="732" spans="1:4" x14ac:dyDescent="0.25">
      <c r="A732">
        <v>7949</v>
      </c>
      <c r="B732">
        <v>731</v>
      </c>
      <c r="C732" t="str">
        <f t="shared" si="11"/>
        <v>Player 731</v>
      </c>
      <c r="D732">
        <v>52.482410974855398</v>
      </c>
    </row>
    <row r="733" spans="1:4" x14ac:dyDescent="0.25">
      <c r="A733">
        <v>7966</v>
      </c>
      <c r="B733">
        <v>732</v>
      </c>
      <c r="C733" t="str">
        <f t="shared" si="11"/>
        <v>Player 732</v>
      </c>
      <c r="D733">
        <v>22.537148804231499</v>
      </c>
    </row>
    <row r="734" spans="1:4" x14ac:dyDescent="0.25">
      <c r="A734">
        <v>7970</v>
      </c>
      <c r="B734">
        <v>733</v>
      </c>
      <c r="C734" t="str">
        <f t="shared" si="11"/>
        <v>Player 733</v>
      </c>
      <c r="D734">
        <v>95.0150281298517</v>
      </c>
    </row>
    <row r="735" spans="1:4" x14ac:dyDescent="0.25">
      <c r="A735">
        <v>7971</v>
      </c>
      <c r="B735">
        <v>734</v>
      </c>
      <c r="C735" t="str">
        <f t="shared" si="11"/>
        <v>Player 734</v>
      </c>
      <c r="D735">
        <v>41.475366582508201</v>
      </c>
    </row>
    <row r="736" spans="1:4" x14ac:dyDescent="0.25">
      <c r="A736">
        <v>7981</v>
      </c>
      <c r="B736">
        <v>735</v>
      </c>
      <c r="C736" t="str">
        <f t="shared" si="11"/>
        <v>Player 735</v>
      </c>
      <c r="D736">
        <v>103.447374346262</v>
      </c>
    </row>
    <row r="737" spans="1:4" x14ac:dyDescent="0.25">
      <c r="A737">
        <v>7986</v>
      </c>
      <c r="B737">
        <v>736</v>
      </c>
      <c r="C737" t="str">
        <f t="shared" si="11"/>
        <v>Player 736</v>
      </c>
      <c r="D737">
        <v>62.0290260054255</v>
      </c>
    </row>
    <row r="738" spans="1:4" x14ac:dyDescent="0.25">
      <c r="A738">
        <v>7988</v>
      </c>
      <c r="B738">
        <v>737</v>
      </c>
      <c r="C738" t="str">
        <f t="shared" si="11"/>
        <v>Player 737</v>
      </c>
      <c r="D738">
        <v>77.707744263176494</v>
      </c>
    </row>
    <row r="739" spans="1:4" x14ac:dyDescent="0.25">
      <c r="A739">
        <v>7996</v>
      </c>
      <c r="B739">
        <v>738</v>
      </c>
      <c r="C739" t="str">
        <f t="shared" si="11"/>
        <v>Player 738</v>
      </c>
      <c r="D739">
        <v>107.2948730409</v>
      </c>
    </row>
    <row r="740" spans="1:4" x14ac:dyDescent="0.25">
      <c r="A740">
        <v>8002</v>
      </c>
      <c r="B740">
        <v>739</v>
      </c>
      <c r="C740" t="str">
        <f t="shared" si="11"/>
        <v>Player 739</v>
      </c>
      <c r="D740">
        <v>106.362300091995</v>
      </c>
    </row>
    <row r="741" spans="1:4" x14ac:dyDescent="0.25">
      <c r="A741">
        <v>8004</v>
      </c>
      <c r="B741">
        <v>740</v>
      </c>
      <c r="C741" t="str">
        <f t="shared" si="11"/>
        <v>Player 740</v>
      </c>
      <c r="D741">
        <v>57.1519575243573</v>
      </c>
    </row>
    <row r="742" spans="1:4" x14ac:dyDescent="0.25">
      <c r="A742">
        <v>8022</v>
      </c>
      <c r="B742">
        <v>741</v>
      </c>
      <c r="C742" t="str">
        <f t="shared" si="11"/>
        <v>Player 741</v>
      </c>
      <c r="D742">
        <v>40.888889271484302</v>
      </c>
    </row>
    <row r="743" spans="1:4" x14ac:dyDescent="0.25">
      <c r="A743">
        <v>8026</v>
      </c>
      <c r="B743">
        <v>742</v>
      </c>
      <c r="C743" t="str">
        <f t="shared" si="11"/>
        <v>Player 742</v>
      </c>
      <c r="D743">
        <v>97.514607772859407</v>
      </c>
    </row>
    <row r="744" spans="1:4" x14ac:dyDescent="0.25">
      <c r="A744">
        <v>8027</v>
      </c>
      <c r="B744">
        <v>743</v>
      </c>
      <c r="C744" t="str">
        <f t="shared" si="11"/>
        <v>Player 743</v>
      </c>
      <c r="D744">
        <v>63.308020360213099</v>
      </c>
    </row>
    <row r="745" spans="1:4" x14ac:dyDescent="0.25">
      <c r="A745">
        <v>8035</v>
      </c>
      <c r="B745">
        <v>744</v>
      </c>
      <c r="C745" t="str">
        <f t="shared" si="11"/>
        <v>Player 744</v>
      </c>
      <c r="D745">
        <v>39.2041993559004</v>
      </c>
    </row>
    <row r="746" spans="1:4" x14ac:dyDescent="0.25">
      <c r="A746">
        <v>8041</v>
      </c>
      <c r="B746">
        <v>745</v>
      </c>
      <c r="C746" t="str">
        <f t="shared" si="11"/>
        <v>Player 745</v>
      </c>
      <c r="D746">
        <v>110.442534231715</v>
      </c>
    </row>
    <row r="747" spans="1:4" x14ac:dyDescent="0.25">
      <c r="A747">
        <v>8043</v>
      </c>
      <c r="B747">
        <v>746</v>
      </c>
      <c r="C747" t="str">
        <f t="shared" si="11"/>
        <v>Player 746</v>
      </c>
      <c r="D747">
        <v>39.810419424108701</v>
      </c>
    </row>
    <row r="748" spans="1:4" x14ac:dyDescent="0.25">
      <c r="A748">
        <v>8056</v>
      </c>
      <c r="B748">
        <v>747</v>
      </c>
      <c r="C748" t="str">
        <f t="shared" si="11"/>
        <v>Player 747</v>
      </c>
      <c r="D748">
        <v>22.580716819123101</v>
      </c>
    </row>
    <row r="749" spans="1:4" x14ac:dyDescent="0.25">
      <c r="A749">
        <v>8079</v>
      </c>
      <c r="B749">
        <v>748</v>
      </c>
      <c r="C749" t="str">
        <f t="shared" si="11"/>
        <v>Player 748</v>
      </c>
      <c r="D749">
        <v>22.027997376741901</v>
      </c>
    </row>
    <row r="750" spans="1:4" x14ac:dyDescent="0.25">
      <c r="A750">
        <v>8098</v>
      </c>
      <c r="B750">
        <v>749</v>
      </c>
      <c r="C750" t="str">
        <f t="shared" si="11"/>
        <v>Player 749</v>
      </c>
      <c r="D750">
        <v>82.231535645426405</v>
      </c>
    </row>
    <row r="751" spans="1:4" x14ac:dyDescent="0.25">
      <c r="A751">
        <v>8099</v>
      </c>
      <c r="B751">
        <v>750</v>
      </c>
      <c r="C751" t="str">
        <f t="shared" si="11"/>
        <v>Player 750</v>
      </c>
      <c r="D751">
        <v>86.167506071752996</v>
      </c>
    </row>
    <row r="752" spans="1:4" x14ac:dyDescent="0.25">
      <c r="A752">
        <v>8102</v>
      </c>
      <c r="B752">
        <v>751</v>
      </c>
      <c r="C752" t="str">
        <f t="shared" si="11"/>
        <v>Player 751</v>
      </c>
      <c r="D752">
        <v>51.104170505698299</v>
      </c>
    </row>
    <row r="753" spans="1:4" x14ac:dyDescent="0.25">
      <c r="A753">
        <v>8112</v>
      </c>
      <c r="B753">
        <v>752</v>
      </c>
      <c r="C753" t="str">
        <f t="shared" si="11"/>
        <v>Player 752</v>
      </c>
      <c r="D753">
        <v>52.001098924706298</v>
      </c>
    </row>
    <row r="754" spans="1:4" x14ac:dyDescent="0.25">
      <c r="A754">
        <v>8114</v>
      </c>
      <c r="B754">
        <v>753</v>
      </c>
      <c r="C754" t="str">
        <f t="shared" si="11"/>
        <v>Player 753</v>
      </c>
      <c r="D754">
        <v>53.9493915059942</v>
      </c>
    </row>
    <row r="755" spans="1:4" x14ac:dyDescent="0.25">
      <c r="A755">
        <v>8125</v>
      </c>
      <c r="B755">
        <v>754</v>
      </c>
      <c r="C755" t="str">
        <f t="shared" si="11"/>
        <v>Player 754</v>
      </c>
      <c r="D755">
        <v>88.015854675887795</v>
      </c>
    </row>
    <row r="756" spans="1:4" x14ac:dyDescent="0.25">
      <c r="A756">
        <v>8140</v>
      </c>
      <c r="B756">
        <v>755</v>
      </c>
      <c r="C756" t="str">
        <f t="shared" si="11"/>
        <v>Player 755</v>
      </c>
      <c r="D756">
        <v>25.813379102682799</v>
      </c>
    </row>
    <row r="757" spans="1:4" x14ac:dyDescent="0.25">
      <c r="A757">
        <v>8147</v>
      </c>
      <c r="B757">
        <v>756</v>
      </c>
      <c r="C757" t="str">
        <f t="shared" si="11"/>
        <v>Player 756</v>
      </c>
      <c r="D757">
        <v>112.91163526913201</v>
      </c>
    </row>
    <row r="758" spans="1:4" x14ac:dyDescent="0.25">
      <c r="A758">
        <v>8158</v>
      </c>
      <c r="B758">
        <v>757</v>
      </c>
      <c r="C758" t="str">
        <f t="shared" si="11"/>
        <v>Player 757</v>
      </c>
      <c r="D758">
        <v>42.252104417744597</v>
      </c>
    </row>
    <row r="759" spans="1:4" x14ac:dyDescent="0.25">
      <c r="A759">
        <v>8164</v>
      </c>
      <c r="B759">
        <v>758</v>
      </c>
      <c r="C759" t="str">
        <f t="shared" si="11"/>
        <v>Player 758</v>
      </c>
      <c r="D759">
        <v>119.967320524209</v>
      </c>
    </row>
    <row r="760" spans="1:4" x14ac:dyDescent="0.25">
      <c r="A760">
        <v>8186</v>
      </c>
      <c r="B760">
        <v>759</v>
      </c>
      <c r="C760" t="str">
        <f t="shared" si="11"/>
        <v>Player 759</v>
      </c>
      <c r="D760">
        <v>37.152269378718699</v>
      </c>
    </row>
    <row r="761" spans="1:4" x14ac:dyDescent="0.25">
      <c r="A761">
        <v>8190</v>
      </c>
      <c r="B761">
        <v>760</v>
      </c>
      <c r="C761" t="str">
        <f t="shared" si="11"/>
        <v>Player 760</v>
      </c>
      <c r="D761">
        <v>97.154645731237693</v>
      </c>
    </row>
    <row r="762" spans="1:4" x14ac:dyDescent="0.25">
      <c r="A762">
        <v>8192</v>
      </c>
      <c r="B762">
        <v>761</v>
      </c>
      <c r="C762" t="str">
        <f t="shared" si="11"/>
        <v>Player 761</v>
      </c>
      <c r="D762">
        <v>42.341254492962499</v>
      </c>
    </row>
    <row r="763" spans="1:4" x14ac:dyDescent="0.25">
      <c r="A763">
        <v>8196</v>
      </c>
      <c r="B763">
        <v>762</v>
      </c>
      <c r="C763" t="str">
        <f t="shared" si="11"/>
        <v>Player 762</v>
      </c>
      <c r="D763">
        <v>28.084680164325398</v>
      </c>
    </row>
    <row r="764" spans="1:4" x14ac:dyDescent="0.25">
      <c r="A764">
        <v>8206</v>
      </c>
      <c r="B764">
        <v>763</v>
      </c>
      <c r="C764" t="str">
        <f t="shared" si="11"/>
        <v>Player 763</v>
      </c>
      <c r="D764">
        <v>107.493332435064</v>
      </c>
    </row>
    <row r="765" spans="1:4" x14ac:dyDescent="0.25">
      <c r="A765">
        <v>8208</v>
      </c>
      <c r="B765">
        <v>764</v>
      </c>
      <c r="C765" t="str">
        <f t="shared" si="11"/>
        <v>Player 764</v>
      </c>
      <c r="D765">
        <v>105.875125919089</v>
      </c>
    </row>
    <row r="766" spans="1:4" x14ac:dyDescent="0.25">
      <c r="A766">
        <v>8215</v>
      </c>
      <c r="B766">
        <v>765</v>
      </c>
      <c r="C766" t="str">
        <f t="shared" si="11"/>
        <v>Player 765</v>
      </c>
      <c r="D766">
        <v>60.357039244960099</v>
      </c>
    </row>
    <row r="767" spans="1:4" x14ac:dyDescent="0.25">
      <c r="A767">
        <v>8239</v>
      </c>
      <c r="B767">
        <v>766</v>
      </c>
      <c r="C767" t="str">
        <f t="shared" si="11"/>
        <v>Player 766</v>
      </c>
      <c r="D767">
        <v>90.239614254042607</v>
      </c>
    </row>
    <row r="768" spans="1:4" x14ac:dyDescent="0.25">
      <c r="A768">
        <v>8240</v>
      </c>
      <c r="B768">
        <v>767</v>
      </c>
      <c r="C768" t="str">
        <f t="shared" si="11"/>
        <v>Player 767</v>
      </c>
      <c r="D768">
        <v>75.7065932683917</v>
      </c>
    </row>
    <row r="769" spans="1:4" x14ac:dyDescent="0.25">
      <c r="A769">
        <v>8241</v>
      </c>
      <c r="B769">
        <v>768</v>
      </c>
      <c r="C769" t="str">
        <f t="shared" si="11"/>
        <v>Player 768</v>
      </c>
      <c r="D769">
        <v>105.29561136737399</v>
      </c>
    </row>
    <row r="770" spans="1:4" x14ac:dyDescent="0.25">
      <c r="A770">
        <v>8245</v>
      </c>
      <c r="B770">
        <v>769</v>
      </c>
      <c r="C770" t="str">
        <f t="shared" si="11"/>
        <v>Player 769</v>
      </c>
      <c r="D770">
        <v>51.505596931865398</v>
      </c>
    </row>
    <row r="771" spans="1:4" x14ac:dyDescent="0.25">
      <c r="A771">
        <v>8253</v>
      </c>
      <c r="B771">
        <v>770</v>
      </c>
      <c r="C771" t="str">
        <f t="shared" ref="C771:C834" si="12">"Player "&amp;TEXT(B771,"000")</f>
        <v>Player 770</v>
      </c>
      <c r="D771">
        <v>72.367239999898501</v>
      </c>
    </row>
    <row r="772" spans="1:4" x14ac:dyDescent="0.25">
      <c r="A772">
        <v>8266</v>
      </c>
      <c r="B772">
        <v>771</v>
      </c>
      <c r="C772" t="str">
        <f t="shared" si="12"/>
        <v>Player 771</v>
      </c>
      <c r="D772">
        <v>68.537237120455003</v>
      </c>
    </row>
    <row r="773" spans="1:4" x14ac:dyDescent="0.25">
      <c r="A773">
        <v>8270</v>
      </c>
      <c r="B773">
        <v>772</v>
      </c>
      <c r="C773" t="str">
        <f t="shared" si="12"/>
        <v>Player 772</v>
      </c>
      <c r="D773">
        <v>55.390582625685802</v>
      </c>
    </row>
    <row r="774" spans="1:4" x14ac:dyDescent="0.25">
      <c r="A774">
        <v>8280</v>
      </c>
      <c r="B774">
        <v>773</v>
      </c>
      <c r="C774" t="str">
        <f t="shared" si="12"/>
        <v>Player 773</v>
      </c>
      <c r="D774">
        <v>109.145506455637</v>
      </c>
    </row>
    <row r="775" spans="1:4" x14ac:dyDescent="0.25">
      <c r="A775">
        <v>8311</v>
      </c>
      <c r="B775">
        <v>774</v>
      </c>
      <c r="C775" t="str">
        <f t="shared" si="12"/>
        <v>Player 774</v>
      </c>
      <c r="D775">
        <v>36.587792466253497</v>
      </c>
    </row>
    <row r="776" spans="1:4" x14ac:dyDescent="0.25">
      <c r="A776">
        <v>8312</v>
      </c>
      <c r="B776">
        <v>775</v>
      </c>
      <c r="C776" t="str">
        <f t="shared" si="12"/>
        <v>Player 775</v>
      </c>
      <c r="D776">
        <v>34.950863952069597</v>
      </c>
    </row>
    <row r="777" spans="1:4" x14ac:dyDescent="0.25">
      <c r="A777">
        <v>8326</v>
      </c>
      <c r="B777">
        <v>776</v>
      </c>
      <c r="C777" t="str">
        <f t="shared" si="12"/>
        <v>Player 776</v>
      </c>
      <c r="D777">
        <v>77.690953532275103</v>
      </c>
    </row>
    <row r="778" spans="1:4" x14ac:dyDescent="0.25">
      <c r="A778">
        <v>8330</v>
      </c>
      <c r="B778">
        <v>777</v>
      </c>
      <c r="C778" t="str">
        <f t="shared" si="12"/>
        <v>Player 777</v>
      </c>
      <c r="D778">
        <v>85.749422998494197</v>
      </c>
    </row>
    <row r="779" spans="1:4" x14ac:dyDescent="0.25">
      <c r="A779">
        <v>8339</v>
      </c>
      <c r="B779">
        <v>778</v>
      </c>
      <c r="C779" t="str">
        <f t="shared" si="12"/>
        <v>Player 778</v>
      </c>
      <c r="D779">
        <v>39.461925432456503</v>
      </c>
    </row>
    <row r="780" spans="1:4" x14ac:dyDescent="0.25">
      <c r="A780">
        <v>8343</v>
      </c>
      <c r="B780">
        <v>779</v>
      </c>
      <c r="C780" t="str">
        <f t="shared" si="12"/>
        <v>Player 779</v>
      </c>
      <c r="D780">
        <v>59.071744225462403</v>
      </c>
    </row>
    <row r="781" spans="1:4" x14ac:dyDescent="0.25">
      <c r="A781">
        <v>8350</v>
      </c>
      <c r="B781">
        <v>780</v>
      </c>
      <c r="C781" t="str">
        <f t="shared" si="12"/>
        <v>Player 780</v>
      </c>
      <c r="D781">
        <v>114.656384297874</v>
      </c>
    </row>
    <row r="782" spans="1:4" x14ac:dyDescent="0.25">
      <c r="A782">
        <v>8357</v>
      </c>
      <c r="B782">
        <v>781</v>
      </c>
      <c r="C782" t="str">
        <f t="shared" si="12"/>
        <v>Player 781</v>
      </c>
      <c r="D782">
        <v>44.661742269067403</v>
      </c>
    </row>
    <row r="783" spans="1:4" x14ac:dyDescent="0.25">
      <c r="A783">
        <v>8385</v>
      </c>
      <c r="B783">
        <v>782</v>
      </c>
      <c r="C783" t="str">
        <f t="shared" si="12"/>
        <v>Player 782</v>
      </c>
      <c r="D783">
        <v>86.836070211739397</v>
      </c>
    </row>
    <row r="784" spans="1:4" x14ac:dyDescent="0.25">
      <c r="A784">
        <v>8390</v>
      </c>
      <c r="B784">
        <v>783</v>
      </c>
      <c r="C784" t="str">
        <f t="shared" si="12"/>
        <v>Player 783</v>
      </c>
      <c r="D784">
        <v>94.014939369759006</v>
      </c>
    </row>
    <row r="785" spans="1:4" x14ac:dyDescent="0.25">
      <c r="A785">
        <v>8392</v>
      </c>
      <c r="B785">
        <v>784</v>
      </c>
      <c r="C785" t="str">
        <f t="shared" si="12"/>
        <v>Player 784</v>
      </c>
      <c r="D785">
        <v>64.812869946515903</v>
      </c>
    </row>
    <row r="786" spans="1:4" x14ac:dyDescent="0.25">
      <c r="A786">
        <v>8400</v>
      </c>
      <c r="B786">
        <v>785</v>
      </c>
      <c r="C786" t="str">
        <f t="shared" si="12"/>
        <v>Player 785</v>
      </c>
      <c r="D786">
        <v>113.752598675958</v>
      </c>
    </row>
    <row r="787" spans="1:4" x14ac:dyDescent="0.25">
      <c r="A787">
        <v>8404</v>
      </c>
      <c r="B787">
        <v>786</v>
      </c>
      <c r="C787" t="str">
        <f t="shared" si="12"/>
        <v>Player 786</v>
      </c>
      <c r="D787">
        <v>93.665673521879</v>
      </c>
    </row>
    <row r="788" spans="1:4" x14ac:dyDescent="0.25">
      <c r="A788">
        <v>8408</v>
      </c>
      <c r="B788">
        <v>787</v>
      </c>
      <c r="C788" t="str">
        <f t="shared" si="12"/>
        <v>Player 787</v>
      </c>
      <c r="D788">
        <v>65.792457986089701</v>
      </c>
    </row>
    <row r="789" spans="1:4" x14ac:dyDescent="0.25">
      <c r="A789">
        <v>8409</v>
      </c>
      <c r="B789">
        <v>788</v>
      </c>
      <c r="C789" t="str">
        <f t="shared" si="12"/>
        <v>Player 788</v>
      </c>
      <c r="D789">
        <v>76.933520177609395</v>
      </c>
    </row>
    <row r="790" spans="1:4" x14ac:dyDescent="0.25">
      <c r="A790">
        <v>8418</v>
      </c>
      <c r="B790">
        <v>789</v>
      </c>
      <c r="C790" t="str">
        <f t="shared" si="12"/>
        <v>Player 789</v>
      </c>
      <c r="D790">
        <v>89.26134434251</v>
      </c>
    </row>
    <row r="791" spans="1:4" x14ac:dyDescent="0.25">
      <c r="A791">
        <v>8419</v>
      </c>
      <c r="B791">
        <v>790</v>
      </c>
      <c r="C791" t="str">
        <f t="shared" si="12"/>
        <v>Player 790</v>
      </c>
      <c r="D791">
        <v>79.219018042921803</v>
      </c>
    </row>
    <row r="792" spans="1:4" x14ac:dyDescent="0.25">
      <c r="A792">
        <v>8421</v>
      </c>
      <c r="B792">
        <v>791</v>
      </c>
      <c r="C792" t="str">
        <f t="shared" si="12"/>
        <v>Player 791</v>
      </c>
      <c r="D792">
        <v>107.869758382607</v>
      </c>
    </row>
    <row r="793" spans="1:4" x14ac:dyDescent="0.25">
      <c r="A793">
        <v>8449</v>
      </c>
      <c r="B793">
        <v>792</v>
      </c>
      <c r="C793" t="str">
        <f t="shared" si="12"/>
        <v>Player 792</v>
      </c>
      <c r="D793">
        <v>55.688866228040098</v>
      </c>
    </row>
    <row r="794" spans="1:4" x14ac:dyDescent="0.25">
      <c r="A794">
        <v>8455</v>
      </c>
      <c r="B794">
        <v>793</v>
      </c>
      <c r="C794" t="str">
        <f t="shared" si="12"/>
        <v>Player 793</v>
      </c>
      <c r="D794">
        <v>49.988574005580404</v>
      </c>
    </row>
    <row r="795" spans="1:4" x14ac:dyDescent="0.25">
      <c r="A795">
        <v>8483</v>
      </c>
      <c r="B795">
        <v>794</v>
      </c>
      <c r="C795" t="str">
        <f t="shared" si="12"/>
        <v>Player 794</v>
      </c>
      <c r="D795">
        <v>41.383888949526401</v>
      </c>
    </row>
    <row r="796" spans="1:4" x14ac:dyDescent="0.25">
      <c r="A796">
        <v>8489</v>
      </c>
      <c r="B796">
        <v>795</v>
      </c>
      <c r="C796" t="str">
        <f t="shared" si="12"/>
        <v>Player 795</v>
      </c>
      <c r="D796">
        <v>23.778296806459501</v>
      </c>
    </row>
    <row r="797" spans="1:4" x14ac:dyDescent="0.25">
      <c r="A797">
        <v>8494</v>
      </c>
      <c r="B797">
        <v>796</v>
      </c>
      <c r="C797" t="str">
        <f t="shared" si="12"/>
        <v>Player 796</v>
      </c>
      <c r="D797">
        <v>24.301396438005501</v>
      </c>
    </row>
    <row r="798" spans="1:4" x14ac:dyDescent="0.25">
      <c r="A798">
        <v>8509</v>
      </c>
      <c r="B798">
        <v>797</v>
      </c>
      <c r="C798" t="str">
        <f t="shared" si="12"/>
        <v>Player 797</v>
      </c>
      <c r="D798">
        <v>107.00551931092799</v>
      </c>
    </row>
    <row r="799" spans="1:4" x14ac:dyDescent="0.25">
      <c r="A799">
        <v>8513</v>
      </c>
      <c r="B799">
        <v>798</v>
      </c>
      <c r="C799" t="str">
        <f t="shared" si="12"/>
        <v>Player 798</v>
      </c>
      <c r="D799">
        <v>87.8393146405907</v>
      </c>
    </row>
    <row r="800" spans="1:4" x14ac:dyDescent="0.25">
      <c r="A800">
        <v>8526</v>
      </c>
      <c r="B800">
        <v>799</v>
      </c>
      <c r="C800" t="str">
        <f t="shared" si="12"/>
        <v>Player 799</v>
      </c>
      <c r="D800">
        <v>86.053241543648596</v>
      </c>
    </row>
    <row r="801" spans="1:4" x14ac:dyDescent="0.25">
      <c r="A801">
        <v>8543</v>
      </c>
      <c r="B801">
        <v>800</v>
      </c>
      <c r="C801" t="str">
        <f t="shared" si="12"/>
        <v>Player 800</v>
      </c>
      <c r="D801">
        <v>81.464281893488604</v>
      </c>
    </row>
    <row r="802" spans="1:4" x14ac:dyDescent="0.25">
      <c r="A802">
        <v>8546</v>
      </c>
      <c r="B802">
        <v>801</v>
      </c>
      <c r="C802" t="str">
        <f t="shared" si="12"/>
        <v>Player 801</v>
      </c>
      <c r="D802">
        <v>104.92191446941</v>
      </c>
    </row>
    <row r="803" spans="1:4" x14ac:dyDescent="0.25">
      <c r="A803">
        <v>8554</v>
      </c>
      <c r="B803">
        <v>802</v>
      </c>
      <c r="C803" t="str">
        <f t="shared" si="12"/>
        <v>Player 802</v>
      </c>
      <c r="D803">
        <v>68.026692566562701</v>
      </c>
    </row>
    <row r="804" spans="1:4" x14ac:dyDescent="0.25">
      <c r="A804">
        <v>8555</v>
      </c>
      <c r="B804">
        <v>803</v>
      </c>
      <c r="C804" t="str">
        <f t="shared" si="12"/>
        <v>Player 803</v>
      </c>
      <c r="D804">
        <v>107.04108285583</v>
      </c>
    </row>
    <row r="805" spans="1:4" x14ac:dyDescent="0.25">
      <c r="A805">
        <v>8560</v>
      </c>
      <c r="B805">
        <v>804</v>
      </c>
      <c r="C805" t="str">
        <f t="shared" si="12"/>
        <v>Player 804</v>
      </c>
      <c r="D805">
        <v>55.9445026182239</v>
      </c>
    </row>
    <row r="806" spans="1:4" x14ac:dyDescent="0.25">
      <c r="A806">
        <v>8561</v>
      </c>
      <c r="B806">
        <v>805</v>
      </c>
      <c r="C806" t="str">
        <f t="shared" si="12"/>
        <v>Player 805</v>
      </c>
      <c r="D806">
        <v>112.67075043390901</v>
      </c>
    </row>
    <row r="807" spans="1:4" x14ac:dyDescent="0.25">
      <c r="A807">
        <v>8570</v>
      </c>
      <c r="B807">
        <v>806</v>
      </c>
      <c r="C807" t="str">
        <f t="shared" si="12"/>
        <v>Player 806</v>
      </c>
      <c r="D807">
        <v>89.865698008123999</v>
      </c>
    </row>
    <row r="808" spans="1:4" x14ac:dyDescent="0.25">
      <c r="A808">
        <v>8574</v>
      </c>
      <c r="B808">
        <v>807</v>
      </c>
      <c r="C808" t="str">
        <f t="shared" si="12"/>
        <v>Player 807</v>
      </c>
      <c r="D808">
        <v>45.7177136024427</v>
      </c>
    </row>
    <row r="809" spans="1:4" x14ac:dyDescent="0.25">
      <c r="A809">
        <v>8575</v>
      </c>
      <c r="B809">
        <v>808</v>
      </c>
      <c r="C809" t="str">
        <f t="shared" si="12"/>
        <v>Player 808</v>
      </c>
      <c r="D809">
        <v>76.408492168862495</v>
      </c>
    </row>
    <row r="810" spans="1:4" x14ac:dyDescent="0.25">
      <c r="A810">
        <v>8576</v>
      </c>
      <c r="B810">
        <v>809</v>
      </c>
      <c r="C810" t="str">
        <f t="shared" si="12"/>
        <v>Player 809</v>
      </c>
      <c r="D810">
        <v>73.303056148825505</v>
      </c>
    </row>
    <row r="811" spans="1:4" x14ac:dyDescent="0.25">
      <c r="A811">
        <v>8577</v>
      </c>
      <c r="B811">
        <v>810</v>
      </c>
      <c r="C811" t="str">
        <f t="shared" si="12"/>
        <v>Player 810</v>
      </c>
      <c r="D811">
        <v>33.789882173033398</v>
      </c>
    </row>
    <row r="812" spans="1:4" x14ac:dyDescent="0.25">
      <c r="A812">
        <v>8587</v>
      </c>
      <c r="B812">
        <v>811</v>
      </c>
      <c r="C812" t="str">
        <f t="shared" si="12"/>
        <v>Player 811</v>
      </c>
      <c r="D812">
        <v>79.124290575061394</v>
      </c>
    </row>
    <row r="813" spans="1:4" x14ac:dyDescent="0.25">
      <c r="A813">
        <v>8629</v>
      </c>
      <c r="B813">
        <v>812</v>
      </c>
      <c r="C813" t="str">
        <f t="shared" si="12"/>
        <v>Player 812</v>
      </c>
      <c r="D813">
        <v>51.478562371695702</v>
      </c>
    </row>
    <row r="814" spans="1:4" x14ac:dyDescent="0.25">
      <c r="A814">
        <v>8641</v>
      </c>
      <c r="B814">
        <v>813</v>
      </c>
      <c r="C814" t="str">
        <f t="shared" si="12"/>
        <v>Player 813</v>
      </c>
      <c r="D814">
        <v>25.234876680960198</v>
      </c>
    </row>
    <row r="815" spans="1:4" x14ac:dyDescent="0.25">
      <c r="A815">
        <v>8648</v>
      </c>
      <c r="B815">
        <v>814</v>
      </c>
      <c r="C815" t="str">
        <f t="shared" si="12"/>
        <v>Player 814</v>
      </c>
      <c r="D815">
        <v>114.86561577065601</v>
      </c>
    </row>
    <row r="816" spans="1:4" x14ac:dyDescent="0.25">
      <c r="A816">
        <v>8651</v>
      </c>
      <c r="B816">
        <v>815</v>
      </c>
      <c r="C816" t="str">
        <f t="shared" si="12"/>
        <v>Player 815</v>
      </c>
      <c r="D816">
        <v>84.149036906428705</v>
      </c>
    </row>
    <row r="817" spans="1:4" x14ac:dyDescent="0.25">
      <c r="A817">
        <v>8667</v>
      </c>
      <c r="B817">
        <v>816</v>
      </c>
      <c r="C817" t="str">
        <f t="shared" si="12"/>
        <v>Player 816</v>
      </c>
      <c r="D817">
        <v>107.69189318708401</v>
      </c>
    </row>
    <row r="818" spans="1:4" x14ac:dyDescent="0.25">
      <c r="A818">
        <v>8668</v>
      </c>
      <c r="B818">
        <v>817</v>
      </c>
      <c r="C818" t="str">
        <f t="shared" si="12"/>
        <v>Player 817</v>
      </c>
      <c r="D818">
        <v>87.605600501325299</v>
      </c>
    </row>
    <row r="819" spans="1:4" x14ac:dyDescent="0.25">
      <c r="A819">
        <v>8673</v>
      </c>
      <c r="B819">
        <v>818</v>
      </c>
      <c r="C819" t="str">
        <f t="shared" si="12"/>
        <v>Player 818</v>
      </c>
      <c r="D819">
        <v>55.698369214011201</v>
      </c>
    </row>
    <row r="820" spans="1:4" x14ac:dyDescent="0.25">
      <c r="A820">
        <v>8679</v>
      </c>
      <c r="B820">
        <v>819</v>
      </c>
      <c r="C820" t="str">
        <f t="shared" si="12"/>
        <v>Player 819</v>
      </c>
      <c r="D820">
        <v>71.268807232881102</v>
      </c>
    </row>
    <row r="821" spans="1:4" x14ac:dyDescent="0.25">
      <c r="A821">
        <v>8683</v>
      </c>
      <c r="B821">
        <v>820</v>
      </c>
      <c r="C821" t="str">
        <f t="shared" si="12"/>
        <v>Player 820</v>
      </c>
      <c r="D821">
        <v>87.574676034717697</v>
      </c>
    </row>
    <row r="822" spans="1:4" x14ac:dyDescent="0.25">
      <c r="A822">
        <v>8687</v>
      </c>
      <c r="B822">
        <v>821</v>
      </c>
      <c r="C822" t="str">
        <f t="shared" si="12"/>
        <v>Player 821</v>
      </c>
      <c r="D822">
        <v>116.02523252014301</v>
      </c>
    </row>
    <row r="823" spans="1:4" x14ac:dyDescent="0.25">
      <c r="A823">
        <v>8714</v>
      </c>
      <c r="B823">
        <v>822</v>
      </c>
      <c r="C823" t="str">
        <f t="shared" si="12"/>
        <v>Player 822</v>
      </c>
      <c r="D823">
        <v>45.366945912169598</v>
      </c>
    </row>
    <row r="824" spans="1:4" x14ac:dyDescent="0.25">
      <c r="A824">
        <v>8721</v>
      </c>
      <c r="B824">
        <v>823</v>
      </c>
      <c r="C824" t="str">
        <f t="shared" si="12"/>
        <v>Player 823</v>
      </c>
      <c r="D824">
        <v>107.497705862411</v>
      </c>
    </row>
    <row r="825" spans="1:4" x14ac:dyDescent="0.25">
      <c r="A825">
        <v>8723</v>
      </c>
      <c r="B825">
        <v>824</v>
      </c>
      <c r="C825" t="str">
        <f t="shared" si="12"/>
        <v>Player 824</v>
      </c>
      <c r="D825">
        <v>112.40778052942601</v>
      </c>
    </row>
    <row r="826" spans="1:4" x14ac:dyDescent="0.25">
      <c r="A826">
        <v>8730</v>
      </c>
      <c r="B826">
        <v>825</v>
      </c>
      <c r="C826" t="str">
        <f t="shared" si="12"/>
        <v>Player 825</v>
      </c>
      <c r="D826">
        <v>87.041551465895594</v>
      </c>
    </row>
    <row r="827" spans="1:4" x14ac:dyDescent="0.25">
      <c r="A827">
        <v>8734</v>
      </c>
      <c r="B827">
        <v>826</v>
      </c>
      <c r="C827" t="str">
        <f t="shared" si="12"/>
        <v>Player 826</v>
      </c>
      <c r="D827">
        <v>113.126662740133</v>
      </c>
    </row>
    <row r="828" spans="1:4" x14ac:dyDescent="0.25">
      <c r="A828">
        <v>8777</v>
      </c>
      <c r="B828">
        <v>827</v>
      </c>
      <c r="C828" t="str">
        <f t="shared" si="12"/>
        <v>Player 827</v>
      </c>
      <c r="D828">
        <v>59.787858747736799</v>
      </c>
    </row>
    <row r="829" spans="1:4" x14ac:dyDescent="0.25">
      <c r="A829">
        <v>8783</v>
      </c>
      <c r="B829">
        <v>828</v>
      </c>
      <c r="C829" t="str">
        <f t="shared" si="12"/>
        <v>Player 828</v>
      </c>
      <c r="D829">
        <v>115.301617604044</v>
      </c>
    </row>
    <row r="830" spans="1:4" x14ac:dyDescent="0.25">
      <c r="A830">
        <v>8790</v>
      </c>
      <c r="B830">
        <v>829</v>
      </c>
      <c r="C830" t="str">
        <f t="shared" si="12"/>
        <v>Player 829</v>
      </c>
      <c r="D830">
        <v>90.278287716597404</v>
      </c>
    </row>
    <row r="831" spans="1:4" x14ac:dyDescent="0.25">
      <c r="A831">
        <v>8804</v>
      </c>
      <c r="B831">
        <v>830</v>
      </c>
      <c r="C831" t="str">
        <f t="shared" si="12"/>
        <v>Player 830</v>
      </c>
      <c r="D831">
        <v>24.2005767418811</v>
      </c>
    </row>
    <row r="832" spans="1:4" x14ac:dyDescent="0.25">
      <c r="A832">
        <v>8805</v>
      </c>
      <c r="B832">
        <v>831</v>
      </c>
      <c r="C832" t="str">
        <f t="shared" si="12"/>
        <v>Player 831</v>
      </c>
      <c r="D832">
        <v>110.687283181905</v>
      </c>
    </row>
    <row r="833" spans="1:4" x14ac:dyDescent="0.25">
      <c r="A833">
        <v>8806</v>
      </c>
      <c r="B833">
        <v>832</v>
      </c>
      <c r="C833" t="str">
        <f t="shared" si="12"/>
        <v>Player 832</v>
      </c>
      <c r="D833">
        <v>68.447280903319196</v>
      </c>
    </row>
    <row r="834" spans="1:4" x14ac:dyDescent="0.25">
      <c r="A834">
        <v>8830</v>
      </c>
      <c r="B834">
        <v>833</v>
      </c>
      <c r="C834" t="str">
        <f t="shared" si="12"/>
        <v>Player 833</v>
      </c>
      <c r="D834">
        <v>66.0326984777832</v>
      </c>
    </row>
    <row r="835" spans="1:4" x14ac:dyDescent="0.25">
      <c r="A835">
        <v>8849</v>
      </c>
      <c r="B835">
        <v>834</v>
      </c>
      <c r="C835" t="str">
        <f t="shared" ref="C835:C898" si="13">"Player "&amp;TEXT(B835,"000")</f>
        <v>Player 834</v>
      </c>
      <c r="D835">
        <v>76.646660597963404</v>
      </c>
    </row>
    <row r="836" spans="1:4" x14ac:dyDescent="0.25">
      <c r="A836">
        <v>8858</v>
      </c>
      <c r="B836">
        <v>835</v>
      </c>
      <c r="C836" t="str">
        <f t="shared" si="13"/>
        <v>Player 835</v>
      </c>
      <c r="D836">
        <v>34.938454677122699</v>
      </c>
    </row>
    <row r="837" spans="1:4" x14ac:dyDescent="0.25">
      <c r="A837">
        <v>8860</v>
      </c>
      <c r="B837">
        <v>836</v>
      </c>
      <c r="C837" t="str">
        <f t="shared" si="13"/>
        <v>Player 836</v>
      </c>
      <c r="D837">
        <v>66.916604856739795</v>
      </c>
    </row>
    <row r="838" spans="1:4" x14ac:dyDescent="0.25">
      <c r="A838">
        <v>8863</v>
      </c>
      <c r="B838">
        <v>837</v>
      </c>
      <c r="C838" t="str">
        <f t="shared" si="13"/>
        <v>Player 837</v>
      </c>
      <c r="D838">
        <v>103.112721671774</v>
      </c>
    </row>
    <row r="839" spans="1:4" x14ac:dyDescent="0.25">
      <c r="A839">
        <v>8869</v>
      </c>
      <c r="B839">
        <v>838</v>
      </c>
      <c r="C839" t="str">
        <f t="shared" si="13"/>
        <v>Player 838</v>
      </c>
      <c r="D839">
        <v>21.548245913751501</v>
      </c>
    </row>
    <row r="840" spans="1:4" x14ac:dyDescent="0.25">
      <c r="A840">
        <v>8891</v>
      </c>
      <c r="B840">
        <v>839</v>
      </c>
      <c r="C840" t="str">
        <f t="shared" si="13"/>
        <v>Player 839</v>
      </c>
      <c r="D840">
        <v>47.291716032437101</v>
      </c>
    </row>
    <row r="841" spans="1:4" x14ac:dyDescent="0.25">
      <c r="A841">
        <v>8892</v>
      </c>
      <c r="B841">
        <v>840</v>
      </c>
      <c r="C841" t="str">
        <f t="shared" si="13"/>
        <v>Player 840</v>
      </c>
      <c r="D841">
        <v>20.245458644384399</v>
      </c>
    </row>
    <row r="842" spans="1:4" x14ac:dyDescent="0.25">
      <c r="A842">
        <v>8901</v>
      </c>
      <c r="B842">
        <v>841</v>
      </c>
      <c r="C842" t="str">
        <f t="shared" si="13"/>
        <v>Player 841</v>
      </c>
      <c r="D842">
        <v>61.571130914984799</v>
      </c>
    </row>
    <row r="843" spans="1:4" x14ac:dyDescent="0.25">
      <c r="A843">
        <v>8916</v>
      </c>
      <c r="B843">
        <v>842</v>
      </c>
      <c r="C843" t="str">
        <f t="shared" si="13"/>
        <v>Player 842</v>
      </c>
      <c r="D843">
        <v>92.831551049373402</v>
      </c>
    </row>
    <row r="844" spans="1:4" x14ac:dyDescent="0.25">
      <c r="A844">
        <v>8939</v>
      </c>
      <c r="B844">
        <v>843</v>
      </c>
      <c r="C844" t="str">
        <f t="shared" si="13"/>
        <v>Player 843</v>
      </c>
      <c r="D844">
        <v>99.877182911462796</v>
      </c>
    </row>
    <row r="845" spans="1:4" x14ac:dyDescent="0.25">
      <c r="A845">
        <v>8941</v>
      </c>
      <c r="B845">
        <v>844</v>
      </c>
      <c r="C845" t="str">
        <f t="shared" si="13"/>
        <v>Player 844</v>
      </c>
      <c r="D845">
        <v>114.5189761127</v>
      </c>
    </row>
    <row r="846" spans="1:4" x14ac:dyDescent="0.25">
      <c r="A846">
        <v>8943</v>
      </c>
      <c r="B846">
        <v>845</v>
      </c>
      <c r="C846" t="str">
        <f t="shared" si="13"/>
        <v>Player 845</v>
      </c>
      <c r="D846">
        <v>80.850461297078596</v>
      </c>
    </row>
    <row r="847" spans="1:4" x14ac:dyDescent="0.25">
      <c r="A847">
        <v>8956</v>
      </c>
      <c r="B847">
        <v>846</v>
      </c>
      <c r="C847" t="str">
        <f t="shared" si="13"/>
        <v>Player 846</v>
      </c>
      <c r="D847">
        <v>45.462686665289503</v>
      </c>
    </row>
    <row r="848" spans="1:4" x14ac:dyDescent="0.25">
      <c r="A848">
        <v>8970</v>
      </c>
      <c r="B848">
        <v>847</v>
      </c>
      <c r="C848" t="str">
        <f t="shared" si="13"/>
        <v>Player 847</v>
      </c>
      <c r="D848">
        <v>112.414794913669</v>
      </c>
    </row>
    <row r="849" spans="1:4" x14ac:dyDescent="0.25">
      <c r="A849">
        <v>8973</v>
      </c>
      <c r="B849">
        <v>848</v>
      </c>
      <c r="C849" t="str">
        <f t="shared" si="13"/>
        <v>Player 848</v>
      </c>
      <c r="D849">
        <v>97.531575388037595</v>
      </c>
    </row>
    <row r="850" spans="1:4" x14ac:dyDescent="0.25">
      <c r="A850">
        <v>8984</v>
      </c>
      <c r="B850">
        <v>849</v>
      </c>
      <c r="C850" t="str">
        <f t="shared" si="13"/>
        <v>Player 849</v>
      </c>
      <c r="D850">
        <v>77.442848300314395</v>
      </c>
    </row>
    <row r="851" spans="1:4" x14ac:dyDescent="0.25">
      <c r="A851">
        <v>8987</v>
      </c>
      <c r="B851">
        <v>850</v>
      </c>
      <c r="C851" t="str">
        <f t="shared" si="13"/>
        <v>Player 850</v>
      </c>
      <c r="D851">
        <v>89.564021571893505</v>
      </c>
    </row>
    <row r="852" spans="1:4" x14ac:dyDescent="0.25">
      <c r="A852">
        <v>8989</v>
      </c>
      <c r="B852">
        <v>851</v>
      </c>
      <c r="C852" t="str">
        <f t="shared" si="13"/>
        <v>Player 851</v>
      </c>
      <c r="D852">
        <v>112.431635500742</v>
      </c>
    </row>
    <row r="853" spans="1:4" x14ac:dyDescent="0.25">
      <c r="A853">
        <v>8992</v>
      </c>
      <c r="B853">
        <v>852</v>
      </c>
      <c r="C853" t="str">
        <f t="shared" si="13"/>
        <v>Player 852</v>
      </c>
      <c r="D853">
        <v>91.239402847292098</v>
      </c>
    </row>
    <row r="854" spans="1:4" x14ac:dyDescent="0.25">
      <c r="A854">
        <v>8994</v>
      </c>
      <c r="B854">
        <v>853</v>
      </c>
      <c r="C854" t="str">
        <f t="shared" si="13"/>
        <v>Player 853</v>
      </c>
      <c r="D854">
        <v>56.837450758473402</v>
      </c>
    </row>
    <row r="855" spans="1:4" x14ac:dyDescent="0.25">
      <c r="A855">
        <v>8996</v>
      </c>
      <c r="B855">
        <v>854</v>
      </c>
      <c r="C855" t="str">
        <f t="shared" si="13"/>
        <v>Player 854</v>
      </c>
      <c r="D855">
        <v>91.302820228909596</v>
      </c>
    </row>
    <row r="856" spans="1:4" x14ac:dyDescent="0.25">
      <c r="A856">
        <v>9002</v>
      </c>
      <c r="B856">
        <v>855</v>
      </c>
      <c r="C856" t="str">
        <f t="shared" si="13"/>
        <v>Player 855</v>
      </c>
      <c r="D856">
        <v>24.027816273538701</v>
      </c>
    </row>
    <row r="857" spans="1:4" x14ac:dyDescent="0.25">
      <c r="A857">
        <v>9004</v>
      </c>
      <c r="B857">
        <v>856</v>
      </c>
      <c r="C857" t="str">
        <f t="shared" si="13"/>
        <v>Player 856</v>
      </c>
      <c r="D857">
        <v>58.6415561830581</v>
      </c>
    </row>
    <row r="858" spans="1:4" x14ac:dyDescent="0.25">
      <c r="A858">
        <v>9006</v>
      </c>
      <c r="B858">
        <v>857</v>
      </c>
      <c r="C858" t="str">
        <f t="shared" si="13"/>
        <v>Player 857</v>
      </c>
      <c r="D858">
        <v>60.632303184557898</v>
      </c>
    </row>
    <row r="859" spans="1:4" x14ac:dyDescent="0.25">
      <c r="A859">
        <v>9007</v>
      </c>
      <c r="B859">
        <v>858</v>
      </c>
      <c r="C859" t="str">
        <f t="shared" si="13"/>
        <v>Player 858</v>
      </c>
      <c r="D859">
        <v>36.683823442083401</v>
      </c>
    </row>
    <row r="860" spans="1:4" x14ac:dyDescent="0.25">
      <c r="A860">
        <v>9010</v>
      </c>
      <c r="B860">
        <v>859</v>
      </c>
      <c r="C860" t="str">
        <f t="shared" si="13"/>
        <v>Player 859</v>
      </c>
      <c r="D860">
        <v>22.308548055176999</v>
      </c>
    </row>
    <row r="861" spans="1:4" x14ac:dyDescent="0.25">
      <c r="A861">
        <v>9017</v>
      </c>
      <c r="B861">
        <v>860</v>
      </c>
      <c r="C861" t="str">
        <f t="shared" si="13"/>
        <v>Player 860</v>
      </c>
      <c r="D861">
        <v>33.338123663774198</v>
      </c>
    </row>
    <row r="862" spans="1:4" x14ac:dyDescent="0.25">
      <c r="A862">
        <v>9050</v>
      </c>
      <c r="B862">
        <v>861</v>
      </c>
      <c r="C862" t="str">
        <f t="shared" si="13"/>
        <v>Player 861</v>
      </c>
      <c r="D862">
        <v>85.462149579705496</v>
      </c>
    </row>
    <row r="863" spans="1:4" x14ac:dyDescent="0.25">
      <c r="A863">
        <v>9053</v>
      </c>
      <c r="B863">
        <v>862</v>
      </c>
      <c r="C863" t="str">
        <f t="shared" si="13"/>
        <v>Player 862</v>
      </c>
      <c r="D863">
        <v>100.228881636368</v>
      </c>
    </row>
    <row r="864" spans="1:4" x14ac:dyDescent="0.25">
      <c r="A864">
        <v>9058</v>
      </c>
      <c r="B864">
        <v>863</v>
      </c>
      <c r="C864" t="str">
        <f t="shared" si="13"/>
        <v>Player 863</v>
      </c>
      <c r="D864">
        <v>118.820349272697</v>
      </c>
    </row>
    <row r="865" spans="1:4" x14ac:dyDescent="0.25">
      <c r="A865">
        <v>9070</v>
      </c>
      <c r="B865">
        <v>864</v>
      </c>
      <c r="C865" t="str">
        <f t="shared" si="13"/>
        <v>Player 864</v>
      </c>
      <c r="D865">
        <v>54.636350310849402</v>
      </c>
    </row>
    <row r="866" spans="1:4" x14ac:dyDescent="0.25">
      <c r="A866">
        <v>9082</v>
      </c>
      <c r="B866">
        <v>865</v>
      </c>
      <c r="C866" t="str">
        <f t="shared" si="13"/>
        <v>Player 865</v>
      </c>
      <c r="D866">
        <v>79.937922226110103</v>
      </c>
    </row>
    <row r="867" spans="1:4" x14ac:dyDescent="0.25">
      <c r="A867">
        <v>9096</v>
      </c>
      <c r="B867">
        <v>866</v>
      </c>
      <c r="C867" t="str">
        <f t="shared" si="13"/>
        <v>Player 866</v>
      </c>
      <c r="D867">
        <v>113.714496681512</v>
      </c>
    </row>
    <row r="868" spans="1:4" x14ac:dyDescent="0.25">
      <c r="A868">
        <v>9110</v>
      </c>
      <c r="B868">
        <v>867</v>
      </c>
      <c r="C868" t="str">
        <f t="shared" si="13"/>
        <v>Player 867</v>
      </c>
      <c r="D868">
        <v>36.704178133815198</v>
      </c>
    </row>
    <row r="869" spans="1:4" x14ac:dyDescent="0.25">
      <c r="A869">
        <v>9120</v>
      </c>
      <c r="B869">
        <v>868</v>
      </c>
      <c r="C869" t="str">
        <f t="shared" si="13"/>
        <v>Player 868</v>
      </c>
      <c r="D869">
        <v>91.764558634274195</v>
      </c>
    </row>
    <row r="870" spans="1:4" x14ac:dyDescent="0.25">
      <c r="A870">
        <v>9130</v>
      </c>
      <c r="B870">
        <v>869</v>
      </c>
      <c r="C870" t="str">
        <f t="shared" si="13"/>
        <v>Player 869</v>
      </c>
      <c r="D870">
        <v>95.497873314916305</v>
      </c>
    </row>
    <row r="871" spans="1:4" x14ac:dyDescent="0.25">
      <c r="A871">
        <v>9135</v>
      </c>
      <c r="B871">
        <v>870</v>
      </c>
      <c r="C871" t="str">
        <f t="shared" si="13"/>
        <v>Player 870</v>
      </c>
      <c r="D871">
        <v>28.8975535869338</v>
      </c>
    </row>
    <row r="872" spans="1:4" x14ac:dyDescent="0.25">
      <c r="A872">
        <v>9150</v>
      </c>
      <c r="B872">
        <v>871</v>
      </c>
      <c r="C872" t="str">
        <f t="shared" si="13"/>
        <v>Player 871</v>
      </c>
      <c r="D872">
        <v>106.124938518306</v>
      </c>
    </row>
    <row r="873" spans="1:4" x14ac:dyDescent="0.25">
      <c r="A873">
        <v>9152</v>
      </c>
      <c r="B873">
        <v>872</v>
      </c>
      <c r="C873" t="str">
        <f t="shared" si="13"/>
        <v>Player 872</v>
      </c>
      <c r="D873">
        <v>101.31050471108399</v>
      </c>
    </row>
    <row r="874" spans="1:4" x14ac:dyDescent="0.25">
      <c r="A874">
        <v>9154</v>
      </c>
      <c r="B874">
        <v>873</v>
      </c>
      <c r="C874" t="str">
        <f t="shared" si="13"/>
        <v>Player 873</v>
      </c>
      <c r="D874">
        <v>23.340300657743398</v>
      </c>
    </row>
    <row r="875" spans="1:4" x14ac:dyDescent="0.25">
      <c r="A875">
        <v>9155</v>
      </c>
      <c r="B875">
        <v>874</v>
      </c>
      <c r="C875" t="str">
        <f t="shared" si="13"/>
        <v>Player 874</v>
      </c>
      <c r="D875">
        <v>29.108441488005099</v>
      </c>
    </row>
    <row r="876" spans="1:4" x14ac:dyDescent="0.25">
      <c r="A876">
        <v>9162</v>
      </c>
      <c r="B876">
        <v>875</v>
      </c>
      <c r="C876" t="str">
        <f t="shared" si="13"/>
        <v>Player 875</v>
      </c>
      <c r="D876">
        <v>24.9126893891852</v>
      </c>
    </row>
    <row r="877" spans="1:4" x14ac:dyDescent="0.25">
      <c r="A877">
        <v>9164</v>
      </c>
      <c r="B877">
        <v>876</v>
      </c>
      <c r="C877" t="str">
        <f t="shared" si="13"/>
        <v>Player 876</v>
      </c>
      <c r="D877">
        <v>53.474353179936202</v>
      </c>
    </row>
    <row r="878" spans="1:4" x14ac:dyDescent="0.25">
      <c r="A878">
        <v>9172</v>
      </c>
      <c r="B878">
        <v>877</v>
      </c>
      <c r="C878" t="str">
        <f t="shared" si="13"/>
        <v>Player 877</v>
      </c>
      <c r="D878">
        <v>70.928899067992603</v>
      </c>
    </row>
    <row r="879" spans="1:4" x14ac:dyDescent="0.25">
      <c r="A879">
        <v>9173</v>
      </c>
      <c r="B879">
        <v>878</v>
      </c>
      <c r="C879" t="str">
        <f t="shared" si="13"/>
        <v>Player 878</v>
      </c>
      <c r="D879">
        <v>73.234772795462803</v>
      </c>
    </row>
    <row r="880" spans="1:4" x14ac:dyDescent="0.25">
      <c r="A880">
        <v>9175</v>
      </c>
      <c r="B880">
        <v>879</v>
      </c>
      <c r="C880" t="str">
        <f t="shared" si="13"/>
        <v>Player 879</v>
      </c>
      <c r="D880">
        <v>46.7666759769442</v>
      </c>
    </row>
    <row r="881" spans="1:4" x14ac:dyDescent="0.25">
      <c r="A881">
        <v>9195</v>
      </c>
      <c r="B881">
        <v>880</v>
      </c>
      <c r="C881" t="str">
        <f t="shared" si="13"/>
        <v>Player 880</v>
      </c>
      <c r="D881">
        <v>111.159688656027</v>
      </c>
    </row>
    <row r="882" spans="1:4" x14ac:dyDescent="0.25">
      <c r="A882">
        <v>9208</v>
      </c>
      <c r="B882">
        <v>881</v>
      </c>
      <c r="C882" t="str">
        <f t="shared" si="13"/>
        <v>Player 881</v>
      </c>
      <c r="D882">
        <v>56.826278987191301</v>
      </c>
    </row>
    <row r="883" spans="1:4" x14ac:dyDescent="0.25">
      <c r="A883">
        <v>9226</v>
      </c>
      <c r="B883">
        <v>882</v>
      </c>
      <c r="C883" t="str">
        <f t="shared" si="13"/>
        <v>Player 882</v>
      </c>
      <c r="D883">
        <v>24.555015596535199</v>
      </c>
    </row>
    <row r="884" spans="1:4" x14ac:dyDescent="0.25">
      <c r="A884">
        <v>9258</v>
      </c>
      <c r="B884">
        <v>883</v>
      </c>
      <c r="C884" t="str">
        <f t="shared" si="13"/>
        <v>Player 883</v>
      </c>
      <c r="D884">
        <v>50.022711154138598</v>
      </c>
    </row>
    <row r="885" spans="1:4" x14ac:dyDescent="0.25">
      <c r="A885">
        <v>9306</v>
      </c>
      <c r="B885">
        <v>884</v>
      </c>
      <c r="C885" t="str">
        <f t="shared" si="13"/>
        <v>Player 884</v>
      </c>
      <c r="D885">
        <v>73.110942254415505</v>
      </c>
    </row>
    <row r="886" spans="1:4" x14ac:dyDescent="0.25">
      <c r="A886">
        <v>9308</v>
      </c>
      <c r="B886">
        <v>885</v>
      </c>
      <c r="C886" t="str">
        <f t="shared" si="13"/>
        <v>Player 885</v>
      </c>
      <c r="D886">
        <v>60.822182258823197</v>
      </c>
    </row>
    <row r="887" spans="1:4" x14ac:dyDescent="0.25">
      <c r="A887">
        <v>9311</v>
      </c>
      <c r="B887">
        <v>886</v>
      </c>
      <c r="C887" t="str">
        <f t="shared" si="13"/>
        <v>Player 886</v>
      </c>
      <c r="D887">
        <v>47.384251909925901</v>
      </c>
    </row>
    <row r="888" spans="1:4" x14ac:dyDescent="0.25">
      <c r="A888">
        <v>9319</v>
      </c>
      <c r="B888">
        <v>887</v>
      </c>
      <c r="C888" t="str">
        <f t="shared" si="13"/>
        <v>Player 887</v>
      </c>
      <c r="D888">
        <v>33.132324976431697</v>
      </c>
    </row>
    <row r="889" spans="1:4" x14ac:dyDescent="0.25">
      <c r="A889">
        <v>9322</v>
      </c>
      <c r="B889">
        <v>888</v>
      </c>
      <c r="C889" t="str">
        <f t="shared" si="13"/>
        <v>Player 888</v>
      </c>
      <c r="D889">
        <v>101.916450009622</v>
      </c>
    </row>
    <row r="890" spans="1:4" x14ac:dyDescent="0.25">
      <c r="A890">
        <v>9335</v>
      </c>
      <c r="B890">
        <v>889</v>
      </c>
      <c r="C890" t="str">
        <f t="shared" si="13"/>
        <v>Player 889</v>
      </c>
      <c r="D890">
        <v>119.614524212419</v>
      </c>
    </row>
    <row r="891" spans="1:4" x14ac:dyDescent="0.25">
      <c r="A891">
        <v>9338</v>
      </c>
      <c r="B891">
        <v>890</v>
      </c>
      <c r="C891" t="str">
        <f t="shared" si="13"/>
        <v>Player 890</v>
      </c>
      <c r="D891">
        <v>52.954213352388201</v>
      </c>
    </row>
    <row r="892" spans="1:4" x14ac:dyDescent="0.25">
      <c r="A892">
        <v>9352</v>
      </c>
      <c r="B892">
        <v>891</v>
      </c>
      <c r="C892" t="str">
        <f t="shared" si="13"/>
        <v>Player 891</v>
      </c>
      <c r="D892">
        <v>58.162104417660302</v>
      </c>
    </row>
    <row r="893" spans="1:4" x14ac:dyDescent="0.25">
      <c r="A893">
        <v>9389</v>
      </c>
      <c r="B893">
        <v>892</v>
      </c>
      <c r="C893" t="str">
        <f t="shared" si="13"/>
        <v>Player 892</v>
      </c>
      <c r="D893">
        <v>81.803752467695702</v>
      </c>
    </row>
    <row r="894" spans="1:4" x14ac:dyDescent="0.25">
      <c r="A894">
        <v>9392</v>
      </c>
      <c r="B894">
        <v>893</v>
      </c>
      <c r="C894" t="str">
        <f t="shared" si="13"/>
        <v>Player 893</v>
      </c>
      <c r="D894">
        <v>91.844147473554102</v>
      </c>
    </row>
    <row r="895" spans="1:4" x14ac:dyDescent="0.25">
      <c r="A895">
        <v>9393</v>
      </c>
      <c r="B895">
        <v>894</v>
      </c>
      <c r="C895" t="str">
        <f t="shared" si="13"/>
        <v>Player 894</v>
      </c>
      <c r="D895">
        <v>59.202953480359099</v>
      </c>
    </row>
    <row r="896" spans="1:4" x14ac:dyDescent="0.25">
      <c r="A896">
        <v>9415</v>
      </c>
      <c r="B896">
        <v>895</v>
      </c>
      <c r="C896" t="str">
        <f t="shared" si="13"/>
        <v>Player 895</v>
      </c>
      <c r="D896">
        <v>110.492951698181</v>
      </c>
    </row>
    <row r="897" spans="1:4" x14ac:dyDescent="0.25">
      <c r="A897">
        <v>9427</v>
      </c>
      <c r="B897">
        <v>896</v>
      </c>
      <c r="C897" t="str">
        <f t="shared" si="13"/>
        <v>Player 896</v>
      </c>
      <c r="D897">
        <v>76.000398922891804</v>
      </c>
    </row>
    <row r="898" spans="1:4" x14ac:dyDescent="0.25">
      <c r="A898">
        <v>9433</v>
      </c>
      <c r="B898">
        <v>897</v>
      </c>
      <c r="C898" t="str">
        <f t="shared" si="13"/>
        <v>Player 897</v>
      </c>
      <c r="D898">
        <v>65.039007640593098</v>
      </c>
    </row>
    <row r="899" spans="1:4" x14ac:dyDescent="0.25">
      <c r="A899">
        <v>9434</v>
      </c>
      <c r="B899">
        <v>898</v>
      </c>
      <c r="C899" t="str">
        <f t="shared" ref="C899:C948" si="14">"Player "&amp;TEXT(B899,"000")</f>
        <v>Player 898</v>
      </c>
      <c r="D899">
        <v>84.667275315990494</v>
      </c>
    </row>
    <row r="900" spans="1:4" x14ac:dyDescent="0.25">
      <c r="A900">
        <v>9445</v>
      </c>
      <c r="B900">
        <v>899</v>
      </c>
      <c r="C900" t="str">
        <f t="shared" si="14"/>
        <v>Player 899</v>
      </c>
      <c r="D900">
        <v>115.28038482491699</v>
      </c>
    </row>
    <row r="901" spans="1:4" x14ac:dyDescent="0.25">
      <c r="A901">
        <v>9472</v>
      </c>
      <c r="B901">
        <v>900</v>
      </c>
      <c r="C901" t="str">
        <f t="shared" si="14"/>
        <v>Player 900</v>
      </c>
      <c r="D901">
        <v>99.455229442170506</v>
      </c>
    </row>
    <row r="902" spans="1:4" x14ac:dyDescent="0.25">
      <c r="A902">
        <v>9477</v>
      </c>
      <c r="B902">
        <v>901</v>
      </c>
      <c r="C902" t="str">
        <f t="shared" si="14"/>
        <v>Player 901</v>
      </c>
      <c r="D902">
        <v>24.001313053512401</v>
      </c>
    </row>
    <row r="903" spans="1:4" x14ac:dyDescent="0.25">
      <c r="A903">
        <v>9512</v>
      </c>
      <c r="B903">
        <v>902</v>
      </c>
      <c r="C903" t="str">
        <f t="shared" si="14"/>
        <v>Player 902</v>
      </c>
      <c r="D903">
        <v>53.230991073995902</v>
      </c>
    </row>
    <row r="904" spans="1:4" x14ac:dyDescent="0.25">
      <c r="A904">
        <v>9527</v>
      </c>
      <c r="B904">
        <v>903</v>
      </c>
      <c r="C904" t="str">
        <f t="shared" si="14"/>
        <v>Player 903</v>
      </c>
      <c r="D904">
        <v>67.054468495122194</v>
      </c>
    </row>
    <row r="905" spans="1:4" x14ac:dyDescent="0.25">
      <c r="A905">
        <v>9529</v>
      </c>
      <c r="B905">
        <v>904</v>
      </c>
      <c r="C905" t="str">
        <f t="shared" si="14"/>
        <v>Player 904</v>
      </c>
      <c r="D905">
        <v>51.451757220910501</v>
      </c>
    </row>
    <row r="906" spans="1:4" x14ac:dyDescent="0.25">
      <c r="A906">
        <v>9533</v>
      </c>
      <c r="B906">
        <v>905</v>
      </c>
      <c r="C906" t="str">
        <f t="shared" si="14"/>
        <v>Player 905</v>
      </c>
      <c r="D906">
        <v>90.018756083045602</v>
      </c>
    </row>
    <row r="907" spans="1:4" x14ac:dyDescent="0.25">
      <c r="A907">
        <v>9549</v>
      </c>
      <c r="B907">
        <v>906</v>
      </c>
      <c r="C907" t="str">
        <f t="shared" si="14"/>
        <v>Player 906</v>
      </c>
      <c r="D907">
        <v>102.626914986258</v>
      </c>
    </row>
    <row r="908" spans="1:4" x14ac:dyDescent="0.25">
      <c r="A908">
        <v>9554</v>
      </c>
      <c r="B908">
        <v>907</v>
      </c>
      <c r="C908" t="str">
        <f t="shared" si="14"/>
        <v>Player 907</v>
      </c>
      <c r="D908">
        <v>93.134509518527096</v>
      </c>
    </row>
    <row r="909" spans="1:4" x14ac:dyDescent="0.25">
      <c r="A909">
        <v>9567</v>
      </c>
      <c r="B909">
        <v>908</v>
      </c>
      <c r="C909" t="str">
        <f t="shared" si="14"/>
        <v>Player 908</v>
      </c>
      <c r="D909">
        <v>118.933328682827</v>
      </c>
    </row>
    <row r="910" spans="1:4" x14ac:dyDescent="0.25">
      <c r="A910">
        <v>9571</v>
      </c>
      <c r="B910">
        <v>909</v>
      </c>
      <c r="C910" t="str">
        <f t="shared" si="14"/>
        <v>Player 909</v>
      </c>
      <c r="D910">
        <v>47.254764789302897</v>
      </c>
    </row>
    <row r="911" spans="1:4" x14ac:dyDescent="0.25">
      <c r="A911">
        <v>9577</v>
      </c>
      <c r="B911">
        <v>910</v>
      </c>
      <c r="C911" t="str">
        <f t="shared" si="14"/>
        <v>Player 910</v>
      </c>
      <c r="D911">
        <v>107.498949502442</v>
      </c>
    </row>
    <row r="912" spans="1:4" x14ac:dyDescent="0.25">
      <c r="A912">
        <v>9580</v>
      </c>
      <c r="B912">
        <v>911</v>
      </c>
      <c r="C912" t="str">
        <f t="shared" si="14"/>
        <v>Player 911</v>
      </c>
      <c r="D912">
        <v>96.6622665174486</v>
      </c>
    </row>
    <row r="913" spans="1:4" x14ac:dyDescent="0.25">
      <c r="A913">
        <v>9609</v>
      </c>
      <c r="B913">
        <v>912</v>
      </c>
      <c r="C913" t="str">
        <f t="shared" si="14"/>
        <v>Player 912</v>
      </c>
      <c r="D913">
        <v>56.217875755814603</v>
      </c>
    </row>
    <row r="914" spans="1:4" x14ac:dyDescent="0.25">
      <c r="A914">
        <v>9647</v>
      </c>
      <c r="B914">
        <v>913</v>
      </c>
      <c r="C914" t="str">
        <f t="shared" si="14"/>
        <v>Player 913</v>
      </c>
      <c r="D914">
        <v>93.412454365696803</v>
      </c>
    </row>
    <row r="915" spans="1:4" x14ac:dyDescent="0.25">
      <c r="A915">
        <v>9659</v>
      </c>
      <c r="B915">
        <v>914</v>
      </c>
      <c r="C915" t="str">
        <f t="shared" si="14"/>
        <v>Player 914</v>
      </c>
      <c r="D915">
        <v>30.407595641824599</v>
      </c>
    </row>
    <row r="916" spans="1:4" x14ac:dyDescent="0.25">
      <c r="A916">
        <v>9662</v>
      </c>
      <c r="B916">
        <v>915</v>
      </c>
      <c r="C916" t="str">
        <f t="shared" si="14"/>
        <v>Player 915</v>
      </c>
      <c r="D916">
        <v>98.933348234055202</v>
      </c>
    </row>
    <row r="917" spans="1:4" x14ac:dyDescent="0.25">
      <c r="A917">
        <v>9666</v>
      </c>
      <c r="B917">
        <v>916</v>
      </c>
      <c r="C917" t="str">
        <f t="shared" si="14"/>
        <v>Player 916</v>
      </c>
      <c r="D917">
        <v>73.233060258710196</v>
      </c>
    </row>
    <row r="918" spans="1:4" x14ac:dyDescent="0.25">
      <c r="A918">
        <v>9669</v>
      </c>
      <c r="B918">
        <v>917</v>
      </c>
      <c r="C918" t="str">
        <f t="shared" si="14"/>
        <v>Player 917</v>
      </c>
      <c r="D918">
        <v>49.229017270925297</v>
      </c>
    </row>
    <row r="919" spans="1:4" x14ac:dyDescent="0.25">
      <c r="A919">
        <v>9680</v>
      </c>
      <c r="B919">
        <v>918</v>
      </c>
      <c r="C919" t="str">
        <f t="shared" si="14"/>
        <v>Player 918</v>
      </c>
      <c r="D919">
        <v>85.577730178417994</v>
      </c>
    </row>
    <row r="920" spans="1:4" x14ac:dyDescent="0.25">
      <c r="A920">
        <v>9684</v>
      </c>
      <c r="B920">
        <v>919</v>
      </c>
      <c r="C920" t="str">
        <f t="shared" si="14"/>
        <v>Player 919</v>
      </c>
      <c r="D920">
        <v>84.161999871440898</v>
      </c>
    </row>
    <row r="921" spans="1:4" x14ac:dyDescent="0.25">
      <c r="A921">
        <v>9691</v>
      </c>
      <c r="B921">
        <v>920</v>
      </c>
      <c r="C921" t="str">
        <f t="shared" si="14"/>
        <v>Player 920</v>
      </c>
      <c r="D921">
        <v>40.948622271959898</v>
      </c>
    </row>
    <row r="922" spans="1:4" x14ac:dyDescent="0.25">
      <c r="A922">
        <v>9702</v>
      </c>
      <c r="B922">
        <v>921</v>
      </c>
      <c r="C922" t="str">
        <f t="shared" si="14"/>
        <v>Player 921</v>
      </c>
      <c r="D922">
        <v>23.0397414811526</v>
      </c>
    </row>
    <row r="923" spans="1:4" x14ac:dyDescent="0.25">
      <c r="A923">
        <v>9716</v>
      </c>
      <c r="B923">
        <v>922</v>
      </c>
      <c r="C923" t="str">
        <f t="shared" si="14"/>
        <v>Player 922</v>
      </c>
      <c r="D923">
        <v>63.362258690167302</v>
      </c>
    </row>
    <row r="924" spans="1:4" x14ac:dyDescent="0.25">
      <c r="A924">
        <v>9717</v>
      </c>
      <c r="B924">
        <v>923</v>
      </c>
      <c r="C924" t="str">
        <f t="shared" si="14"/>
        <v>Player 923</v>
      </c>
      <c r="D924">
        <v>76.951186934442106</v>
      </c>
    </row>
    <row r="925" spans="1:4" x14ac:dyDescent="0.25">
      <c r="A925">
        <v>9754</v>
      </c>
      <c r="B925">
        <v>924</v>
      </c>
      <c r="C925" t="str">
        <f t="shared" si="14"/>
        <v>Player 924</v>
      </c>
      <c r="D925">
        <v>107.66052783705901</v>
      </c>
    </row>
    <row r="926" spans="1:4" x14ac:dyDescent="0.25">
      <c r="A926">
        <v>9755</v>
      </c>
      <c r="B926">
        <v>925</v>
      </c>
      <c r="C926" t="str">
        <f t="shared" si="14"/>
        <v>Player 925</v>
      </c>
      <c r="D926">
        <v>112.82167956475899</v>
      </c>
    </row>
    <row r="927" spans="1:4" x14ac:dyDescent="0.25">
      <c r="A927">
        <v>9766</v>
      </c>
      <c r="B927">
        <v>926</v>
      </c>
      <c r="C927" t="str">
        <f t="shared" si="14"/>
        <v>Player 926</v>
      </c>
      <c r="D927">
        <v>72.880521815676602</v>
      </c>
    </row>
    <row r="928" spans="1:4" x14ac:dyDescent="0.25">
      <c r="A928">
        <v>9787</v>
      </c>
      <c r="B928">
        <v>927</v>
      </c>
      <c r="C928" t="str">
        <f t="shared" si="14"/>
        <v>Player 927</v>
      </c>
      <c r="D928">
        <v>95.3803483768544</v>
      </c>
    </row>
    <row r="929" spans="1:4" x14ac:dyDescent="0.25">
      <c r="A929">
        <v>9792</v>
      </c>
      <c r="B929">
        <v>928</v>
      </c>
      <c r="C929" t="str">
        <f t="shared" si="14"/>
        <v>Player 928</v>
      </c>
      <c r="D929">
        <v>63.930327232799598</v>
      </c>
    </row>
    <row r="930" spans="1:4" x14ac:dyDescent="0.25">
      <c r="A930">
        <v>9795</v>
      </c>
      <c r="B930">
        <v>929</v>
      </c>
      <c r="C930" t="str">
        <f t="shared" si="14"/>
        <v>Player 929</v>
      </c>
      <c r="D930">
        <v>94.608215657289307</v>
      </c>
    </row>
    <row r="931" spans="1:4" x14ac:dyDescent="0.25">
      <c r="A931">
        <v>9800</v>
      </c>
      <c r="B931">
        <v>930</v>
      </c>
      <c r="C931" t="str">
        <f t="shared" si="14"/>
        <v>Player 930</v>
      </c>
      <c r="D931">
        <v>40.480152493916599</v>
      </c>
    </row>
    <row r="932" spans="1:4" x14ac:dyDescent="0.25">
      <c r="A932">
        <v>9808</v>
      </c>
      <c r="B932">
        <v>931</v>
      </c>
      <c r="C932" t="str">
        <f t="shared" si="14"/>
        <v>Player 931</v>
      </c>
      <c r="D932">
        <v>57.106473480353102</v>
      </c>
    </row>
    <row r="933" spans="1:4" x14ac:dyDescent="0.25">
      <c r="A933">
        <v>9815</v>
      </c>
      <c r="B933">
        <v>932</v>
      </c>
      <c r="C933" t="str">
        <f t="shared" si="14"/>
        <v>Player 932</v>
      </c>
      <c r="D933">
        <v>83.422799881361399</v>
      </c>
    </row>
    <row r="934" spans="1:4" x14ac:dyDescent="0.25">
      <c r="A934">
        <v>9837</v>
      </c>
      <c r="B934">
        <v>933</v>
      </c>
      <c r="C934" t="str">
        <f t="shared" si="14"/>
        <v>Player 933</v>
      </c>
      <c r="D934">
        <v>21.815796560707799</v>
      </c>
    </row>
    <row r="935" spans="1:4" x14ac:dyDescent="0.25">
      <c r="A935">
        <v>9838</v>
      </c>
      <c r="B935">
        <v>934</v>
      </c>
      <c r="C935" t="str">
        <f t="shared" si="14"/>
        <v>Player 934</v>
      </c>
      <c r="D935">
        <v>92.246131033895395</v>
      </c>
    </row>
    <row r="936" spans="1:4" x14ac:dyDescent="0.25">
      <c r="A936">
        <v>9865</v>
      </c>
      <c r="B936">
        <v>935</v>
      </c>
      <c r="C936" t="str">
        <f t="shared" si="14"/>
        <v>Player 935</v>
      </c>
      <c r="D936">
        <v>103.55355012681601</v>
      </c>
    </row>
    <row r="937" spans="1:4" x14ac:dyDescent="0.25">
      <c r="A937">
        <v>9867</v>
      </c>
      <c r="B937">
        <v>936</v>
      </c>
      <c r="C937" t="str">
        <f t="shared" si="14"/>
        <v>Player 936</v>
      </c>
      <c r="D937">
        <v>59.914166109395097</v>
      </c>
    </row>
    <row r="938" spans="1:4" x14ac:dyDescent="0.25">
      <c r="A938">
        <v>9901</v>
      </c>
      <c r="B938">
        <v>937</v>
      </c>
      <c r="C938" t="str">
        <f t="shared" si="14"/>
        <v>Player 937</v>
      </c>
      <c r="D938">
        <v>64.794241717716403</v>
      </c>
    </row>
    <row r="939" spans="1:4" x14ac:dyDescent="0.25">
      <c r="A939">
        <v>9905</v>
      </c>
      <c r="B939">
        <v>938</v>
      </c>
      <c r="C939" t="str">
        <f t="shared" si="14"/>
        <v>Player 938</v>
      </c>
      <c r="D939">
        <v>105.12822122165301</v>
      </c>
    </row>
    <row r="940" spans="1:4" x14ac:dyDescent="0.25">
      <c r="A940">
        <v>9914</v>
      </c>
      <c r="B940">
        <v>939</v>
      </c>
      <c r="C940" t="str">
        <f t="shared" si="14"/>
        <v>Player 939</v>
      </c>
      <c r="D940">
        <v>97.565463532603303</v>
      </c>
    </row>
    <row r="941" spans="1:4" x14ac:dyDescent="0.25">
      <c r="A941">
        <v>9915</v>
      </c>
      <c r="B941">
        <v>940</v>
      </c>
      <c r="C941" t="str">
        <f t="shared" si="14"/>
        <v>Player 940</v>
      </c>
      <c r="D941">
        <v>48.814948903337502</v>
      </c>
    </row>
    <row r="942" spans="1:4" x14ac:dyDescent="0.25">
      <c r="A942">
        <v>9924</v>
      </c>
      <c r="B942">
        <v>941</v>
      </c>
      <c r="C942" t="str">
        <f t="shared" si="14"/>
        <v>Player 941</v>
      </c>
      <c r="D942">
        <v>52.397610656153802</v>
      </c>
    </row>
    <row r="943" spans="1:4" x14ac:dyDescent="0.25">
      <c r="A943">
        <v>9932</v>
      </c>
      <c r="B943">
        <v>942</v>
      </c>
      <c r="C943" t="str">
        <f t="shared" si="14"/>
        <v>Player 942</v>
      </c>
      <c r="D943">
        <v>87.8878232390596</v>
      </c>
    </row>
    <row r="944" spans="1:4" x14ac:dyDescent="0.25">
      <c r="A944">
        <v>9945</v>
      </c>
      <c r="B944">
        <v>943</v>
      </c>
      <c r="C944" t="str">
        <f t="shared" si="14"/>
        <v>Player 943</v>
      </c>
      <c r="D944">
        <v>76.319809244816099</v>
      </c>
    </row>
    <row r="945" spans="1:4" x14ac:dyDescent="0.25">
      <c r="A945">
        <v>9958</v>
      </c>
      <c r="B945">
        <v>944</v>
      </c>
      <c r="C945" t="str">
        <f t="shared" si="14"/>
        <v>Player 944</v>
      </c>
      <c r="D945">
        <v>36.222957109649698</v>
      </c>
    </row>
    <row r="946" spans="1:4" x14ac:dyDescent="0.25">
      <c r="A946">
        <v>9967</v>
      </c>
      <c r="B946">
        <v>945</v>
      </c>
      <c r="C946" t="str">
        <f t="shared" si="14"/>
        <v>Player 945</v>
      </c>
      <c r="D946">
        <v>50.992990922916597</v>
      </c>
    </row>
    <row r="947" spans="1:4" x14ac:dyDescent="0.25">
      <c r="A947">
        <v>9989</v>
      </c>
      <c r="B947">
        <v>946</v>
      </c>
      <c r="C947" t="str">
        <f t="shared" si="14"/>
        <v>Player 946</v>
      </c>
      <c r="D947">
        <v>109.998327687865</v>
      </c>
    </row>
    <row r="948" spans="1:4" x14ac:dyDescent="0.25">
      <c r="A948">
        <v>9996</v>
      </c>
      <c r="B948">
        <v>947</v>
      </c>
      <c r="C948" t="str">
        <f t="shared" si="14"/>
        <v>Player 947</v>
      </c>
      <c r="D948">
        <v>88.817443672226304</v>
      </c>
    </row>
    <row r="949" spans="1:4" x14ac:dyDescent="0.25">
      <c r="D949">
        <v>118.597431768551</v>
      </c>
    </row>
    <row r="950" spans="1:4" x14ac:dyDescent="0.25">
      <c r="D950">
        <v>96.701252998076896</v>
      </c>
    </row>
    <row r="951" spans="1:4" x14ac:dyDescent="0.25">
      <c r="D951">
        <v>114.197443214359</v>
      </c>
    </row>
    <row r="952" spans="1:4" x14ac:dyDescent="0.25">
      <c r="D952">
        <v>41.618857387047498</v>
      </c>
    </row>
    <row r="953" spans="1:4" x14ac:dyDescent="0.25">
      <c r="D953">
        <v>97.148487481692499</v>
      </c>
    </row>
    <row r="954" spans="1:4" x14ac:dyDescent="0.25">
      <c r="D954">
        <v>22.0217520147797</v>
      </c>
    </row>
    <row r="955" spans="1:4" x14ac:dyDescent="0.25">
      <c r="D955">
        <v>87.076002171153306</v>
      </c>
    </row>
    <row r="956" spans="1:4" x14ac:dyDescent="0.25">
      <c r="D956">
        <v>66.928227812024105</v>
      </c>
    </row>
    <row r="957" spans="1:4" x14ac:dyDescent="0.25">
      <c r="D957">
        <v>54.6760071920068</v>
      </c>
    </row>
    <row r="958" spans="1:4" x14ac:dyDescent="0.25">
      <c r="D958">
        <v>106.24043522930801</v>
      </c>
    </row>
    <row r="959" spans="1:4" x14ac:dyDescent="0.25">
      <c r="D959">
        <v>105.42676926575299</v>
      </c>
    </row>
    <row r="960" spans="1:4" x14ac:dyDescent="0.25">
      <c r="D960">
        <v>22.2301704898643</v>
      </c>
    </row>
    <row r="961" spans="4:4" x14ac:dyDescent="0.25">
      <c r="D961">
        <v>80.950512244943098</v>
      </c>
    </row>
    <row r="962" spans="4:4" x14ac:dyDescent="0.25">
      <c r="D962">
        <v>56.783222432095599</v>
      </c>
    </row>
    <row r="963" spans="4:4" x14ac:dyDescent="0.25">
      <c r="D963">
        <v>61.566100150044903</v>
      </c>
    </row>
    <row r="964" spans="4:4" x14ac:dyDescent="0.25">
      <c r="D964">
        <v>103.204073921877</v>
      </c>
    </row>
    <row r="965" spans="4:4" x14ac:dyDescent="0.25">
      <c r="D965">
        <v>50.9839771527678</v>
      </c>
    </row>
    <row r="966" spans="4:4" x14ac:dyDescent="0.25">
      <c r="D966">
        <v>114.304881063762</v>
      </c>
    </row>
    <row r="967" spans="4:4" x14ac:dyDescent="0.25">
      <c r="D967">
        <v>37.963382637214004</v>
      </c>
    </row>
    <row r="968" spans="4:4" x14ac:dyDescent="0.25">
      <c r="D968">
        <v>86.272242336817698</v>
      </c>
    </row>
    <row r="969" spans="4:4" x14ac:dyDescent="0.25">
      <c r="D969">
        <v>87.210506701376403</v>
      </c>
    </row>
    <row r="970" spans="4:4" x14ac:dyDescent="0.25">
      <c r="D970">
        <v>45.219516142791797</v>
      </c>
    </row>
    <row r="971" spans="4:4" x14ac:dyDescent="0.25">
      <c r="D971">
        <v>52.475060896720201</v>
      </c>
    </row>
    <row r="972" spans="4:4" x14ac:dyDescent="0.25">
      <c r="D972">
        <v>103.479849257994</v>
      </c>
    </row>
    <row r="973" spans="4:4" x14ac:dyDescent="0.25">
      <c r="D973">
        <v>96.180525495495203</v>
      </c>
    </row>
    <row r="974" spans="4:4" x14ac:dyDescent="0.25">
      <c r="D974">
        <v>52.909588031475899</v>
      </c>
    </row>
    <row r="975" spans="4:4" x14ac:dyDescent="0.25">
      <c r="D975">
        <v>73.395654693493299</v>
      </c>
    </row>
    <row r="976" spans="4:4" x14ac:dyDescent="0.25">
      <c r="D976">
        <v>26.168029625309501</v>
      </c>
    </row>
    <row r="977" spans="4:4" x14ac:dyDescent="0.25">
      <c r="D977">
        <v>40.874588239862902</v>
      </c>
    </row>
    <row r="978" spans="4:4" x14ac:dyDescent="0.25">
      <c r="D978">
        <v>68.582055886039896</v>
      </c>
    </row>
    <row r="979" spans="4:4" x14ac:dyDescent="0.25">
      <c r="D979">
        <v>28.5973735279211</v>
      </c>
    </row>
    <row r="980" spans="4:4" x14ac:dyDescent="0.25">
      <c r="D980">
        <v>104.333235489193</v>
      </c>
    </row>
    <row r="981" spans="4:4" x14ac:dyDescent="0.25">
      <c r="D981">
        <v>91.800621010764701</v>
      </c>
    </row>
    <row r="982" spans="4:4" x14ac:dyDescent="0.25">
      <c r="D982">
        <v>114.363367064849</v>
      </c>
    </row>
    <row r="983" spans="4:4" x14ac:dyDescent="0.25">
      <c r="D983">
        <v>89.346690596402695</v>
      </c>
    </row>
    <row r="984" spans="4:4" x14ac:dyDescent="0.25">
      <c r="D984">
        <v>114.04013722621799</v>
      </c>
    </row>
    <row r="985" spans="4:4" x14ac:dyDescent="0.25">
      <c r="D985">
        <v>75.451255569096503</v>
      </c>
    </row>
    <row r="986" spans="4:4" x14ac:dyDescent="0.25">
      <c r="D986">
        <v>80.021861106196894</v>
      </c>
    </row>
    <row r="987" spans="4:4" x14ac:dyDescent="0.25">
      <c r="D987">
        <v>117.697105462626</v>
      </c>
    </row>
    <row r="988" spans="4:4" x14ac:dyDescent="0.25">
      <c r="D988">
        <v>84.212914686426004</v>
      </c>
    </row>
    <row r="989" spans="4:4" x14ac:dyDescent="0.25">
      <c r="D989">
        <v>23.078656886074601</v>
      </c>
    </row>
    <row r="990" spans="4:4" x14ac:dyDescent="0.25">
      <c r="D990">
        <v>92.380277663052297</v>
      </c>
    </row>
    <row r="991" spans="4:4" x14ac:dyDescent="0.25">
      <c r="D991">
        <v>110.546869213741</v>
      </c>
    </row>
    <row r="992" spans="4:4" x14ac:dyDescent="0.25">
      <c r="D992">
        <v>99.558024979432602</v>
      </c>
    </row>
    <row r="993" spans="4:4" x14ac:dyDescent="0.25">
      <c r="D993">
        <v>78.383327262542196</v>
      </c>
    </row>
    <row r="994" spans="4:4" x14ac:dyDescent="0.25">
      <c r="D994">
        <v>87.130351309351596</v>
      </c>
    </row>
    <row r="995" spans="4:4" x14ac:dyDescent="0.25">
      <c r="D995">
        <v>119.019178925167</v>
      </c>
    </row>
    <row r="996" spans="4:4" x14ac:dyDescent="0.25">
      <c r="D996">
        <v>29.066208850933801</v>
      </c>
    </row>
    <row r="997" spans="4:4" x14ac:dyDescent="0.25">
      <c r="D997">
        <v>86.7244828633239</v>
      </c>
    </row>
    <row r="998" spans="4:4" x14ac:dyDescent="0.25">
      <c r="D998">
        <v>48.339769457059298</v>
      </c>
    </row>
    <row r="999" spans="4:4" x14ac:dyDescent="0.25">
      <c r="D999">
        <v>84.009039658616999</v>
      </c>
    </row>
    <row r="1000" spans="4:4" x14ac:dyDescent="0.25">
      <c r="D1000">
        <v>80.762357588393797</v>
      </c>
    </row>
    <row r="1001" spans="4:4" x14ac:dyDescent="0.25">
      <c r="D1001">
        <v>35.345683210816198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D1ED64A664AB4EA3DF277BE7F05F71" ma:contentTypeVersion="5" ma:contentTypeDescription="Create a new document." ma:contentTypeScope="" ma:versionID="741d4d9cab90b3aab831ff87ba67121f">
  <xsd:schema xmlns:xsd="http://www.w3.org/2001/XMLSchema" xmlns:xs="http://www.w3.org/2001/XMLSchema" xmlns:p="http://schemas.microsoft.com/office/2006/metadata/properties" xmlns:ns3="16162dca-d68d-484f-bbd5-e8bd9d1a04ea" targetNamespace="http://schemas.microsoft.com/office/2006/metadata/properties" ma:root="true" ma:fieldsID="2af42cc8108f5d6dc0a2948f69505f31" ns3:_="">
    <xsd:import namespace="16162dca-d68d-484f-bbd5-e8bd9d1a04e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162dca-d68d-484f-bbd5-e8bd9d1a04e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7CDE8C8-1229-491B-8D2E-886A57C9FE5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806BAE9-B56B-4AE3-AA70-FC7537464123}">
  <ds:schemaRefs>
    <ds:schemaRef ds:uri="http://schemas.microsoft.com/office/2006/documentManagement/types"/>
    <ds:schemaRef ds:uri="http://purl.org/dc/dcmitype/"/>
    <ds:schemaRef ds:uri="16162dca-d68d-484f-bbd5-e8bd9d1a04ea"/>
    <ds:schemaRef ds:uri="http://purl.org/dc/terms/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D07DC0EE-AB42-42DB-851B-CD450A01C61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162dca-d68d-484f-bbd5-e8bd9d1a04e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athlete_energy_expenditure</vt:lpstr>
      <vt:lpstr>HR_Long</vt:lpstr>
      <vt:lpstr>Athletes_Map</vt:lpstr>
      <vt:lpstr>Session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Jory almaimani</dc:creator>
  <cp:lastModifiedBy>Afnan S. Alharbi</cp:lastModifiedBy>
  <dcterms:created xsi:type="dcterms:W3CDTF">2026-04-15T17:22:28Z</dcterms:created>
  <dcterms:modified xsi:type="dcterms:W3CDTF">2026-05-12T12:38:19Z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0x010100C1D1ED64A664AB4EA3DF277BE7F05F71</vt:lpwstr>
  </property>
</Properties>
</file>